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cretaría\Desktop\SMA\1. Seguimiento proyectos\Plan de Acción\2026\"/>
    </mc:Choice>
  </mc:AlternateContent>
  <xr:revisionPtr revIDLastSave="0" documentId="13_ncr:1_{686588F9-0762-45DA-BAFC-ACC25C11739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Sec. Gobierno" sheetId="1" r:id="rId1"/>
    <sheet name="Sec. Bienestar y Dllo Social" sheetId="2" r:id="rId2"/>
    <sheet name="Copia de Sec. Bienestar y Dllo " sheetId="3" r:id="rId3"/>
    <sheet name="Sec. Turismo" sheetId="4" r:id="rId4"/>
    <sheet name="Sec. Planeación" sheetId="5" r:id="rId5"/>
    <sheet name="Sec. Medio Ambiente" sheetId="6" r:id="rId6"/>
  </sheets>
  <externalReferences>
    <externalReference r:id="rId7"/>
  </externalReferences>
  <definedNames>
    <definedName name="_0401001">[1]Catálogo!#REF!</definedName>
    <definedName name="_0401002">[1]Catálogo!#REF!</definedName>
    <definedName name="_0401003">[1]Catálogo!#REF!</definedName>
    <definedName name="_0401005">[1]Catálogo!#REF!</definedName>
    <definedName name="_0401006">[1]Catálogo!#REF!</definedName>
    <definedName name="_0401025">[1]Catálogo!#REF!</definedName>
    <definedName name="_0401047">[1]Catálogo!#REF!</definedName>
    <definedName name="_0401048">[1]Catálogo!#REF!</definedName>
    <definedName name="_0401049">[1]Catálogo!#REF!</definedName>
    <definedName name="_0401060">[1]Catálogo!#REF!</definedName>
    <definedName name="_0401061">[1]Catálogo!#REF!</definedName>
    <definedName name="_0401062">[1]Catálogo!#REF!</definedName>
    <definedName name="_0401063">[1]Catálogo!#REF!</definedName>
    <definedName name="_0401064">[1]Catálogo!#REF!</definedName>
    <definedName name="_0401065">[1]Catálogo!#REF!</definedName>
    <definedName name="_0401066">[1]Catálogo!#REF!</definedName>
    <definedName name="_0401068">[1]Catálogo!#REF!</definedName>
    <definedName name="_0401069">[1]Catálogo!#REF!</definedName>
    <definedName name="_0401070">[1]Catálogo!#REF!</definedName>
    <definedName name="_0401071">[1]Catálogo!#REF!</definedName>
    <definedName name="_0401072">[1]Catálogo!#REF!</definedName>
    <definedName name="_0401073">[1]Catálogo!#REF!</definedName>
    <definedName name="_0401074">[1]Catálogo!#REF!</definedName>
    <definedName name="_0401075">[1]Catálogo!#REF!</definedName>
    <definedName name="_0401076">[1]Catálogo!#REF!</definedName>
    <definedName name="_0401077">[1]Catálogo!#REF!</definedName>
    <definedName name="_0401078">[1]Catálogo!#REF!</definedName>
    <definedName name="_0401079">[1]Catálogo!#REF!</definedName>
    <definedName name="_0401080">[1]Catálogo!#REF!</definedName>
    <definedName name="_0401081">[1]Catálogo!#REF!</definedName>
    <definedName name="_0401082">[1]Catálogo!#REF!</definedName>
    <definedName name="_0401083">[1]Catálogo!#REF!</definedName>
    <definedName name="_0401084">[1]Catálogo!#REF!</definedName>
    <definedName name="_0401085">[1]Catálogo!#REF!</definedName>
    <definedName name="_0401087">[1]Catálogo!#REF!</definedName>
    <definedName name="_0401088">[1]Catálogo!#REF!</definedName>
    <definedName name="_0401089">[1]Catálogo!#REF!</definedName>
    <definedName name="_0401091">[1]Catálogo!#REF!</definedName>
    <definedName name="_0401092">[1]Catálogo!#REF!</definedName>
    <definedName name="_0401093">[1]Catálogo!#REF!</definedName>
    <definedName name="_0401094">[1]Catálogo!#REF!</definedName>
    <definedName name="_0401095">[1]Catálogo!#REF!</definedName>
    <definedName name="_0401097">[1]Catálogo!#REF!</definedName>
    <definedName name="_0401098">[1]Catálogo!#REF!</definedName>
    <definedName name="_0401099">[1]Catálogo!#REF!</definedName>
    <definedName name="_0401100">[1]Catálogo!#REF!</definedName>
    <definedName name="_0401101">[1]Catálogo!#REF!</definedName>
    <definedName name="_0401104">[1]Catálogo!#REF!</definedName>
    <definedName name="_0406001">[1]Catálogo!#REF!</definedName>
    <definedName name="_0406003">[1]Catálogo!#REF!</definedName>
    <definedName name="_0406005">[1]Catálogo!#REF!</definedName>
    <definedName name="_0406006">[1]Catálogo!#REF!</definedName>
    <definedName name="_0406007">[1]Catálogo!#REF!</definedName>
    <definedName name="_0406008">[1]Catálogo!#REF!</definedName>
    <definedName name="_0406014">[1]Catálogo!#REF!</definedName>
    <definedName name="_0406015">[1]Catálogo!#REF!</definedName>
    <definedName name="_1202001">[1]Catálogo!#REF!</definedName>
    <definedName name="_1202003">[1]Catálogo!#REF!</definedName>
    <definedName name="_1202010">[1]Catálogo!#REF!</definedName>
    <definedName name="_1202013">[1]Catálogo!#REF!</definedName>
    <definedName name="_1202017">[1]Catálogo!#REF!</definedName>
    <definedName name="_1202026">[1]Catálogo!#REF!</definedName>
    <definedName name="_1203002">[1]Catálogo!#REF!</definedName>
    <definedName name="_1203004">[1]Catálogo!#REF!</definedName>
    <definedName name="_1203005">[1]Catálogo!#REF!</definedName>
    <definedName name="_1203006">[1]Catálogo!#REF!</definedName>
    <definedName name="_1203008">[1]Catálogo!#REF!</definedName>
    <definedName name="_1203010">[1]Catálogo!#REF!</definedName>
    <definedName name="_1203013">[1]Catálogo!#REF!</definedName>
    <definedName name="_1203014">[1]Catálogo!#REF!</definedName>
    <definedName name="_1204002">[1]Catálogo!#REF!</definedName>
    <definedName name="_1204008">[1]Catálogo!#REF!</definedName>
    <definedName name="_1205002">[1]Catálogo!#REF!</definedName>
    <definedName name="_1206006">[1]Catálogo!#REF!</definedName>
    <definedName name="_1206011">[1]Catálogo!#REF!</definedName>
    <definedName name="_1206014">[1]Catálogo!#REF!</definedName>
    <definedName name="_1206018">[1]Catálogo!#REF!</definedName>
    <definedName name="_1701003">[1]Catálogo!#REF!</definedName>
    <definedName name="_1701004">[1]Catálogo!#REF!</definedName>
    <definedName name="_1701005">[1]Catálogo!#REF!</definedName>
    <definedName name="_1701006">[1]Catálogo!#REF!</definedName>
    <definedName name="_1701007">[1]Catálogo!#REF!</definedName>
    <definedName name="_1702001">[1]Catálogo!#REF!</definedName>
    <definedName name="_1702002">[1]Catálogo!#REF!</definedName>
    <definedName name="_1702003">[1]Catálogo!#REF!</definedName>
    <definedName name="_1702004">[1]Catálogo!#REF!</definedName>
    <definedName name="_1702005">[1]Catálogo!#REF!</definedName>
    <definedName name="_1702006">[1]Catálogo!#REF!</definedName>
    <definedName name="_1702008">[1]Catálogo!#REF!</definedName>
    <definedName name="_1702010">[1]Catálogo!#REF!</definedName>
    <definedName name="_1702013">[1]Catálogo!#REF!</definedName>
    <definedName name="_1702014">[1]Catálogo!#REF!</definedName>
    <definedName name="_1702018">[1]Catálogo!#REF!</definedName>
    <definedName name="_1702019">[1]Catálogo!#REF!</definedName>
    <definedName name="_1702022">[1]Catálogo!#REF!</definedName>
    <definedName name="_1702042">[1]Catálogo!#REF!</definedName>
    <definedName name="_1703004">[1]Catálogo!#REF!</definedName>
    <definedName name="_1703005">[1]Catálogo!#REF!</definedName>
    <definedName name="_1704011">[1]Catálogo!#REF!</definedName>
    <definedName name="_1704013">[1]Catálogo!#REF!</definedName>
    <definedName name="_1704014">[1]Catálogo!#REF!</definedName>
    <definedName name="_1704017">[1]Catálogo!#REF!</definedName>
    <definedName name="_1704018">[1]Catálogo!#REF!</definedName>
    <definedName name="_1704020">[1]Catálogo!#REF!</definedName>
    <definedName name="_1704023">[1]Catálogo!#REF!</definedName>
    <definedName name="_1704024">[1]Catálogo!#REF!</definedName>
    <definedName name="_1704025">[1]Catálogo!#REF!</definedName>
    <definedName name="_1704026">[1]Catálogo!#REF!</definedName>
    <definedName name="_1704027">[1]Catálogo!#REF!</definedName>
    <definedName name="_1704028">[1]Catálogo!#REF!</definedName>
    <definedName name="_1704029">[1]Catálogo!#REF!</definedName>
    <definedName name="_1704030">[1]Catálogo!#REF!</definedName>
    <definedName name="_1704031">[1]Catálogo!#REF!</definedName>
    <definedName name="_1704032">[1]Catálogo!#REF!</definedName>
    <definedName name="_1704033">[1]Catálogo!#REF!</definedName>
    <definedName name="_1704034">[1]Catálogo!#REF!</definedName>
    <definedName name="_1704035">[1]Catálogo!#REF!</definedName>
    <definedName name="_1704036">[1]Catálogo!#REF!</definedName>
    <definedName name="_1704037">[1]Catálogo!#REF!</definedName>
    <definedName name="_1704039">[1]Catálogo!#REF!</definedName>
    <definedName name="_1706004">[1]Catálogo!#REF!</definedName>
    <definedName name="_1706005">[1]Catálogo!#REF!</definedName>
    <definedName name="_1706008">[1]Catálogo!#REF!</definedName>
    <definedName name="_1707003">[1]Catálogo!#REF!</definedName>
    <definedName name="_1707004">[1]Catálogo!#REF!</definedName>
    <definedName name="_1707005">[1]Catálogo!#REF!</definedName>
    <definedName name="_1707006">[1]Catálogo!#REF!</definedName>
    <definedName name="_1707008">[1]Catálogo!#REF!</definedName>
    <definedName name="_1707009">[1]Catálogo!#REF!</definedName>
    <definedName name="_1707010">[1]Catálogo!#REF!</definedName>
    <definedName name="_1707012">[1]Catálogo!#REF!</definedName>
    <definedName name="_1707013">[1]Catálogo!#REF!</definedName>
    <definedName name="_1707014">[1]Catálogo!#REF!</definedName>
    <definedName name="_1707016">[1]Catálogo!#REF!</definedName>
    <definedName name="_1707017">[1]Catálogo!#REF!</definedName>
    <definedName name="_1707018">[1]Catálogo!#REF!</definedName>
    <definedName name="_1707019">[1]Catálogo!#REF!</definedName>
    <definedName name="_1707020">[1]Catálogo!#REF!</definedName>
    <definedName name="_1707021">[1]Catálogo!#REF!</definedName>
    <definedName name="_1707022">[1]Catálogo!#REF!</definedName>
    <definedName name="_1707027">[1]Catálogo!#REF!</definedName>
    <definedName name="_1707028">[1]Catálogo!#REF!</definedName>
    <definedName name="_1707031">[1]Catálogo!#REF!</definedName>
    <definedName name="_1707038">[1]Catálogo!#REF!</definedName>
    <definedName name="_1707039">[1]Catálogo!#REF!</definedName>
    <definedName name="_1707043">[1]Catálogo!#REF!</definedName>
    <definedName name="_1707044">[1]Catálogo!#REF!</definedName>
    <definedName name="_1707045">[1]Catálogo!#REF!</definedName>
    <definedName name="_1707046">[1]Catálogo!#REF!</definedName>
    <definedName name="_1707047">[1]Catálogo!#REF!</definedName>
    <definedName name="_1707048">[1]Catálogo!#REF!</definedName>
    <definedName name="_1707053">[1]Catálogo!#REF!</definedName>
    <definedName name="_1707054">[1]Catálogo!#REF!</definedName>
    <definedName name="_1707055">[1]Catálogo!#REF!</definedName>
    <definedName name="_1707057">[1]Catálogo!#REF!</definedName>
    <definedName name="_1707058">[1]Catálogo!#REF!</definedName>
    <definedName name="_1707060">[1]Catálogo!#REF!</definedName>
    <definedName name="_1707062">[1]Catálogo!#REF!</definedName>
    <definedName name="_1707063">[1]Catálogo!#REF!</definedName>
    <definedName name="_1707064">[1]Catálogo!#REF!</definedName>
    <definedName name="_1707072">[1]Catálogo!#REF!</definedName>
    <definedName name="_1707073">[1]Catálogo!#REF!</definedName>
    <definedName name="_1707075">[1]Catálogo!#REF!</definedName>
    <definedName name="_1707079">[1]Catálogo!#REF!</definedName>
    <definedName name="_1708001">[1]Catálogo!#REF!</definedName>
    <definedName name="_1708002">[1]Catálogo!#REF!</definedName>
    <definedName name="_1708003">[1]Catálogo!#REF!</definedName>
    <definedName name="_1708004">[1]Catálogo!#REF!</definedName>
    <definedName name="_1708005">[1]Catálogo!#REF!</definedName>
    <definedName name="_1708006">[1]Catálogo!#REF!</definedName>
    <definedName name="_1708007">[1]Catálogo!#REF!</definedName>
    <definedName name="_1708008">[1]Catálogo!#REF!</definedName>
    <definedName name="_1708009">[1]Catálogo!#REF!</definedName>
    <definedName name="_1708010">[1]Catálogo!#REF!</definedName>
    <definedName name="_1708011">[1]Catálogo!#REF!</definedName>
    <definedName name="_1708012">[1]Catálogo!#REF!</definedName>
    <definedName name="_1708013">[1]Catálogo!#REF!</definedName>
    <definedName name="_1708014">[1]Catálogo!#REF!</definedName>
    <definedName name="_1708017">[1]Catálogo!#REF!</definedName>
    <definedName name="_1708019">[1]Catálogo!#REF!</definedName>
    <definedName name="_1708020">[1]Catálogo!#REF!</definedName>
    <definedName name="_1708021">[1]Catálogo!#REF!</definedName>
    <definedName name="_1708022">[1]Catálogo!#REF!</definedName>
    <definedName name="_1708023">[1]Catálogo!#REF!</definedName>
    <definedName name="_1708024">[1]Catálogo!#REF!</definedName>
    <definedName name="_1708025">[1]Catálogo!#REF!</definedName>
    <definedName name="_1708026">[1]Catálogo!#REF!</definedName>
    <definedName name="_1708027">[1]Catálogo!#REF!</definedName>
    <definedName name="_1708028">[1]Catálogo!#REF!</definedName>
    <definedName name="_1708029">[1]Catálogo!#REF!</definedName>
    <definedName name="_1708030">[1]Catálogo!#REF!</definedName>
    <definedName name="_1708031">[1]Catálogo!#REF!</definedName>
    <definedName name="_1708032">[1]Catálogo!#REF!</definedName>
    <definedName name="_1708033">[1]Catálogo!#REF!</definedName>
    <definedName name="_1708034">[1]Catálogo!#REF!</definedName>
    <definedName name="_1708035">[1]Catálogo!#REF!</definedName>
    <definedName name="_1708036">[1]Catálogo!#REF!</definedName>
    <definedName name="_1708037">[1]Catálogo!#REF!</definedName>
    <definedName name="_1708041">[1]Catálogo!#REF!</definedName>
    <definedName name="_1708046">[1]Catálogo!#REF!</definedName>
    <definedName name="_1708053">[1]Catálogo!#REF!</definedName>
    <definedName name="_1708055">[1]Catálogo!#REF!</definedName>
    <definedName name="_1708058">[1]Catálogo!#REF!</definedName>
    <definedName name="_1709002">[1]Catálogo!#REF!</definedName>
    <definedName name="_1709003">[1]Catálogo!#REF!</definedName>
    <definedName name="_1709004">[1]Catálogo!#REF!</definedName>
    <definedName name="_1709005">[1]Catálogo!#REF!</definedName>
    <definedName name="_1709006">[1]Catálogo!#REF!</definedName>
    <definedName name="_1709007">[1]Catálogo!#REF!</definedName>
    <definedName name="_1709008">[1]Catálogo!#REF!</definedName>
    <definedName name="_1709009">[1]Catálogo!#REF!</definedName>
    <definedName name="_1709010">[1]Catálogo!#REF!</definedName>
    <definedName name="_1709011">[1]Catálogo!#REF!</definedName>
    <definedName name="_1709012">[1]Catálogo!#REF!</definedName>
    <definedName name="_1709013">[1]Catálogo!#REF!</definedName>
    <definedName name="_1709014">[1]Catálogo!#REF!</definedName>
    <definedName name="_1709015">[1]Catálogo!#REF!</definedName>
    <definedName name="_1709016">[1]Catálogo!#REF!</definedName>
    <definedName name="_1709017">[1]Catálogo!#REF!</definedName>
    <definedName name="_1709018">[1]Catálogo!#REF!</definedName>
    <definedName name="_1709019">[1]Catálogo!#REF!</definedName>
    <definedName name="_1709020">[1]Catálogo!#REF!</definedName>
    <definedName name="_1709021">[1]Catálogo!#REF!</definedName>
    <definedName name="_1709022">[1]Catálogo!#REF!</definedName>
    <definedName name="_1709023">[1]Catálogo!#REF!</definedName>
    <definedName name="_1709024">[1]Catálogo!#REF!</definedName>
    <definedName name="_1709025">[1]Catálogo!#REF!</definedName>
    <definedName name="_1709026">[1]Catálogo!#REF!</definedName>
    <definedName name="_1709027">[1]Catálogo!#REF!</definedName>
    <definedName name="_1709028">[1]Catálogo!#REF!</definedName>
    <definedName name="_1709029">[1]Catálogo!#REF!</definedName>
    <definedName name="_1709030">[1]Catálogo!#REF!</definedName>
    <definedName name="_1709034">[1]Catálogo!#REF!</definedName>
    <definedName name="_1709035">[1]Catálogo!#REF!</definedName>
    <definedName name="_1709036">[1]Catálogo!#REF!</definedName>
    <definedName name="_1709037">[1]Catálogo!#REF!</definedName>
    <definedName name="_1709038">[1]Catálogo!#REF!</definedName>
    <definedName name="_1709039">[1]Catálogo!#REF!</definedName>
    <definedName name="_1709040">[1]Catálogo!#REF!</definedName>
    <definedName name="_1709041">[1]Catálogo!#REF!</definedName>
    <definedName name="_1709044">[1]Catálogo!#REF!</definedName>
    <definedName name="_1709045">[1]Catálogo!#REF!</definedName>
    <definedName name="_1709046">[1]Catálogo!#REF!</definedName>
    <definedName name="_1709047">[1]Catálogo!#REF!</definedName>
    <definedName name="_1709048">[1]Catálogo!#REF!</definedName>
    <definedName name="_1709049">[1]Catálogo!#REF!</definedName>
    <definedName name="_1709050">[1]Catálogo!#REF!</definedName>
    <definedName name="_1709051">[1]Catálogo!#REF!</definedName>
    <definedName name="_1709052">[1]Catálogo!#REF!</definedName>
    <definedName name="_1709053">[1]Catálogo!#REF!</definedName>
    <definedName name="_1709054">[1]Catálogo!#REF!</definedName>
    <definedName name="_1709057">[1]Catálogo!#REF!</definedName>
    <definedName name="_1709058">[1]Catálogo!#REF!</definedName>
    <definedName name="_1709059">[1]Catálogo!#REF!</definedName>
    <definedName name="_1709060">[1]Catálogo!#REF!</definedName>
    <definedName name="_1709061">[1]Catálogo!#REF!</definedName>
    <definedName name="_1709062">[1]Catálogo!#REF!</definedName>
    <definedName name="_1709063">[1]Catálogo!#REF!</definedName>
    <definedName name="_1709064">[1]Catálogo!#REF!</definedName>
    <definedName name="_1709065">[1]Catálogo!#REF!</definedName>
    <definedName name="_1709066">[1]Catálogo!#REF!</definedName>
    <definedName name="_1709067">[1]Catálogo!#REF!</definedName>
    <definedName name="_1709068">[1]Catálogo!#REF!</definedName>
    <definedName name="_1709069">[1]Catálogo!#REF!</definedName>
    <definedName name="_1709070">[1]Catálogo!#REF!</definedName>
    <definedName name="_1709071">[1]Catálogo!#REF!</definedName>
    <definedName name="_1709072">[1]Catálogo!#REF!</definedName>
    <definedName name="_1709073">[1]Catálogo!#REF!</definedName>
    <definedName name="_1709074">[1]Catálogo!#REF!</definedName>
    <definedName name="_1709075">[1]Catálogo!#REF!</definedName>
    <definedName name="_1709076">[1]Catálogo!#REF!</definedName>
    <definedName name="_1709077">[1]Catálogo!#REF!</definedName>
    <definedName name="_1709078">[1]Catálogo!#REF!</definedName>
    <definedName name="_1709079">[1]Catálogo!#REF!</definedName>
    <definedName name="_1709080">[1]Catálogo!#REF!</definedName>
    <definedName name="_1709081">[1]Catálogo!#REF!</definedName>
    <definedName name="_1709082">[1]Catálogo!#REF!</definedName>
    <definedName name="_1709083">[1]Catálogo!#REF!</definedName>
    <definedName name="_1709084">[1]Catálogo!#REF!</definedName>
    <definedName name="_1709085">[1]Catálogo!#REF!</definedName>
    <definedName name="_1709086">[1]Catálogo!#REF!</definedName>
    <definedName name="_1709087">[1]Catálogo!#REF!</definedName>
    <definedName name="_1709088">[1]Catálogo!#REF!</definedName>
    <definedName name="_1709089">[1]Catálogo!#REF!</definedName>
    <definedName name="_1709090">[1]Catálogo!#REF!</definedName>
    <definedName name="_1709091">[1]Catálogo!#REF!</definedName>
    <definedName name="_1709092">[1]Catálogo!#REF!</definedName>
    <definedName name="_1709093">[1]Catálogo!#REF!</definedName>
    <definedName name="_1709094">[1]Catálogo!#REF!</definedName>
    <definedName name="_1709095">[1]Catálogo!#REF!</definedName>
    <definedName name="_1709096">[1]Catálogo!#REF!</definedName>
    <definedName name="_1709098">[1]Catálogo!#REF!</definedName>
    <definedName name="_1709104">[1]Catálogo!#REF!</definedName>
    <definedName name="_1903002">[1]Catálogo!#REF!</definedName>
    <definedName name="_1903003">[1]Catálogo!#REF!</definedName>
    <definedName name="_1903005">[1]Catálogo!#REF!</definedName>
    <definedName name="_1903006">[1]Catálogo!#REF!</definedName>
    <definedName name="_1903007">[1]Catálogo!#REF!</definedName>
    <definedName name="_1903009">[1]Catálogo!#REF!</definedName>
    <definedName name="_1903010">[1]Catálogo!#REF!</definedName>
    <definedName name="_1903012">[1]Catálogo!#REF!</definedName>
    <definedName name="_1903014">[1]Catálogo!#REF!</definedName>
    <definedName name="_1903015">[1]Catálogo!#REF!</definedName>
    <definedName name="_1903016">[1]Catálogo!#REF!</definedName>
    <definedName name="_1903018">[1]Catálogo!#REF!</definedName>
    <definedName name="_1903019">[1]Catálogo!#REF!</definedName>
    <definedName name="_1903020">[1]Catálogo!#REF!</definedName>
    <definedName name="_1903021">[1]Catálogo!#REF!</definedName>
    <definedName name="_1903022">[1]Catálogo!#REF!</definedName>
    <definedName name="_1903023">[1]Catálogo!#REF!</definedName>
    <definedName name="_1903024">[1]Catálogo!#REF!</definedName>
    <definedName name="_1903025">[1]Catálogo!#REF!</definedName>
    <definedName name="_1903026">[1]Catálogo!#REF!</definedName>
    <definedName name="_1903027">[1]Catálogo!#REF!</definedName>
    <definedName name="_1903028">[1]Catálogo!#REF!</definedName>
    <definedName name="_1903029">[1]Catálogo!#REF!</definedName>
    <definedName name="_1903030">[1]Catálogo!#REF!</definedName>
    <definedName name="_1903031">[1]Catálogo!#REF!</definedName>
    <definedName name="_1903032">[1]Catálogo!#REF!</definedName>
    <definedName name="_1903033">[1]Catálogo!#REF!</definedName>
    <definedName name="_1903034">[1]Catálogo!#REF!</definedName>
    <definedName name="_1903035">[1]Catálogo!#REF!</definedName>
    <definedName name="_1903037">[1]Catálogo!#REF!</definedName>
    <definedName name="_1903039">[1]Catálogo!#REF!</definedName>
    <definedName name="_1903040">[1]Catálogo!#REF!</definedName>
    <definedName name="_1903041">[1]Catálogo!#REF!</definedName>
    <definedName name="_1903042">[1]Catálogo!#REF!</definedName>
    <definedName name="_1903044">[1]Catálogo!#REF!</definedName>
    <definedName name="_1903045">[1]Catálogo!#REF!</definedName>
    <definedName name="_1903046">[1]Catálogo!#REF!</definedName>
    <definedName name="_1903049">[1]Catálogo!#REF!</definedName>
    <definedName name="_1903050">[1]Catálogo!#REF!</definedName>
    <definedName name="_1905001">[1]Catálogo!#REF!</definedName>
    <definedName name="_1905002">[1]Catálogo!#REF!</definedName>
    <definedName name="_1905003">[1]Catálogo!#REF!</definedName>
    <definedName name="_1905004">[1]Catálogo!#REF!</definedName>
    <definedName name="_1905005">[1]Catálogo!#REF!</definedName>
    <definedName name="_1905006">[1]Catálogo!#REF!</definedName>
    <definedName name="_1905007">[1]Catálogo!#REF!</definedName>
    <definedName name="_1905008">[1]Catálogo!#REF!</definedName>
    <definedName name="_1905009">[1]Catálogo!#REF!</definedName>
    <definedName name="_1905010">[1]Catálogo!#REF!</definedName>
    <definedName name="_1905011">[1]Catálogo!#REF!</definedName>
    <definedName name="_1905012">[1]Catálogo!#REF!</definedName>
    <definedName name="_1905013">[1]Catálogo!#REF!</definedName>
    <definedName name="_1905014">[1]Catálogo!#REF!</definedName>
    <definedName name="_1905016">[1]Catálogo!#REF!</definedName>
    <definedName name="_1905017">[1]Catálogo!#REF!</definedName>
    <definedName name="_1905018">[1]Catálogo!#REF!</definedName>
    <definedName name="_1905019">[1]Catálogo!#REF!</definedName>
    <definedName name="_1905030">[1]Catálogo!#REF!</definedName>
    <definedName name="_1905032">[1]Catálogo!#REF!</definedName>
    <definedName name="_1905033">[1]Catálogo!#REF!</definedName>
    <definedName name="_1905036">[1]Catálogo!#REF!</definedName>
    <definedName name="_1906001">[1]Catálogo!#REF!</definedName>
    <definedName name="_1906002">[1]Catálogo!#REF!</definedName>
    <definedName name="_1906003">[1]Catálogo!#REF!</definedName>
    <definedName name="_1906005">[1]Catálogo!#REF!</definedName>
    <definedName name="_1906006">[1]Catálogo!#REF!</definedName>
    <definedName name="_1906007">[1]Catálogo!#REF!</definedName>
    <definedName name="_1906008">[1]Catálogo!#REF!</definedName>
    <definedName name="_1906009">[1]Catálogo!#REF!</definedName>
    <definedName name="_1906010">[1]Catálogo!#REF!</definedName>
    <definedName name="_1906011">[1]Catálogo!#REF!</definedName>
    <definedName name="_1906012">[1]Catálogo!#REF!</definedName>
    <definedName name="_1906013">[1]Catálogo!#REF!</definedName>
    <definedName name="_1906014">[1]Catálogo!#REF!</definedName>
    <definedName name="_1906015">[1]Catálogo!#REF!</definedName>
    <definedName name="_1906016">[1]Catálogo!#REF!</definedName>
    <definedName name="_1906017">[1]Catálogo!#REF!</definedName>
    <definedName name="_1906018">[1]Catálogo!#REF!</definedName>
    <definedName name="_1906019">[1]Catálogo!#REF!</definedName>
    <definedName name="_1906020">[1]Catálogo!#REF!</definedName>
    <definedName name="_1906021">[1]Catálogo!#REF!</definedName>
    <definedName name="_1906024">[1]Catálogo!#REF!</definedName>
    <definedName name="_1906025">[1]Catálogo!#REF!</definedName>
    <definedName name="_1906027">[1]Catálogo!#REF!</definedName>
    <definedName name="_1906028">[1]Catálogo!#REF!</definedName>
    <definedName name="_1906029">[1]Catálogo!#REF!</definedName>
    <definedName name="_1906030">[1]Catálogo!#REF!</definedName>
    <definedName name="_1906032">[1]Catálogo!#REF!</definedName>
    <definedName name="_1906033">[1]Catálogo!#REF!</definedName>
    <definedName name="_2101002">[1]Catálogo!#REF!</definedName>
    <definedName name="_2101015">[1]Catálogo!#REF!</definedName>
    <definedName name="_2101016">[1]Catálogo!#REF!</definedName>
    <definedName name="_2102001">[1]Catálogo!#REF!</definedName>
    <definedName name="_2102002">[1]Catálogo!#REF!</definedName>
    <definedName name="_2102003">[1]Catálogo!#REF!</definedName>
    <definedName name="_2102004">[1]Catálogo!#REF!</definedName>
    <definedName name="_2102005">[1]Catálogo!#REF!</definedName>
    <definedName name="_2102006">[1]Catálogo!#REF!</definedName>
    <definedName name="_2102023">[1]Catálogo!#REF!</definedName>
    <definedName name="_2102030">[1]Catálogo!#REF!</definedName>
    <definedName name="_2102031">[1]Catálogo!#REF!</definedName>
    <definedName name="_2102033">[1]Catálogo!#REF!</definedName>
    <definedName name="_2102034">[1]Catálogo!#REF!</definedName>
    <definedName name="_2102035">[1]Catálogo!#REF!</definedName>
    <definedName name="_2102048">[1]Catálogo!#REF!</definedName>
    <definedName name="_2102049">[1]Catálogo!#REF!</definedName>
    <definedName name="_2102050">[1]Catálogo!#REF!</definedName>
    <definedName name="_2102051">[1]Catálogo!#REF!</definedName>
    <definedName name="_2102052">[1]Catálogo!#REF!</definedName>
    <definedName name="_2102056">[1]Catálogo!#REF!</definedName>
    <definedName name="_2102057">[1]Catálogo!#REF!</definedName>
    <definedName name="_2102058">[1]Catálogo!#REF!</definedName>
    <definedName name="_2102059">[1]Catálogo!#REF!</definedName>
    <definedName name="_2102060">[1]Catálogo!#REF!</definedName>
    <definedName name="_2102061">[1]Catálogo!#REF!</definedName>
    <definedName name="_2102062">[1]Catálogo!#REF!</definedName>
    <definedName name="_2102063">[1]Catálogo!#REF!</definedName>
    <definedName name="_2102064">[1]Catálogo!#REF!</definedName>
    <definedName name="_2103009">[1]Catálogo!#REF!</definedName>
    <definedName name="_2103010">[1]Catálogo!#REF!</definedName>
    <definedName name="_2103011">[1]Catálogo!#REF!</definedName>
    <definedName name="_2103012">[1]Catálogo!#REF!</definedName>
    <definedName name="_2103017">[1]Catálogo!#REF!</definedName>
    <definedName name="_2103018">[1]Catálogo!#REF!</definedName>
    <definedName name="_2103019">[1]Catálogo!#REF!</definedName>
    <definedName name="_2103020">[1]Catálogo!#REF!</definedName>
    <definedName name="_2103021">[1]Catálogo!#REF!</definedName>
    <definedName name="_2103022">[1]Catálogo!#REF!</definedName>
    <definedName name="_2103024">[1]Catálogo!#REF!</definedName>
    <definedName name="_2103025">[1]Catálogo!#REF!</definedName>
    <definedName name="_2103026">[1]Catálogo!#REF!</definedName>
    <definedName name="_2103027">[1]Catálogo!#REF!</definedName>
    <definedName name="_2104001">[1]Catálogo!#REF!</definedName>
    <definedName name="_2104002">[1]Catálogo!#REF!</definedName>
    <definedName name="_2104003">[1]Catálogo!#REF!</definedName>
    <definedName name="_2104004">[1]Catálogo!#REF!</definedName>
    <definedName name="_2104005">[1]Catálogo!#REF!</definedName>
    <definedName name="_2104008">[1]Catálogo!#REF!</definedName>
    <definedName name="_2104009">[1]Catálogo!#REF!</definedName>
    <definedName name="_2104011">[1]Catálogo!#REF!</definedName>
    <definedName name="_2104013">[1]Catálogo!#REF!</definedName>
    <definedName name="_2104014">[1]Catálogo!#REF!</definedName>
    <definedName name="_2104015">[1]Catálogo!#REF!</definedName>
    <definedName name="_2104016">[1]Catálogo!#REF!</definedName>
    <definedName name="_2104017">[1]Catálogo!#REF!</definedName>
    <definedName name="_2104018">[1]Catálogo!#REF!</definedName>
    <definedName name="_2104020">[1]Catálogo!#REF!</definedName>
    <definedName name="_2104021">[1]Catálogo!#REF!</definedName>
    <definedName name="_2104022">[1]Catálogo!#REF!</definedName>
    <definedName name="_2104024">[1]Catálogo!#REF!</definedName>
    <definedName name="_2104025">[1]Catálogo!#REF!</definedName>
    <definedName name="_2104026">[1]Catálogo!#REF!</definedName>
    <definedName name="_2104027">[1]Catálogo!#REF!</definedName>
    <definedName name="_2104028">[1]Catálogo!#REF!</definedName>
    <definedName name="_2105003">[1]Catálogo!#REF!</definedName>
    <definedName name="_2105004">[1]Catálogo!#REF!</definedName>
    <definedName name="_2105005">[1]Catálogo!#REF!</definedName>
    <definedName name="_2105006">[1]Catálogo!#REF!</definedName>
    <definedName name="_2105010">[1]Catálogo!#REF!</definedName>
    <definedName name="_2105012">[1]Catálogo!#REF!</definedName>
    <definedName name="_2105013">[1]Catálogo!#REF!</definedName>
    <definedName name="_2105014">[1]Catálogo!#REF!</definedName>
    <definedName name="_2105015">[1]Catálogo!#REF!</definedName>
    <definedName name="_2105017">[1]Catálogo!#REF!</definedName>
    <definedName name="_2105018">[1]Catálogo!#REF!</definedName>
    <definedName name="_2105019">[1]Catálogo!#REF!</definedName>
    <definedName name="_2105020">[1]Catálogo!#REF!</definedName>
    <definedName name="_2105021">[1]Catálogo!#REF!</definedName>
    <definedName name="_2106001">[1]Catálogo!#REF!</definedName>
    <definedName name="_2106003">[1]Catálogo!#REF!</definedName>
    <definedName name="_2106004">[1]Catálogo!#REF!</definedName>
    <definedName name="_2106005">[1]Catálogo!#REF!</definedName>
    <definedName name="_2106007">[1]Catálogo!#REF!</definedName>
    <definedName name="_2106009">[1]Catálogo!#REF!</definedName>
    <definedName name="_2106010">[1]Catálogo!#REF!</definedName>
    <definedName name="_2106011">[1]Catálogo!#REF!</definedName>
    <definedName name="_2106014">[1]Catálogo!#REF!</definedName>
    <definedName name="_2106015">[1]Catálogo!#REF!</definedName>
    <definedName name="_2106016">[1]Catálogo!#REF!</definedName>
    <definedName name="_2106018">[1]Catálogo!#REF!</definedName>
    <definedName name="_2106020">[1]Catálogo!#REF!</definedName>
    <definedName name="_2106022">[1]Catálogo!#REF!</definedName>
    <definedName name="_2106023">[1]Catálogo!#REF!</definedName>
    <definedName name="_2106024">[1]Catálogo!#REF!</definedName>
    <definedName name="_2106025">[1]Catálogo!#REF!</definedName>
    <definedName name="_2106029">[1]Catálogo!#REF!</definedName>
    <definedName name="_2201001">[1]Catálogo!#REF!</definedName>
    <definedName name="_2201002">[1]Catálogo!#REF!</definedName>
    <definedName name="_2201003">[1]Catálogo!#REF!</definedName>
    <definedName name="_2201004">[1]Catálogo!#REF!</definedName>
    <definedName name="_2201005">[1]Catálogo!#REF!</definedName>
    <definedName name="_2201012">[1]Catálogo!#REF!</definedName>
    <definedName name="_2201013">[1]Catálogo!#REF!</definedName>
    <definedName name="_2201014">[1]Catálogo!#REF!</definedName>
    <definedName name="_2201015">[1]Catálogo!#REF!</definedName>
    <definedName name="_2201016">[1]Catálogo!#REF!</definedName>
    <definedName name="_2201017">[1]Catálogo!#REF!</definedName>
    <definedName name="_2201018">[1]Catálogo!#REF!</definedName>
    <definedName name="_2201021">[1]Catálogo!#REF!</definedName>
    <definedName name="_2201022">[1]Catálogo!#REF!</definedName>
    <definedName name="_2201023">[1]Catálogo!#REF!</definedName>
    <definedName name="_2201026">[1]Catálogo!#REF!</definedName>
    <definedName name="_2201028">[1]Catálogo!#REF!</definedName>
    <definedName name="_2201029">[1]Catálogo!#REF!</definedName>
    <definedName name="_2201030">[1]Catálogo!#REF!</definedName>
    <definedName name="_2201031">[1]Catálogo!#REF!</definedName>
    <definedName name="_2201032">[1]Catálogo!#REF!</definedName>
    <definedName name="_2201033">[1]Catálogo!#REF!</definedName>
    <definedName name="_2201034">[1]Catálogo!#REF!</definedName>
    <definedName name="_2201035">[1]Catálogo!#REF!</definedName>
    <definedName name="_2201036">[1]Catálogo!#REF!</definedName>
    <definedName name="_2201037">[1]Catálogo!#REF!</definedName>
    <definedName name="_2201038">[1]Catálogo!#REF!</definedName>
    <definedName name="_2201039">[1]Catálogo!#REF!</definedName>
    <definedName name="_2201041">[1]Catálogo!#REF!</definedName>
    <definedName name="_2201042">[1]Catálogo!#REF!</definedName>
    <definedName name="_2201043">[1]Catálogo!#REF!</definedName>
    <definedName name="_2201044">[1]Catálogo!#REF!</definedName>
    <definedName name="_2201046">[1]Catálogo!#REF!</definedName>
    <definedName name="_2201047">[1]Catálogo!#REF!</definedName>
    <definedName name="_2201050">[1]Catálogo!#REF!</definedName>
    <definedName name="_2201056">[1]Catálogo!#REF!</definedName>
    <definedName name="_2201057">[1]Catálogo!#REF!</definedName>
    <definedName name="_2201058">[1]Catálogo!#REF!</definedName>
    <definedName name="_2201060">[1]Catálogo!#REF!</definedName>
    <definedName name="_2201061">[1]Catálogo!#REF!</definedName>
    <definedName name="_2201062">[1]Catálogo!#REF!</definedName>
    <definedName name="_2201063">[1]Catálogo!#REF!</definedName>
    <definedName name="_2201064">[1]Catálogo!#REF!</definedName>
    <definedName name="_2201065">[1]Catálogo!#REF!</definedName>
    <definedName name="_2201066">[1]Catálogo!#REF!</definedName>
    <definedName name="_2201067">[1]Catálogo!#REF!</definedName>
    <definedName name="_2201068">[1]Catálogo!#REF!</definedName>
    <definedName name="_2201071">[1]Catálogo!#REF!</definedName>
    <definedName name="_2201074">[1]Catálogo!#REF!</definedName>
    <definedName name="_2201075">[1]Catálogo!#REF!</definedName>
    <definedName name="_2201076">[1]Catálogo!#REF!</definedName>
    <definedName name="_2201077">[1]Catálogo!#REF!</definedName>
    <definedName name="_2201079">[1]Catálogo!#REF!</definedName>
    <definedName name="_2202001">[1]Catálogo!#REF!</definedName>
    <definedName name="_2202002">[1]Catálogo!#REF!</definedName>
    <definedName name="_2202003">[1]Catálogo!#REF!</definedName>
    <definedName name="_2202004">[1]Catálogo!#REF!</definedName>
    <definedName name="_2202006">[1]Catálogo!#REF!</definedName>
    <definedName name="_2202011">[1]Catálogo!#REF!</definedName>
    <definedName name="_2202012">[1]Catálogo!#REF!</definedName>
    <definedName name="_2202013">[1]Catálogo!#REF!</definedName>
    <definedName name="_2202016">[1]Catálogo!#REF!</definedName>
    <definedName name="_2202017">[1]Catálogo!#REF!</definedName>
    <definedName name="_2202018">[1]Catálogo!#REF!</definedName>
    <definedName name="_2202019">[1]Catálogo!#REF!</definedName>
    <definedName name="_2202020">[1]Catálogo!#REF!</definedName>
    <definedName name="_2202021">[1]Catálogo!#REF!</definedName>
    <definedName name="_2202022">[1]Catálogo!#REF!</definedName>
    <definedName name="_2202023">[1]Catálogo!#REF!</definedName>
    <definedName name="_2202024">[1]Catálogo!#REF!</definedName>
    <definedName name="_2202025">[1]Catálogo!#REF!</definedName>
    <definedName name="_2202026">[1]Catálogo!#REF!</definedName>
    <definedName name="_2202027">[1]Catálogo!#REF!</definedName>
    <definedName name="_2202030">[1]Catálogo!#REF!</definedName>
    <definedName name="_2202035">[1]Catálogo!#REF!</definedName>
    <definedName name="_2202036">[1]Catálogo!#REF!</definedName>
    <definedName name="_2202037">[1]Catálogo!#REF!</definedName>
    <definedName name="_2202038">[1]Catálogo!#REF!</definedName>
    <definedName name="_2202039">[1]Catálogo!#REF!</definedName>
    <definedName name="_2202040">[1]Catálogo!#REF!</definedName>
    <definedName name="_2202042">[1]Catálogo!#REF!</definedName>
    <definedName name="_2202044">[1]Catálogo!#REF!</definedName>
    <definedName name="_2202045">[1]Catálogo!#REF!</definedName>
    <definedName name="_2202047">[1]Catálogo!#REF!</definedName>
    <definedName name="_2202048">[1]Catálogo!#REF!</definedName>
    <definedName name="_2202049">[1]Catálogo!#REF!</definedName>
    <definedName name="_2202053">[1]Catálogo!#REF!</definedName>
    <definedName name="_2301001">[1]Catálogo!#REF!</definedName>
    <definedName name="_2301002">[1]Catálogo!#REF!</definedName>
    <definedName name="_2301004">[1]Catálogo!#REF!</definedName>
    <definedName name="_2301005">[1]Catálogo!#REF!</definedName>
    <definedName name="_2301006">[1]Catálogo!#REF!</definedName>
    <definedName name="_2301007">[1]Catálogo!#REF!</definedName>
    <definedName name="_2301008">[1]Catálogo!#REF!</definedName>
    <definedName name="_2301009">[1]Catálogo!#REF!</definedName>
    <definedName name="_2301010">[1]Catálogo!#REF!</definedName>
    <definedName name="_2301011">[1]Catálogo!#REF!</definedName>
    <definedName name="_2301013">[1]Catálogo!#REF!</definedName>
    <definedName name="_2301014">[1]Catálogo!#REF!</definedName>
    <definedName name="_2301015">[1]Catálogo!#REF!</definedName>
    <definedName name="_2301016">[1]Catálogo!#REF!</definedName>
    <definedName name="_2301019">[1]Catálogo!#REF!</definedName>
    <definedName name="_2301020">[1]Catálogo!#REF!</definedName>
    <definedName name="_2301021">[1]Catálogo!#REF!</definedName>
    <definedName name="_2301022">[1]Catálogo!#REF!</definedName>
    <definedName name="_2301024">[1]Catálogo!#REF!</definedName>
    <definedName name="_2301025">[1]Catálogo!#REF!</definedName>
    <definedName name="_2301026">[1]Catálogo!#REF!</definedName>
    <definedName name="_2301027">[1]Catálogo!#REF!</definedName>
    <definedName name="_2301028">[1]Catálogo!#REF!</definedName>
    <definedName name="_2301029">[1]Catálogo!#REF!</definedName>
    <definedName name="_2301030">[1]Catálogo!#REF!</definedName>
    <definedName name="_2301031">[1]Catálogo!#REF!</definedName>
    <definedName name="_2301033">[1]Catálogo!#REF!</definedName>
    <definedName name="_2301034">[1]Catálogo!#REF!</definedName>
    <definedName name="_2301035">[1]Catálogo!#REF!</definedName>
    <definedName name="_2301036">[1]Catálogo!#REF!</definedName>
    <definedName name="_2301037">[1]Catálogo!#REF!</definedName>
    <definedName name="_2301038">[1]Catálogo!#REF!</definedName>
    <definedName name="_2301040">[1]Catálogo!#REF!</definedName>
    <definedName name="_2301041">[1]Catálogo!#REF!</definedName>
    <definedName name="_2301042">[1]Catálogo!#REF!</definedName>
    <definedName name="_2301043">[1]Catálogo!#REF!</definedName>
    <definedName name="_2301044">[1]Catálogo!#REF!</definedName>
    <definedName name="_2301047">[1]Catálogo!#REF!</definedName>
    <definedName name="_2301060">[1]Catálogo!#REF!</definedName>
    <definedName name="_2301061">[1]Catálogo!#REF!</definedName>
    <definedName name="_2301063">[1]Catálogo!#REF!</definedName>
    <definedName name="_2301064">[1]Catálogo!#REF!</definedName>
    <definedName name="_2301065">[1]Catálogo!#REF!</definedName>
    <definedName name="_2301066">[1]Catálogo!#REF!</definedName>
    <definedName name="_2301068">[1]Catálogo!#REF!</definedName>
    <definedName name="_2301070">[1]Catálogo!#REF!</definedName>
    <definedName name="_2301071">[1]Catálogo!#REF!</definedName>
    <definedName name="_2301073">[1]Catálogo!#REF!</definedName>
    <definedName name="_2301079">[1]Catálogo!#REF!</definedName>
    <definedName name="_2301080">[1]Catálogo!#REF!</definedName>
    <definedName name="_2302003">[1]Catálogo!#REF!</definedName>
    <definedName name="_2302006">[1]Catálogo!#REF!</definedName>
    <definedName name="_2302007">[1]Catálogo!#REF!</definedName>
    <definedName name="_2302009">[1]Catálogo!#REF!</definedName>
    <definedName name="_2302010">[1]Catálogo!#REF!</definedName>
    <definedName name="_2302011">[1]Catálogo!#REF!</definedName>
    <definedName name="_2302012">[1]Catálogo!#REF!</definedName>
    <definedName name="_2302013">[1]Catálogo!#REF!</definedName>
    <definedName name="_2302014">[1]Catálogo!#REF!</definedName>
    <definedName name="_2302015">[1]Catálogo!#REF!</definedName>
    <definedName name="_2302016">[1]Catálogo!#REF!</definedName>
    <definedName name="_2302017">[1]Catálogo!#REF!</definedName>
    <definedName name="_2302019">[1]Catálogo!#REF!</definedName>
    <definedName name="_2302020">[1]Catálogo!#REF!</definedName>
    <definedName name="_2302021">[1]Catálogo!#REF!</definedName>
    <definedName name="_2302022">[1]Catálogo!#REF!</definedName>
    <definedName name="_2302023">[1]Catálogo!#REF!</definedName>
    <definedName name="_2302024">[1]Catálogo!#REF!</definedName>
    <definedName name="_2302025">[1]Catálogo!#REF!</definedName>
    <definedName name="_2302026">[1]Catálogo!#REF!</definedName>
    <definedName name="_2302029">[1]Catálogo!#REF!</definedName>
    <definedName name="_2302033">[1]Catálogo!#REF!</definedName>
    <definedName name="_2302034">[1]Catálogo!#REF!</definedName>
    <definedName name="_2302035">[1]Catálogo!#REF!</definedName>
    <definedName name="_2302036">[1]Catálogo!#REF!</definedName>
    <definedName name="_2302037">[1]Catálogo!#REF!</definedName>
    <definedName name="_2302039">[1]Catálogo!#REF!</definedName>
    <definedName name="_2302040">[1]Catálogo!#REF!</definedName>
    <definedName name="_2302041">[1]Catálogo!#REF!</definedName>
    <definedName name="_2302042">[1]Catálogo!#REF!</definedName>
    <definedName name="_2302043">[1]Catálogo!#REF!</definedName>
    <definedName name="_2302044">[1]Catálogo!#REF!</definedName>
    <definedName name="_2302047">[1]Catálogo!#REF!</definedName>
    <definedName name="_2302048">[1]Catálogo!#REF!</definedName>
    <definedName name="_2302049">[1]Catálogo!#REF!</definedName>
    <definedName name="_2302050">[1]Catálogo!#REF!</definedName>
    <definedName name="_2302051">[1]Catálogo!#REF!</definedName>
    <definedName name="_2302052">[1]Catálogo!#REF!</definedName>
    <definedName name="_2302053">[1]Catálogo!#REF!</definedName>
    <definedName name="_2302054">[1]Catálogo!#REF!</definedName>
    <definedName name="_2302055">[1]Catálogo!#REF!</definedName>
    <definedName name="_2302056">[1]Catálogo!#REF!</definedName>
    <definedName name="_2302057">[1]Catálogo!#REF!</definedName>
    <definedName name="_2302058">[1]Catálogo!#REF!</definedName>
    <definedName name="_2302059">[1]Catálogo!#REF!</definedName>
    <definedName name="_2302061">[1]Catálogo!#REF!</definedName>
    <definedName name="_2302062">[1]Catálogo!#REF!</definedName>
    <definedName name="_2302065">[1]Catálogo!#REF!</definedName>
    <definedName name="_2302066">[1]Catálogo!#REF!</definedName>
    <definedName name="_2302067">[1]Catálogo!#REF!</definedName>
    <definedName name="_2302068">[1]Catálogo!#REF!</definedName>
    <definedName name="_2302071">[1]Catálogo!#REF!</definedName>
    <definedName name="_2302072">[1]Catálogo!#REF!</definedName>
    <definedName name="_2302073">[1]Catálogo!#REF!</definedName>
    <definedName name="_2302074">[1]Catálogo!#REF!</definedName>
    <definedName name="_2302075">[1]Catálogo!#REF!</definedName>
    <definedName name="_2302076">[1]Catálogo!#REF!</definedName>
    <definedName name="_2302078">[1]Catálogo!#REF!</definedName>
    <definedName name="_2302079">[1]Catálogo!#REF!</definedName>
    <definedName name="_2302081">[1]Catálogo!#REF!</definedName>
    <definedName name="_2302082">[1]Catálogo!#REF!</definedName>
    <definedName name="_2302083">[1]Catálogo!#REF!</definedName>
    <definedName name="_2302084">[1]Catálogo!#REF!</definedName>
    <definedName name="_2302085">[1]Catálogo!#REF!</definedName>
    <definedName name="_2302086">[1]Catálogo!#REF!</definedName>
    <definedName name="_2302088">[1]Catálogo!#REF!</definedName>
    <definedName name="_2302089">[1]Catálogo!#REF!</definedName>
    <definedName name="_2302090">[1]Catálogo!#REF!</definedName>
    <definedName name="_2402002">[1]Catálogo!#REF!</definedName>
    <definedName name="_2402003">[1]Catálogo!#REF!</definedName>
    <definedName name="_2402004">[1]Catálogo!#REF!</definedName>
    <definedName name="_2402005">[1]Catálogo!#REF!</definedName>
    <definedName name="_2402011">[1]Catálogo!#REF!</definedName>
    <definedName name="_2402012">[1]Catálogo!#REF!</definedName>
    <definedName name="_2402013">[1]Catálogo!#REF!</definedName>
    <definedName name="_2402014">[1]Catálogo!#REF!</definedName>
    <definedName name="_2402015">[1]Catálogo!#REF!</definedName>
    <definedName name="_2402016">[1]Catálogo!#REF!</definedName>
    <definedName name="_2402017">[1]Catálogo!#REF!</definedName>
    <definedName name="_2402019">[1]Catálogo!#REF!</definedName>
    <definedName name="_2402020">[1]Catálogo!#REF!</definedName>
    <definedName name="_2402021">[1]Catálogo!#REF!</definedName>
    <definedName name="_2402022">[1]Catálogo!#REF!</definedName>
    <definedName name="_2402023">[1]Catálogo!#REF!</definedName>
    <definedName name="_2402025">[1]Catálogo!#REF!</definedName>
    <definedName name="_2402026">[1]Catálogo!#REF!</definedName>
    <definedName name="_2402027">[1]Catálogo!#REF!</definedName>
    <definedName name="_2402031">[1]Catálogo!#REF!</definedName>
    <definedName name="_2402032">[1]Catálogo!#REF!</definedName>
    <definedName name="_2402033">[1]Catálogo!#REF!</definedName>
    <definedName name="_2402034">[1]Catálogo!#REF!</definedName>
    <definedName name="_2402036">[1]Catálogo!#REF!</definedName>
    <definedName name="_2402037">[1]Catálogo!#REF!</definedName>
    <definedName name="_2402038">[1]Catálogo!#REF!</definedName>
    <definedName name="_2402040">[1]Catálogo!#REF!</definedName>
    <definedName name="_2402042">[1]Catálogo!#REF!</definedName>
    <definedName name="_2402044">[1]Catálogo!#REF!</definedName>
    <definedName name="_2402046">[1]Catálogo!#REF!</definedName>
    <definedName name="_2402048">[1]Catálogo!#REF!</definedName>
    <definedName name="_2402049">[1]Catálogo!#REF!</definedName>
    <definedName name="_2402051">[1]Catálogo!#REF!</definedName>
    <definedName name="_2402052">[1]Catálogo!#REF!</definedName>
    <definedName name="_2402053">[1]Catálogo!#REF!</definedName>
    <definedName name="_2402054">[1]Catálogo!#REF!</definedName>
    <definedName name="_2402057">[1]Catálogo!#REF!</definedName>
    <definedName name="_2402059">[1]Catálogo!#REF!</definedName>
    <definedName name="_2402060">[1]Catálogo!#REF!</definedName>
    <definedName name="_2402061">[1]Catálogo!#REF!</definedName>
    <definedName name="_2402062">[1]Catálogo!#REF!</definedName>
    <definedName name="_2402068">[1]Catálogo!#REF!</definedName>
    <definedName name="_2402069">[1]Catálogo!#REF!</definedName>
    <definedName name="_2402070">[1]Catálogo!#REF!</definedName>
    <definedName name="_2402071">[1]Catálogo!#REF!</definedName>
    <definedName name="_2402072">[1]Catálogo!#REF!</definedName>
    <definedName name="_2402073">[1]Catálogo!#REF!</definedName>
    <definedName name="_2402075">[1]Catálogo!#REF!</definedName>
    <definedName name="_2402077">[1]Catálogo!#REF!</definedName>
    <definedName name="_2402079">[1]Catálogo!#REF!</definedName>
    <definedName name="_2402080">[1]Catálogo!#REF!</definedName>
    <definedName name="_2402081">[1]Catálogo!#REF!</definedName>
    <definedName name="_2402083">[1]Catálogo!#REF!</definedName>
    <definedName name="_2402084">[1]Catálogo!#REF!</definedName>
    <definedName name="_2402085">[1]Catálogo!#REF!</definedName>
    <definedName name="_2402091">[1]Catálogo!#REF!</definedName>
    <definedName name="_2402092">[1]Catálogo!#REF!</definedName>
    <definedName name="_2402093">[1]Catálogo!#REF!</definedName>
    <definedName name="_2402094">[1]Catálogo!#REF!</definedName>
    <definedName name="_2402095">[1]Catálogo!#REF!</definedName>
    <definedName name="_2402097">[1]Catálogo!#REF!</definedName>
    <definedName name="_2402098">[1]Catálogo!#REF!</definedName>
    <definedName name="_2402100">[1]Catálogo!#REF!</definedName>
    <definedName name="_2402101">[1]Catálogo!#REF!</definedName>
    <definedName name="_2402103">[1]Catálogo!#REF!</definedName>
    <definedName name="_2402104">[1]Catálogo!#REF!</definedName>
    <definedName name="_2402105">[1]Catálogo!#REF!</definedName>
    <definedName name="_2402106">[1]Catálogo!#REF!</definedName>
    <definedName name="_2402107">[1]Catálogo!#REF!</definedName>
    <definedName name="_2402110">[1]Catálogo!#REF!</definedName>
    <definedName name="_2402111">[1]Catálogo!#REF!</definedName>
    <definedName name="_2402112">[1]Catálogo!#REF!</definedName>
    <definedName name="_2402113">[1]Catálogo!#REF!</definedName>
    <definedName name="_2402115">[1]Catálogo!#REF!</definedName>
    <definedName name="_2402117">[1]Catálogo!#REF!</definedName>
    <definedName name="_2402119">[1]Catálogo!#REF!</definedName>
    <definedName name="_2402120">[1]Catálogo!#REF!</definedName>
    <definedName name="_2402121">[1]Catálogo!#REF!</definedName>
    <definedName name="_2402122">[1]Catálogo!#REF!</definedName>
    <definedName name="_2402125">[1]Catálogo!#REF!</definedName>
    <definedName name="_2402126">[1]Catálogo!#REF!</definedName>
    <definedName name="_2402127">[1]Catálogo!#REF!</definedName>
    <definedName name="_2402128">[1]Catálogo!#REF!</definedName>
    <definedName name="_2402129">[1]Catálogo!#REF!</definedName>
    <definedName name="_2402130">[1]Catálogo!#REF!</definedName>
    <definedName name="_2402131">[1]Catálogo!#REF!</definedName>
    <definedName name="_2402132">[1]Catálogo!#REF!</definedName>
    <definedName name="_2402133">[1]Catálogo!#REF!</definedName>
    <definedName name="_2402134">[1]Catálogo!#REF!</definedName>
    <definedName name="_2403026">[1]Catálogo!#REF!</definedName>
    <definedName name="_2403027">[1]Catálogo!#REF!</definedName>
    <definedName name="_2403028">[1]Catálogo!#REF!</definedName>
    <definedName name="_2403030">[1]Catálogo!#REF!</definedName>
    <definedName name="_2403031">[1]Catálogo!#REF!</definedName>
    <definedName name="_2403032">[1]Catálogo!#REF!</definedName>
    <definedName name="_2403039">[1]Catálogo!#REF!</definedName>
    <definedName name="_2403042">[1]Catálogo!#REF!</definedName>
    <definedName name="_2403043">[1]Catálogo!#REF!</definedName>
    <definedName name="_2403044">[1]Catálogo!#REF!</definedName>
    <definedName name="_2403046">[1]Catálogo!#REF!</definedName>
    <definedName name="_2403050">[1]Catálogo!#REF!</definedName>
    <definedName name="_2403051">[1]Catálogo!#REF!</definedName>
    <definedName name="_2403052">[1]Catálogo!#REF!</definedName>
    <definedName name="_2403053">[1]Catálogo!#REF!</definedName>
    <definedName name="_2403054">[1]Catálogo!#REF!</definedName>
    <definedName name="_2403055">[1]Catálogo!#REF!</definedName>
    <definedName name="_2403056">[1]Catálogo!#REF!</definedName>
    <definedName name="_2403057">[1]Catálogo!#REF!</definedName>
    <definedName name="_2403058">[1]Catálogo!#REF!</definedName>
    <definedName name="_2403059">[1]Catálogo!#REF!</definedName>
    <definedName name="_2403060">[1]Catálogo!#REF!</definedName>
    <definedName name="_2403061">[1]Catálogo!#REF!</definedName>
    <definedName name="_2403062">[1]Catálogo!#REF!</definedName>
    <definedName name="_2403070">[1]Catálogo!#REF!</definedName>
    <definedName name="_2403071">[1]Catálogo!#REF!</definedName>
    <definedName name="_2403072">[1]Catálogo!#REF!</definedName>
    <definedName name="_2403073">[1]Catálogo!#REF!</definedName>
    <definedName name="_2403074">[1]Catálogo!#REF!</definedName>
    <definedName name="_2403075">[1]Catálogo!#REF!</definedName>
    <definedName name="_2403079">[1]Catálogo!#REF!</definedName>
    <definedName name="_2403084">[1]Catálogo!#REF!</definedName>
    <definedName name="_2403085">[1]Catálogo!#REF!</definedName>
    <definedName name="_2403086">[1]Catálogo!#REF!</definedName>
    <definedName name="_2403090">[1]Catálogo!#REF!</definedName>
    <definedName name="_2403104">[1]Catálogo!#REF!</definedName>
    <definedName name="_2403105">[1]Catálogo!#REF!</definedName>
    <definedName name="_2403106">[1]Catálogo!#REF!</definedName>
    <definedName name="_2403107">[1]Catálogo!#REF!</definedName>
    <definedName name="_2403108">[1]Catálogo!#REF!</definedName>
    <definedName name="_2403109">[1]Catálogo!#REF!</definedName>
    <definedName name="_2403110">[1]Catálogo!#REF!</definedName>
    <definedName name="_2403111">[1]Catálogo!#REF!</definedName>
    <definedName name="_2403112">[1]Catálogo!#REF!</definedName>
    <definedName name="_2403113">[1]Catálogo!#REF!</definedName>
    <definedName name="_2403114">[1]Catálogo!#REF!</definedName>
    <definedName name="_2403115">[1]Catálogo!#REF!</definedName>
    <definedName name="_2403117">[1]Catálogo!#REF!</definedName>
    <definedName name="_2403118">[1]Catálogo!#REF!</definedName>
    <definedName name="_2403119">[1]Catálogo!#REF!</definedName>
    <definedName name="_2404003">[1]Catálogo!#REF!</definedName>
    <definedName name="_2404004">[1]Catálogo!#REF!</definedName>
    <definedName name="_2404006">[1]Catálogo!#REF!</definedName>
    <definedName name="_2404007">[1]Catálogo!#REF!</definedName>
    <definedName name="_2404010">[1]Catálogo!#REF!</definedName>
    <definedName name="_2404011">[1]Catálogo!#REF!</definedName>
    <definedName name="_2404014">[1]Catálogo!#REF!</definedName>
    <definedName name="_2404015">[1]Catálogo!#REF!</definedName>
    <definedName name="_2404018">[1]Catálogo!#REF!</definedName>
    <definedName name="_2404019">[1]Catálogo!#REF!</definedName>
    <definedName name="_2404020">[1]Catálogo!#REF!</definedName>
    <definedName name="_2404021">[1]Catálogo!#REF!</definedName>
    <definedName name="_2404022">[1]Catálogo!#REF!</definedName>
    <definedName name="_2404024">[1]Catálogo!#REF!</definedName>
    <definedName name="_2404025">[1]Catálogo!#REF!</definedName>
    <definedName name="_2404026">[1]Catálogo!#REF!</definedName>
    <definedName name="_2404027">[1]Catálogo!#REF!</definedName>
    <definedName name="_2404028">[1]Catálogo!#REF!</definedName>
    <definedName name="_2404029">[1]Catálogo!#REF!</definedName>
    <definedName name="_2404030">[1]Catálogo!#REF!</definedName>
    <definedName name="_2404031">[1]Catálogo!#REF!</definedName>
    <definedName name="_2404032">[1]Catálogo!#REF!</definedName>
    <definedName name="_2404033">[1]Catálogo!#REF!</definedName>
    <definedName name="_2404034">[1]Catálogo!#REF!</definedName>
    <definedName name="_2404035">[1]Catálogo!#REF!</definedName>
    <definedName name="_2404036">[1]Catálogo!#REF!</definedName>
    <definedName name="_2404037">[1]Catálogo!#REF!</definedName>
    <definedName name="_2404040">[1]Catálogo!#REF!</definedName>
    <definedName name="_2404041">[1]Catálogo!#REF!</definedName>
    <definedName name="_2404042">[1]Catálogo!#REF!</definedName>
    <definedName name="_2404043">[1]Catálogo!#REF!</definedName>
    <definedName name="_2404044">[1]Catálogo!#REF!</definedName>
    <definedName name="_2406001">[1]Catálogo!#REF!</definedName>
    <definedName name="_2406003">[1]Catálogo!#REF!</definedName>
    <definedName name="_2406004">[1]Catálogo!#REF!</definedName>
    <definedName name="_2406005">[1]Catálogo!#REF!</definedName>
    <definedName name="_2406008">[1]Catálogo!#REF!</definedName>
    <definedName name="_2406011">[1]Catálogo!#REF!</definedName>
    <definedName name="_2406012">[1]Catálogo!#REF!</definedName>
    <definedName name="_2406014">[1]Catálogo!#REF!</definedName>
    <definedName name="_2406015">[1]Catálogo!#REF!</definedName>
    <definedName name="_2406016">[1]Catálogo!#REF!</definedName>
    <definedName name="_2406019">[1]Catálogo!#REF!</definedName>
    <definedName name="_2406022">[1]Catálogo!#REF!</definedName>
    <definedName name="_2406023">[1]Catálogo!#REF!</definedName>
    <definedName name="_2406024">[1]Catálogo!#REF!</definedName>
    <definedName name="_2406025">[1]Catálogo!#REF!</definedName>
    <definedName name="_2406026">[1]Catálogo!#REF!</definedName>
    <definedName name="_2406027">[1]Catálogo!#REF!</definedName>
    <definedName name="_2406028">[1]Catálogo!#REF!</definedName>
    <definedName name="_2406030">[1]Catálogo!#REF!</definedName>
    <definedName name="_2406031">[1]Catálogo!#REF!</definedName>
    <definedName name="_2406032">[1]Catálogo!#REF!</definedName>
    <definedName name="_2406033">[1]Catálogo!#REF!</definedName>
    <definedName name="_2406034">[1]Catálogo!#REF!</definedName>
    <definedName name="_2406035">[1]Catálogo!#REF!</definedName>
    <definedName name="_2406036">[1]Catálogo!#REF!</definedName>
    <definedName name="_2406037">[1]Catálogo!#REF!</definedName>
    <definedName name="_2406038">[1]Catálogo!#REF!</definedName>
    <definedName name="_2406040">[1]Catálogo!#REF!</definedName>
    <definedName name="_2406041">[1]Catálogo!#REF!</definedName>
    <definedName name="_2406042">[1]Catálogo!#REF!</definedName>
    <definedName name="_2406043">[1]Catálogo!#REF!</definedName>
    <definedName name="_2406044">[1]Catálogo!#REF!</definedName>
    <definedName name="_2406046">[1]Catálogo!#REF!</definedName>
    <definedName name="_2406047">[1]Catálogo!#REF!</definedName>
    <definedName name="_2406049">[1]Catálogo!#REF!</definedName>
    <definedName name="_2406050">[1]Catálogo!#REF!</definedName>
    <definedName name="_2406051">[1]Catálogo!#REF!</definedName>
    <definedName name="_2406053">[1]Catálogo!#REF!</definedName>
    <definedName name="_2406054">[1]Catálogo!#REF!</definedName>
    <definedName name="_2406055">[1]Catálogo!#REF!</definedName>
    <definedName name="_2407001">[1]Catálogo!#REF!</definedName>
    <definedName name="_2407002">[1]Catálogo!#REF!</definedName>
    <definedName name="_2407003">[1]Catálogo!#REF!</definedName>
    <definedName name="_2407004">[1]Catálogo!#REF!</definedName>
    <definedName name="_2407005">[1]Catálogo!#REF!</definedName>
    <definedName name="_2407006">[1]Catálogo!#REF!</definedName>
    <definedName name="_2407007">[1]Catálogo!#REF!</definedName>
    <definedName name="_2407008">[1]Catálogo!#REF!</definedName>
    <definedName name="_2407010">[1]Catálogo!#REF!</definedName>
    <definedName name="_2408001">[1]Catálogo!#REF!</definedName>
    <definedName name="_2408002">[1]Catálogo!#REF!</definedName>
    <definedName name="_2408003">[1]Catálogo!#REF!</definedName>
    <definedName name="_2408004">[1]Catálogo!#REF!</definedName>
    <definedName name="_2408005">[1]Catálogo!#REF!</definedName>
    <definedName name="_2408006">[1]Catálogo!#REF!</definedName>
    <definedName name="_2408007">[1]Catálogo!#REF!</definedName>
    <definedName name="_2408008">[1]Catálogo!#REF!</definedName>
    <definedName name="_2408009">[1]Catálogo!#REF!</definedName>
    <definedName name="_2408010">[1]Catálogo!#REF!</definedName>
    <definedName name="_2408011">[1]Catálogo!#REF!</definedName>
    <definedName name="_2408012">[1]Catálogo!#REF!</definedName>
    <definedName name="_2408015">[1]Catálogo!#REF!</definedName>
    <definedName name="_2408017">[1]Catálogo!#REF!</definedName>
    <definedName name="_2408018">[1]Catálogo!#REF!</definedName>
    <definedName name="_2408020">[1]Catálogo!#REF!</definedName>
    <definedName name="_2408021">[1]Catálogo!#REF!</definedName>
    <definedName name="_2408022">[1]Catálogo!#REF!</definedName>
    <definedName name="_2408023">[1]Catálogo!#REF!</definedName>
    <definedName name="_2408024">[1]Catálogo!#REF!</definedName>
    <definedName name="_2408025">[1]Catálogo!#REF!</definedName>
    <definedName name="_2408026">[1]Catálogo!#REF!</definedName>
    <definedName name="_2408027">[1]Catálogo!#REF!</definedName>
    <definedName name="_2408029">[1]Catálogo!#REF!</definedName>
    <definedName name="_2408030">[1]Catálogo!#REF!</definedName>
    <definedName name="_2408034">[1]Catálogo!#REF!</definedName>
    <definedName name="_2408035">[1]Catálogo!#REF!</definedName>
    <definedName name="_2408036">[1]Catálogo!#REF!</definedName>
    <definedName name="_2408037">[1]Catálogo!#REF!</definedName>
    <definedName name="_2408038">[1]Catálogo!#REF!</definedName>
    <definedName name="_2408039">[1]Catálogo!#REF!</definedName>
    <definedName name="_2408040">[1]Catálogo!#REF!</definedName>
    <definedName name="_2408041">[1]Catálogo!#REF!</definedName>
    <definedName name="_2408042">[1]Catálogo!#REF!</definedName>
    <definedName name="_2408043">[1]Catálogo!#REF!</definedName>
    <definedName name="_2408044">[1]Catálogo!#REF!</definedName>
    <definedName name="_2408045">[1]Catálogo!#REF!</definedName>
    <definedName name="_2408046">[1]Catálogo!#REF!</definedName>
    <definedName name="_2408047">[1]Catálogo!#REF!</definedName>
    <definedName name="_2409001">[1]Catálogo!#REF!</definedName>
    <definedName name="_2409002">[1]Catálogo!#REF!</definedName>
    <definedName name="_2409003">[1]Catálogo!#REF!</definedName>
    <definedName name="_2409004">[1]Catálogo!#REF!</definedName>
    <definedName name="_2409006">[1]Catálogo!#REF!</definedName>
    <definedName name="_2409007">[1]Catálogo!#REF!</definedName>
    <definedName name="_2409008">[1]Catálogo!#REF!</definedName>
    <definedName name="_2409009">[1]Catálogo!#REF!</definedName>
    <definedName name="_2409011">[1]Catálogo!#REF!</definedName>
    <definedName name="_2409012">[1]Catálogo!#REF!</definedName>
    <definedName name="_2409014">[1]Catálogo!#REF!</definedName>
    <definedName name="_2409016">[1]Catálogo!#REF!</definedName>
    <definedName name="_2409017">[1]Catálogo!#REF!</definedName>
    <definedName name="_2409019">[1]Catálogo!#REF!</definedName>
    <definedName name="_2409022">[1]Catálogo!#REF!</definedName>
    <definedName name="_2409023">[1]Catálogo!#REF!</definedName>
    <definedName name="_2409024">[1]Catálogo!#REF!</definedName>
    <definedName name="_2409025">[1]Catálogo!#REF!</definedName>
    <definedName name="_2409026">[1]Catálogo!#REF!</definedName>
    <definedName name="_2409027">[1]Catálogo!#REF!</definedName>
    <definedName name="_2409028">[1]Catálogo!#REF!</definedName>
    <definedName name="_2409029">[1]Catálogo!#REF!</definedName>
    <definedName name="_2409030">[1]Catálogo!#REF!</definedName>
    <definedName name="_2409031">[1]Catálogo!#REF!</definedName>
    <definedName name="_2409032">[1]Catálogo!#REF!</definedName>
    <definedName name="_2409033">[1]Catálogo!#REF!</definedName>
    <definedName name="_2409034">[1]Catálogo!#REF!</definedName>
    <definedName name="_2409035">[1]Catálogo!#REF!</definedName>
    <definedName name="_2409036">[1]Catálogo!#REF!</definedName>
    <definedName name="_2409037">[1]Catálogo!#REF!</definedName>
    <definedName name="_2409038">[1]Catálogo!#REF!</definedName>
    <definedName name="_2409040">[1]Catálogo!#REF!</definedName>
    <definedName name="_2409041">[1]Catálogo!#REF!</definedName>
    <definedName name="_2409042">[1]Catálogo!#REF!</definedName>
    <definedName name="_2409043">[1]Catálogo!#REF!</definedName>
    <definedName name="_2409046">[1]Catálogo!#REF!</definedName>
    <definedName name="_2409047">[1]Catálogo!#REF!</definedName>
    <definedName name="_2409048">[1]Catálogo!#REF!</definedName>
    <definedName name="_2409049">[1]Catálogo!#REF!</definedName>
    <definedName name="_2409050">[1]Catálogo!#REF!</definedName>
    <definedName name="_2409051">[1]Catálogo!#REF!</definedName>
    <definedName name="_2409053">[1]Catálogo!#REF!</definedName>
    <definedName name="_2409054">[1]Catálogo!#REF!</definedName>
    <definedName name="_2409055">[1]Catálogo!#REF!</definedName>
    <definedName name="_2409056">[1]Catálogo!#REF!</definedName>
    <definedName name="_2409057">[1]Catálogo!#REF!</definedName>
    <definedName name="_2409059">[1]Catálogo!#REF!</definedName>
    <definedName name="_2409062">[1]Catálogo!#REF!</definedName>
    <definedName name="_3201002">[1]Catálogo!#REF!</definedName>
    <definedName name="_3201003">[1]Catálogo!#REF!</definedName>
    <definedName name="_3201004">[1]Catálogo!#REF!</definedName>
    <definedName name="_3201005">[1]Catálogo!#REF!</definedName>
    <definedName name="_3201006">[1]Catálogo!#REF!</definedName>
    <definedName name="_3201007">[1]Catálogo!#REF!</definedName>
    <definedName name="_3201008">[1]Catálogo!#REF!</definedName>
    <definedName name="_3201009">[1]Catálogo!#REF!</definedName>
    <definedName name="_3201010">[1]Catálogo!#REF!</definedName>
    <definedName name="_3201012">[1]Catálogo!#REF!</definedName>
    <definedName name="_3201013">[1]Catálogo!#REF!</definedName>
    <definedName name="_3201014">[1]Catálogo!#REF!</definedName>
    <definedName name="_3201015">[1]Catálogo!#REF!</definedName>
    <definedName name="_3201017">[1]Catálogo!#REF!</definedName>
    <definedName name="_3201018">[1]Catálogo!#REF!</definedName>
    <definedName name="_3201019">[1]Catálogo!#REF!</definedName>
    <definedName name="_3201020">[1]Catálogo!#REF!</definedName>
    <definedName name="_3201021">[1]Catálogo!#REF!</definedName>
    <definedName name="_3201022">[1]Catálogo!#REF!</definedName>
    <definedName name="_3201023">[1]Catálogo!#REF!</definedName>
    <definedName name="_3201024">[1]Catálogo!#REF!</definedName>
    <definedName name="_3201025">[1]Catálogo!#REF!</definedName>
    <definedName name="_3201026">[1]Catálogo!#REF!</definedName>
    <definedName name="_3201027">[1]Catálogo!#REF!</definedName>
    <definedName name="_3202002">[1]Catálogo!#REF!</definedName>
    <definedName name="_3202003">[1]Catálogo!#REF!</definedName>
    <definedName name="_3202004">[1]Catálogo!#REF!</definedName>
    <definedName name="_3202005">[1]Catálogo!#REF!</definedName>
    <definedName name="_3202006">[1]Catálogo!#REF!</definedName>
    <definedName name="_3202007">[1]Catálogo!#REF!</definedName>
    <definedName name="_3202008">[1]Catálogo!#REF!</definedName>
    <definedName name="_3202009">[1]Catálogo!#REF!</definedName>
    <definedName name="_3202010">[1]Catálogo!#REF!</definedName>
    <definedName name="_3202013">[1]Catálogo!#REF!</definedName>
    <definedName name="_3202014">[1]Catálogo!#REF!</definedName>
    <definedName name="_3202018">[1]Catálogo!#REF!</definedName>
    <definedName name="_3202019">[1]Catálogo!#REF!</definedName>
    <definedName name="_3202020">[1]Catálogo!#REF!</definedName>
    <definedName name="_3202021">[1]Catálogo!#REF!</definedName>
    <definedName name="_3202022">[1]Catálogo!#REF!</definedName>
    <definedName name="_3202023">[1]Catálogo!#REF!</definedName>
    <definedName name="_3202024">[1]Catálogo!#REF!</definedName>
    <definedName name="_3202025">[1]Catálogo!#REF!</definedName>
    <definedName name="_3202026">[1]Catálogo!#REF!</definedName>
    <definedName name="_3202027">[1]Catálogo!#REF!</definedName>
    <definedName name="_3202028">[1]Catálogo!#REF!</definedName>
    <definedName name="_3202029">[1]Catálogo!#REF!</definedName>
    <definedName name="_3202030">[1]Catálogo!#REF!</definedName>
    <definedName name="_3202031">[1]Catálogo!#REF!</definedName>
    <definedName name="_3202032">[1]Catálogo!#REF!</definedName>
    <definedName name="_3202033">[1]Catálogo!#REF!</definedName>
    <definedName name="_3202034">[1]Catálogo!#REF!</definedName>
    <definedName name="_3202038">[1]Catálogo!#REF!</definedName>
    <definedName name="_3202040">[1]Catálogo!#REF!</definedName>
    <definedName name="_3202041">[1]Catálogo!#REF!</definedName>
    <definedName name="_3202042">[1]Catálogo!#REF!</definedName>
    <definedName name="_3202044">[1]Catálogo!#REF!</definedName>
    <definedName name="_3203001">[1]Catálogo!#REF!</definedName>
    <definedName name="_3203003">[1]Catálogo!#REF!</definedName>
    <definedName name="_3203004">[1]Catálogo!#REF!</definedName>
    <definedName name="_3203005">[1]Catálogo!#REF!</definedName>
    <definedName name="_3203006">[1]Catálogo!#REF!</definedName>
    <definedName name="_3203008">[1]Catálogo!#REF!</definedName>
    <definedName name="_3203009">[1]Catálogo!#REF!</definedName>
    <definedName name="_3203010">[1]Catálogo!#REF!</definedName>
    <definedName name="_3203011">[1]Catálogo!#REF!</definedName>
    <definedName name="_3203012">[1]Catálogo!#REF!</definedName>
    <definedName name="_3203014">[1]Catálogo!#REF!</definedName>
    <definedName name="_3203015">[1]Catálogo!#REF!</definedName>
    <definedName name="_3203016">[1]Catálogo!#REF!</definedName>
    <definedName name="_3203017">[1]Catálogo!#REF!</definedName>
    <definedName name="_3203018">[1]Catálogo!#REF!</definedName>
    <definedName name="_3203021">[1]Catálogo!#REF!</definedName>
    <definedName name="_3203022">[1]Catálogo!#REF!</definedName>
    <definedName name="_3203023">[1]Catálogo!#REF!</definedName>
    <definedName name="_3203024">[1]Catálogo!#REF!</definedName>
    <definedName name="_3203025">[1]Catálogo!#REF!</definedName>
    <definedName name="_3203026">[1]Catálogo!#REF!</definedName>
    <definedName name="_3203027">[1]Catálogo!#REF!</definedName>
    <definedName name="_3203028">[1]Catálogo!#REF!</definedName>
    <definedName name="_3203030">[1]Catálogo!#REF!</definedName>
    <definedName name="_3203031">[1]Catálogo!#REF!</definedName>
    <definedName name="_3203032">[1]Catálogo!#REF!</definedName>
    <definedName name="_3203033">[1]Catálogo!#REF!</definedName>
    <definedName name="_3203034">[1]Catálogo!#REF!</definedName>
    <definedName name="_3203035">[1]Catálogo!#REF!</definedName>
    <definedName name="_3203036">[1]Catálogo!#REF!</definedName>
    <definedName name="_3203037">[1]Catálogo!#REF!</definedName>
    <definedName name="_3203038">[1]Catálogo!#REF!</definedName>
    <definedName name="_3203039">[1]Catálogo!#REF!</definedName>
    <definedName name="_3203040">[1]Catálogo!#REF!</definedName>
    <definedName name="_3203041">[1]Catálogo!#REF!</definedName>
    <definedName name="_3203042">[1]Catálogo!#REF!</definedName>
    <definedName name="_3203043">[1]Catálogo!#REF!</definedName>
    <definedName name="_3203044">[1]Catálogo!#REF!</definedName>
    <definedName name="_3203045">[1]Catálogo!#REF!</definedName>
    <definedName name="_3203046">[1]Catálogo!#REF!</definedName>
    <definedName name="_3203047">[1]Catálogo!#REF!</definedName>
    <definedName name="_3204002">[1]Catálogo!#REF!</definedName>
    <definedName name="_3204003">[1]Catálogo!#REF!</definedName>
    <definedName name="_3204004">[1]Catálogo!#REF!</definedName>
    <definedName name="_3204006">[1]Catálogo!#REF!</definedName>
    <definedName name="_3204007">[1]Catálogo!#REF!</definedName>
    <definedName name="_3204008">[1]Catálogo!#REF!</definedName>
    <definedName name="_3204009">[1]Catálogo!#REF!</definedName>
    <definedName name="_3204011">[1]Catálogo!#REF!</definedName>
    <definedName name="_3204012">[1]Catálogo!#REF!</definedName>
    <definedName name="_3204013">[1]Catálogo!#REF!</definedName>
    <definedName name="_3204014">[1]Catálogo!#REF!</definedName>
    <definedName name="_3204015">[1]Catálogo!#REF!</definedName>
    <definedName name="_3204017">[1]Catálogo!#REF!</definedName>
    <definedName name="_3204018">[1]Catálogo!#REF!</definedName>
    <definedName name="_3204019">[1]Catálogo!#REF!</definedName>
    <definedName name="_3204021">[1]Catálogo!#REF!</definedName>
    <definedName name="_3204022">[1]Catálogo!#REF!</definedName>
    <definedName name="_3204023">[1]Catálogo!#REF!</definedName>
    <definedName name="_3204025">[1]Catálogo!#REF!</definedName>
    <definedName name="_3204026">[1]Catálogo!#REF!</definedName>
    <definedName name="_3204027">[1]Catálogo!#REF!</definedName>
    <definedName name="_3204028">[1]Catálogo!#REF!</definedName>
    <definedName name="_3204029">[1]Catálogo!#REF!</definedName>
    <definedName name="_3204030">[1]Catálogo!#REF!</definedName>
    <definedName name="_3204031">[1]Catálogo!#REF!</definedName>
    <definedName name="_3204032">[1]Catálogo!#REF!</definedName>
    <definedName name="_3204033">[1]Catálogo!#REF!</definedName>
    <definedName name="_3204034">[1]Catálogo!#REF!</definedName>
    <definedName name="_3204035">[1]Catálogo!#REF!</definedName>
    <definedName name="_3204036">[1]Catálogo!#REF!</definedName>
    <definedName name="_3204037">[1]Catálogo!#REF!</definedName>
    <definedName name="_3204038">[1]Catálogo!#REF!</definedName>
    <definedName name="_3204039">[1]Catálogo!#REF!</definedName>
    <definedName name="_3204040">[1]Catálogo!#REF!</definedName>
    <definedName name="_3204041">[1]Catálogo!#REF!</definedName>
    <definedName name="_3204042">[1]Catálogo!#REF!</definedName>
    <definedName name="_3204043">[1]Catálogo!#REF!</definedName>
    <definedName name="_3204046">[1]Catálogo!#REF!</definedName>
    <definedName name="_3204048">[1]Catálogo!#REF!</definedName>
    <definedName name="_3204049">[1]Catálogo!#REF!</definedName>
    <definedName name="_3204050">[1]Catálogo!#REF!</definedName>
    <definedName name="_3204051">[1]Catálogo!#REF!</definedName>
    <definedName name="_3204052">[1]Catálogo!#REF!</definedName>
    <definedName name="_3204058">[1]Catálogo!#REF!</definedName>
    <definedName name="_3205001">[1]Catálogo!#REF!</definedName>
    <definedName name="_3205002">[1]Catálogo!#REF!</definedName>
    <definedName name="_3205006">[1]Catálogo!#REF!</definedName>
    <definedName name="_3205007">[1]Catálogo!#REF!</definedName>
    <definedName name="_3205008">[1]Catálogo!#REF!</definedName>
    <definedName name="_3205010">[1]Catálogo!#REF!</definedName>
    <definedName name="_3205011">[1]Catálogo!#REF!</definedName>
    <definedName name="_3205014">[1]Catálogo!#REF!</definedName>
    <definedName name="_3205015">[1]Catálogo!#REF!</definedName>
    <definedName name="_3205016">[1]Catálogo!#REF!</definedName>
    <definedName name="_3205017">[1]Catálogo!#REF!</definedName>
    <definedName name="_3205018">[1]Catálogo!#REF!</definedName>
    <definedName name="_3205019">[1]Catálogo!#REF!</definedName>
    <definedName name="_3205020">[1]Catálogo!#REF!</definedName>
    <definedName name="_3206001">[1]Catálogo!#REF!</definedName>
    <definedName name="_3206003">[1]Catálogo!#REF!</definedName>
    <definedName name="_3206004">[1]Catálogo!#REF!</definedName>
    <definedName name="_3206005">[1]Catálogo!#REF!</definedName>
    <definedName name="_3206007">[1]Catálogo!#REF!</definedName>
    <definedName name="_3206008">[1]Catálogo!#REF!</definedName>
    <definedName name="_3206012">[1]Catálogo!#REF!</definedName>
    <definedName name="_3206014">[1]Catálogo!#REF!</definedName>
    <definedName name="_3206015">[1]Catálogo!#REF!</definedName>
    <definedName name="_3207002">[1]Catálogo!#REF!</definedName>
    <definedName name="_3207005">[1]Catálogo!#REF!</definedName>
    <definedName name="_3207006">[1]Catálogo!#REF!</definedName>
    <definedName name="_3207007">[1]Catálogo!#REF!</definedName>
    <definedName name="_3207008">[1]Catálogo!#REF!</definedName>
    <definedName name="_3207009">[1]Catálogo!#REF!</definedName>
    <definedName name="_3207017">[1]Catálogo!#REF!</definedName>
    <definedName name="_3207018">[1]Catálogo!#REF!</definedName>
    <definedName name="_3208001">[1]Catálogo!#REF!</definedName>
    <definedName name="_3208002">[1]Catálogo!#REF!</definedName>
    <definedName name="_3208003">[1]Catálogo!#REF!</definedName>
    <definedName name="_3208005">[1]Catálogo!#REF!</definedName>
    <definedName name="_3208006">[1]Catálogo!#REF!</definedName>
    <definedName name="_3208007">[1]Catálogo!#REF!</definedName>
    <definedName name="_3208008">[1]Catálogo!#REF!</definedName>
    <definedName name="_3301001">[1]Catálogo!#REF!</definedName>
    <definedName name="_3301002">[1]Catálogo!#REF!</definedName>
    <definedName name="_3301003">[1]Catálogo!#REF!</definedName>
    <definedName name="_3301004">[1]Catálogo!#REF!</definedName>
    <definedName name="_3301005">[1]Catálogo!#REF!</definedName>
    <definedName name="_3301006">[1]Catálogo!#REF!</definedName>
    <definedName name="_3301007">[1]Catálogo!#REF!</definedName>
    <definedName name="_3301008">[1]Catálogo!#REF!</definedName>
    <definedName name="_3301009">[1]Catálogo!#REF!</definedName>
    <definedName name="_3301010">[1]Catálogo!#REF!</definedName>
    <definedName name="_3301016">[1]Catálogo!#REF!</definedName>
    <definedName name="_3301017">[1]Catálogo!#REF!</definedName>
    <definedName name="_3301018">[1]Catálogo!#REF!</definedName>
    <definedName name="_3301019">[1]Catálogo!#REF!</definedName>
    <definedName name="_3301020">[1]Catálogo!#REF!</definedName>
    <definedName name="_3301021">[1]Catálogo!#REF!</definedName>
    <definedName name="_3301022">[1]Catálogo!#REF!</definedName>
    <definedName name="_3301023">[1]Catálogo!#REF!</definedName>
    <definedName name="_3301024">[1]Catálogo!#REF!</definedName>
    <definedName name="_3301025">[1]Catálogo!#REF!</definedName>
    <definedName name="_3301026">[1]Catálogo!#REF!</definedName>
    <definedName name="_3301027">[1]Catálogo!#REF!</definedName>
    <definedName name="_3301028">[1]Catálogo!#REF!</definedName>
    <definedName name="_3301029">[1]Catálogo!#REF!</definedName>
    <definedName name="_3301030">[1]Catálogo!#REF!</definedName>
    <definedName name="_3301031">[1]Catálogo!#REF!</definedName>
    <definedName name="_3301032">[1]Catálogo!#REF!</definedName>
    <definedName name="_3301033">[1]Catálogo!#REF!</definedName>
    <definedName name="_3301034">[1]Catálogo!#REF!</definedName>
    <definedName name="_3301035">[1]Catálogo!#REF!</definedName>
    <definedName name="_3301036">[1]Catálogo!#REF!</definedName>
    <definedName name="_3301037">[1]Catálogo!#REF!</definedName>
    <definedName name="_3301038">[1]Catálogo!#REF!</definedName>
    <definedName name="_3301039">[1]Catálogo!#REF!</definedName>
    <definedName name="_3301040">[1]Catálogo!#REF!</definedName>
    <definedName name="_3301041">[1]Catálogo!#REF!</definedName>
    <definedName name="_3301042">[1]Catálogo!#REF!</definedName>
    <definedName name="_3301043">[1]Catálogo!#REF!</definedName>
    <definedName name="_3301044">[1]Catálogo!#REF!</definedName>
    <definedName name="_3301045">[1]Catálogo!#REF!</definedName>
    <definedName name="_3301046">[1]Catálogo!#REF!</definedName>
    <definedName name="_3301047">[1]Catálogo!#REF!</definedName>
    <definedName name="_3301048">[1]Catálogo!#REF!</definedName>
    <definedName name="_3301049">[1]Catálogo!#REF!</definedName>
    <definedName name="_3301050">[1]Catálogo!#REF!</definedName>
    <definedName name="_3301052">[1]Catálogo!#REF!</definedName>
    <definedName name="_3301053">[1]Catálogo!#REF!</definedName>
    <definedName name="_3301055">[1]Catálogo!#REF!</definedName>
    <definedName name="_3301057">[1]Catálogo!#REF!</definedName>
    <definedName name="_3301058">[1]Catálogo!#REF!</definedName>
    <definedName name="_3301059">[1]Catálogo!#REF!</definedName>
    <definedName name="_3301061">[1]Catálogo!#REF!</definedName>
    <definedName name="_3301062">[1]Catálogo!#REF!</definedName>
    <definedName name="_3301063">[1]Catálogo!#REF!</definedName>
    <definedName name="_3301064">[1]Catálogo!#REF!</definedName>
    <definedName name="_3301065">[1]Catálogo!#REF!</definedName>
    <definedName name="_3301066">[1]Catálogo!#REF!</definedName>
    <definedName name="_3301067">[1]Catálogo!#REF!</definedName>
    <definedName name="_3301068">[1]Catálogo!#REF!</definedName>
    <definedName name="_3301069">[1]Catálogo!#REF!</definedName>
    <definedName name="_3301070">[1]Catálogo!#REF!</definedName>
    <definedName name="_3301071">[1]Catálogo!#REF!</definedName>
    <definedName name="_3301073">[1]Catálogo!#REF!</definedName>
    <definedName name="_3301075">[1]Catálogo!#REF!</definedName>
    <definedName name="_3301076">[1]Catálogo!#REF!</definedName>
    <definedName name="_3301078">[1]Catálogo!#REF!</definedName>
    <definedName name="_3301079">[1]Catálogo!#REF!</definedName>
    <definedName name="_3301080">[1]Catálogo!#REF!</definedName>
    <definedName name="_3301081">[1]Catálogo!#REF!</definedName>
    <definedName name="_3301082">[1]Catálogo!#REF!</definedName>
    <definedName name="_3301083">[1]Catálogo!#REF!</definedName>
    <definedName name="_3301084">[1]Catálogo!#REF!</definedName>
    <definedName name="_3301085">[1]Catálogo!#REF!</definedName>
    <definedName name="_3301087">[1]Catálogo!#REF!</definedName>
    <definedName name="_3301088">[1]Catálogo!#REF!</definedName>
    <definedName name="_3301089">[1]Catálogo!#REF!</definedName>
    <definedName name="_3301090">[1]Catálogo!#REF!</definedName>
    <definedName name="_3301091">[1]Catálogo!#REF!</definedName>
    <definedName name="_3301092">[1]Catálogo!#REF!</definedName>
    <definedName name="_3301093">[1]Catálogo!#REF!</definedName>
    <definedName name="_3301094">[1]Catálogo!#REF!</definedName>
    <definedName name="_3301095">[1]Catálogo!#REF!</definedName>
    <definedName name="_3301096">[1]Catálogo!#REF!</definedName>
    <definedName name="_3301097">[1]Catálogo!#REF!</definedName>
    <definedName name="_3301098">[1]Catálogo!#REF!</definedName>
    <definedName name="_3301099">[1]Catálogo!#REF!</definedName>
    <definedName name="_3301100">[1]Catálogo!#REF!</definedName>
    <definedName name="_3301118">[1]Catálogo!#REF!</definedName>
    <definedName name="_3301119">[1]Catálogo!#REF!</definedName>
    <definedName name="_3301120">[1]Catálogo!#REF!</definedName>
    <definedName name="_3301122">[1]Catálogo!#REF!</definedName>
    <definedName name="_3301123">[1]Catálogo!#REF!</definedName>
    <definedName name="_3301124">[1]Catálogo!#REF!</definedName>
    <definedName name="_3301125">[1]Catálogo!#REF!</definedName>
    <definedName name="_3302002">[1]Catálogo!#REF!</definedName>
    <definedName name="_3302003">[1]Catálogo!#REF!</definedName>
    <definedName name="_3302004">[1]Catálogo!#REF!</definedName>
    <definedName name="_3302005">[1]Catálogo!#REF!</definedName>
    <definedName name="_3302006">[1]Catálogo!#REF!</definedName>
    <definedName name="_3302007">[1]Catálogo!#REF!</definedName>
    <definedName name="_3302014">[1]Catálogo!#REF!</definedName>
    <definedName name="_3302015">[1]Catálogo!#REF!</definedName>
    <definedName name="_3302016">[1]Catálogo!#REF!</definedName>
    <definedName name="_3302017">[1]Catálogo!#REF!</definedName>
    <definedName name="_3302018">[1]Catálogo!#REF!</definedName>
    <definedName name="_3302019">[1]Catálogo!#REF!</definedName>
    <definedName name="_3302020">[1]Catálogo!#REF!</definedName>
    <definedName name="_3302021">[1]Catálogo!#REF!</definedName>
    <definedName name="_3302022">[1]Catálogo!#REF!</definedName>
    <definedName name="_3302030">[1]Catálogo!#REF!</definedName>
    <definedName name="_3302034">[1]Catálogo!#REF!</definedName>
    <definedName name="_3302035">[1]Catálogo!#REF!</definedName>
    <definedName name="_3302036">[1]Catálogo!#REF!</definedName>
    <definedName name="_3302037">[1]Catálogo!#REF!</definedName>
    <definedName name="_3302041">[1]Catálogo!#REF!</definedName>
    <definedName name="_3302042">[1]Catálogo!#REF!</definedName>
    <definedName name="_3302043">[1]Catálogo!#REF!</definedName>
    <definedName name="_3302044">[1]Catálogo!#REF!</definedName>
    <definedName name="_3302046">[1]Catálogo!#REF!</definedName>
    <definedName name="_3302047">[1]Catálogo!#REF!</definedName>
    <definedName name="_3302049">[1]Catálogo!#REF!</definedName>
    <definedName name="_3302050">[1]Catálogo!#REF!</definedName>
    <definedName name="_3302051">[1]Catálogo!#REF!</definedName>
    <definedName name="_3302052">[1]Catálogo!#REF!</definedName>
    <definedName name="_3302053">[1]Catálogo!#REF!</definedName>
    <definedName name="_3302054">[1]Catálogo!#REF!</definedName>
    <definedName name="_3302055">[1]Catálogo!#REF!</definedName>
    <definedName name="_3302056">[1]Catálogo!#REF!</definedName>
    <definedName name="_3302057">[1]Catálogo!#REF!</definedName>
    <definedName name="_3302058">[1]Catálogo!#REF!</definedName>
    <definedName name="_3302059">[1]Catálogo!#REF!</definedName>
    <definedName name="_3302060">[1]Catálogo!#REF!</definedName>
    <definedName name="_3302061">[1]Catálogo!#REF!</definedName>
    <definedName name="_3302064">[1]Catálogo!#REF!</definedName>
    <definedName name="_3302066">[1]Catálogo!#REF!</definedName>
    <definedName name="_3302068">[1]Catálogo!#REF!</definedName>
    <definedName name="_3302070">[1]Catálogo!#REF!</definedName>
    <definedName name="_3302071">[1]Catálogo!#REF!</definedName>
    <definedName name="_3302072">[1]Catálogo!#REF!</definedName>
    <definedName name="_3302077">[1]Catálogo!#REF!</definedName>
    <definedName name="_3502001">[1]Catálogo!#REF!</definedName>
    <definedName name="_3502002">[1]Catálogo!#REF!</definedName>
    <definedName name="_3502003">[1]Catálogo!#REF!</definedName>
    <definedName name="_3502005">[1]Catálogo!#REF!</definedName>
    <definedName name="_3502006">[1]Catálogo!#REF!</definedName>
    <definedName name="_3502007">[1]Catálogo!#REF!</definedName>
    <definedName name="_3502008">[1]Catálogo!#REF!</definedName>
    <definedName name="_3502009">[1]Catálogo!#REF!</definedName>
    <definedName name="_3502010">[1]Catálogo!#REF!</definedName>
    <definedName name="_3502011">[1]Catálogo!#REF!</definedName>
    <definedName name="_3502013">[1]Catálogo!#REF!</definedName>
    <definedName name="_3502014">[1]Catálogo!#REF!</definedName>
    <definedName name="_3502015">[1]Catálogo!#REF!</definedName>
    <definedName name="_3502016">[1]Catálogo!#REF!</definedName>
    <definedName name="_3502017">[1]Catálogo!#REF!</definedName>
    <definedName name="_3502018">[1]Catálogo!#REF!</definedName>
    <definedName name="_3502019">[1]Catálogo!#REF!</definedName>
    <definedName name="_3502020">[1]Catálogo!#REF!</definedName>
    <definedName name="_3502021">[1]Catálogo!#REF!</definedName>
    <definedName name="_3502022">[1]Catálogo!#REF!</definedName>
    <definedName name="_3502023">[1]Catálogo!#REF!</definedName>
    <definedName name="_3502024">[1]Catálogo!#REF!</definedName>
    <definedName name="_3502025">[1]Catálogo!#REF!</definedName>
    <definedName name="_3502026">[1]Catálogo!#REF!</definedName>
    <definedName name="_3502027">[1]Catálogo!#REF!</definedName>
    <definedName name="_3502033">[1]Catálogo!#REF!</definedName>
    <definedName name="_3502034">[1]Catálogo!#REF!</definedName>
    <definedName name="_3502035">[1]Catálogo!#REF!</definedName>
    <definedName name="_3502036">[1]Catálogo!#REF!</definedName>
    <definedName name="_3502037">[1]Catálogo!#REF!</definedName>
    <definedName name="_3502038">[1]Catálogo!#REF!</definedName>
    <definedName name="_3502043">[1]Catálogo!#REF!</definedName>
    <definedName name="_3502044">[1]Catálogo!#REF!</definedName>
    <definedName name="_3502045">[1]Catálogo!#REF!</definedName>
    <definedName name="_3502046">[1]Catálogo!#REF!</definedName>
    <definedName name="_3502047">[1]Catálogo!#REF!</definedName>
    <definedName name="_3502048">[1]Catálogo!#REF!</definedName>
    <definedName name="_3502049">[1]Catálogo!#REF!</definedName>
    <definedName name="_3502050">[1]Catálogo!#REF!</definedName>
    <definedName name="_3502051">[1]Catálogo!#REF!</definedName>
    <definedName name="_3502052">[1]Catálogo!#REF!</definedName>
    <definedName name="_3502053">[1]Catálogo!#REF!</definedName>
    <definedName name="_3502054">[1]Catálogo!#REF!</definedName>
    <definedName name="_3502055">[1]Catálogo!#REF!</definedName>
    <definedName name="_3502056">[1]Catálogo!#REF!</definedName>
    <definedName name="_3502057">[1]Catálogo!#REF!</definedName>
    <definedName name="_3502058">[1]Catálogo!#REF!</definedName>
    <definedName name="_3502059">[1]Catálogo!#REF!</definedName>
    <definedName name="_3502060">[1]Catálogo!#REF!</definedName>
    <definedName name="_3502061">[1]Catálogo!#REF!</definedName>
    <definedName name="_3502062">[1]Catálogo!#REF!</definedName>
    <definedName name="_3502063">[1]Catálogo!#REF!</definedName>
    <definedName name="_3502064">[1]Catálogo!#REF!</definedName>
    <definedName name="_3502065">[1]Catálogo!#REF!</definedName>
    <definedName name="_3502066">[1]Catálogo!#REF!</definedName>
    <definedName name="_3502067">[1]Catálogo!#REF!</definedName>
    <definedName name="_3502068">[1]Catálogo!#REF!</definedName>
    <definedName name="_3502069">[1]Catálogo!#REF!</definedName>
    <definedName name="_3502070">[1]Catálogo!#REF!</definedName>
    <definedName name="_3502071">[1]Catálogo!#REF!</definedName>
    <definedName name="_3502072">[1]Catálogo!#REF!</definedName>
    <definedName name="_3502073">[1]Catálogo!#REF!</definedName>
    <definedName name="_3502074">[1]Catálogo!#REF!</definedName>
    <definedName name="_3502075">[1]Catálogo!#REF!</definedName>
    <definedName name="_3502076">[1]Catálogo!#REF!</definedName>
    <definedName name="_3502077">[1]Catálogo!#REF!</definedName>
    <definedName name="_3502078">[1]Catálogo!#REF!</definedName>
    <definedName name="_3502079">[1]Catálogo!#REF!</definedName>
    <definedName name="_3502080">[1]Catálogo!#REF!</definedName>
    <definedName name="_3502081">[1]Catálogo!#REF!</definedName>
    <definedName name="_3502082">[1]Catálogo!#REF!</definedName>
    <definedName name="_3502083">[1]Catálogo!#REF!</definedName>
    <definedName name="_3502084">[1]Catálogo!#REF!</definedName>
    <definedName name="_3502085">[1]Catálogo!#REF!</definedName>
    <definedName name="_3502086">[1]Catálogo!#REF!</definedName>
    <definedName name="_3502087">[1]Catálogo!#REF!</definedName>
    <definedName name="_3502088">[1]Catálogo!#REF!</definedName>
    <definedName name="_3502089">[1]Catálogo!#REF!</definedName>
    <definedName name="_3502090">[1]Catálogo!#REF!</definedName>
    <definedName name="_3502093">[1]Catálogo!#REF!</definedName>
    <definedName name="_3502094">[1]Catálogo!#REF!</definedName>
    <definedName name="_3502095">[1]Catálogo!#REF!</definedName>
    <definedName name="_3502096">[1]Catálogo!#REF!</definedName>
    <definedName name="_3502097">[1]Catálogo!#REF!</definedName>
    <definedName name="_3502098">[1]Catálogo!#REF!</definedName>
    <definedName name="_3502099">[1]Catálogo!#REF!</definedName>
    <definedName name="_3502100">[1]Catálogo!#REF!</definedName>
    <definedName name="_3502101">[1]Catálogo!#REF!</definedName>
    <definedName name="_3502102">[1]Catálogo!#REF!</definedName>
    <definedName name="_3502103">[1]Catálogo!#REF!</definedName>
    <definedName name="_3502105">[1]Catálogo!#REF!</definedName>
    <definedName name="_3502106">[1]Catálogo!#REF!</definedName>
    <definedName name="_3502110">[1]Catálogo!#REF!</definedName>
    <definedName name="_3502111">[1]Catálogo!#REF!</definedName>
    <definedName name="_3502112">[1]Catálogo!#REF!</definedName>
    <definedName name="_3601002">[1]Catálogo!#REF!</definedName>
    <definedName name="_3601003">[1]Catálogo!#REF!</definedName>
    <definedName name="_3601004">[1]Catálogo!#REF!</definedName>
    <definedName name="_3601005">[1]Catálogo!#REF!</definedName>
    <definedName name="_3601006">[1]Catálogo!#REF!</definedName>
    <definedName name="_3601007">[1]Catálogo!#REF!</definedName>
    <definedName name="_3601008">[1]Catálogo!#REF!</definedName>
    <definedName name="_3601009">[1]Catálogo!#REF!</definedName>
    <definedName name="_3601010">[1]Catálogo!#REF!</definedName>
    <definedName name="_3601011">[1]Catálogo!#REF!</definedName>
    <definedName name="_3601012">[1]Catálogo!#REF!</definedName>
    <definedName name="_3602002">[1]Catálogo!#REF!</definedName>
    <definedName name="_3602004">[1]Catálogo!#REF!</definedName>
    <definedName name="_3602005">[1]Catálogo!#REF!</definedName>
    <definedName name="_3602006">[1]Catálogo!#REF!</definedName>
    <definedName name="_3602007">[1]Catálogo!#REF!</definedName>
    <definedName name="_3602008">[1]Catálogo!#REF!</definedName>
    <definedName name="_3602011">[1]Catálogo!#REF!</definedName>
    <definedName name="_3602012">[1]Catálogo!#REF!</definedName>
    <definedName name="_3602016">[1]Catálogo!#REF!</definedName>
    <definedName name="_3602017">[1]Catálogo!#REF!</definedName>
    <definedName name="_3602018">[1]Catálogo!#REF!</definedName>
    <definedName name="_3602019">[1]Catálogo!#REF!</definedName>
    <definedName name="_3602020">[1]Catálogo!#REF!</definedName>
    <definedName name="_3602021">[1]Catálogo!#REF!</definedName>
    <definedName name="_3602022">[1]Catálogo!#REF!</definedName>
    <definedName name="_3602023">[1]Catálogo!#REF!</definedName>
    <definedName name="_3602024">[1]Catálogo!#REF!</definedName>
    <definedName name="_3602025">[1]Catálogo!#REF!</definedName>
    <definedName name="_3602027">[1]Catálogo!#REF!</definedName>
    <definedName name="_3602028">[1]Catálogo!#REF!</definedName>
    <definedName name="_3602029">[1]Catálogo!#REF!</definedName>
    <definedName name="_3602030">[1]Catálogo!#REF!</definedName>
    <definedName name="_3602031">[1]Catálogo!#REF!</definedName>
    <definedName name="_3602032">[1]Catálogo!#REF!</definedName>
    <definedName name="_3602035">[1]Catálogo!#REF!</definedName>
    <definedName name="_3602038">[1]Catálogo!#REF!</definedName>
    <definedName name="_3603001">[1]Catálogo!#REF!</definedName>
    <definedName name="_3603002">[1]Catálogo!#REF!</definedName>
    <definedName name="_3603005">[1]Catálogo!#REF!</definedName>
    <definedName name="_3603007">[1]Catálogo!#REF!</definedName>
    <definedName name="_3603008">[1]Catálogo!#REF!</definedName>
    <definedName name="_3603009">[1]Catálogo!#REF!</definedName>
    <definedName name="_3603010">[1]Catálogo!#REF!</definedName>
    <definedName name="_3603011">[1]Catálogo!#REF!</definedName>
    <definedName name="_3603012">[1]Catálogo!#REF!</definedName>
    <definedName name="_3603013">[1]Catálogo!#REF!</definedName>
    <definedName name="_3603014">[1]Catálogo!#REF!</definedName>
    <definedName name="_3603015">[1]Catálogo!#REF!</definedName>
    <definedName name="_3603016">[1]Catálogo!#REF!</definedName>
    <definedName name="_3603017">[1]Catálogo!#REF!</definedName>
    <definedName name="_3603018">[1]Catálogo!#REF!</definedName>
    <definedName name="_3603019">[1]Catálogo!#REF!</definedName>
    <definedName name="_3603020">[1]Catálogo!#REF!</definedName>
    <definedName name="_3603021">[1]Catálogo!#REF!</definedName>
    <definedName name="_3603022">[1]Catálogo!#REF!</definedName>
    <definedName name="_3603026">[1]Catálogo!#REF!</definedName>
    <definedName name="_3604001">[1]Catálogo!#REF!</definedName>
    <definedName name="_3604003">[1]Catálogo!#REF!</definedName>
    <definedName name="_3604004">[1]Catálogo!#REF!</definedName>
    <definedName name="_3604005">[1]Catálogo!#REF!</definedName>
    <definedName name="_3604006">[1]Catálogo!#REF!</definedName>
    <definedName name="_3604009">[1]Catálogo!#REF!</definedName>
    <definedName name="_3604010">[1]Catálogo!#REF!</definedName>
    <definedName name="_3604012">[1]Catálogo!#REF!</definedName>
    <definedName name="_3604013">[1]Catálogo!#REF!</definedName>
    <definedName name="_3604014">[1]Catálogo!#REF!</definedName>
    <definedName name="_3604016">[1]Catálogo!#REF!</definedName>
    <definedName name="_3604017">[1]Catálogo!#REF!</definedName>
    <definedName name="_3604018">[1]Catálogo!#REF!</definedName>
    <definedName name="_3604019">[1]Catálogo!#REF!</definedName>
    <definedName name="_3604020">[1]Catálogo!#REF!</definedName>
    <definedName name="_3604021">[1]Catálogo!#REF!</definedName>
    <definedName name="_3604022">[1]Catálogo!#REF!</definedName>
    <definedName name="_3604023">[1]Catálogo!#REF!</definedName>
    <definedName name="_3604024">[1]Catálogo!#REF!</definedName>
    <definedName name="_3604025">[1]Catálogo!#REF!</definedName>
    <definedName name="_3604026">[1]Catálogo!#REF!</definedName>
    <definedName name="_3604027">[1]Catálogo!#REF!</definedName>
    <definedName name="_3604028">[1]Catálogo!#REF!</definedName>
    <definedName name="_3604029">[1]Catálogo!#REF!</definedName>
    <definedName name="_3604030">[1]Catálogo!#REF!</definedName>
    <definedName name="_3605001">[1]Catálogo!#REF!</definedName>
    <definedName name="_3605002">[1]Catálogo!#REF!</definedName>
    <definedName name="_3605003">[1]Catálogo!#REF!</definedName>
    <definedName name="_3605004">[1]Catálogo!#REF!</definedName>
    <definedName name="_3605005">[1]Catálogo!#REF!</definedName>
    <definedName name="_3605006">[1]Catálogo!#REF!</definedName>
    <definedName name="_3605007">[1]Catálogo!#REF!</definedName>
    <definedName name="_3605008">[1]Catálogo!#REF!</definedName>
    <definedName name="_3605009">[1]Catálogo!#REF!</definedName>
    <definedName name="_3605010">[1]Catálogo!#REF!</definedName>
    <definedName name="_3605011">[1]Catálogo!#REF!</definedName>
    <definedName name="_3605014">[1]Catálogo!#REF!</definedName>
    <definedName name="_3605017">[1]Catálogo!#REF!</definedName>
    <definedName name="_3901001">[1]Catálogo!#REF!</definedName>
    <definedName name="_3901003">[1]Catálogo!#REF!</definedName>
    <definedName name="_3901004">[1]Catálogo!#REF!</definedName>
    <definedName name="_3901005">[1]Catálogo!#REF!</definedName>
    <definedName name="_3901006">[1]Catálogo!#REF!</definedName>
    <definedName name="_3901008">[1]Catálogo!#REF!</definedName>
    <definedName name="_3902001">[1]Catálogo!#REF!</definedName>
    <definedName name="_3902003">[1]Catálogo!#REF!</definedName>
    <definedName name="_3902004">[1]Catálogo!#REF!</definedName>
    <definedName name="_3902005">[1]Catálogo!#REF!</definedName>
    <definedName name="_3902007">[1]Catálogo!#REF!</definedName>
    <definedName name="_3902008">[1]Catálogo!#REF!</definedName>
    <definedName name="_3902009">[1]Catálogo!#REF!</definedName>
    <definedName name="_3902010">[1]Catálogo!#REF!</definedName>
    <definedName name="_3902011">[1]Catálogo!#REF!</definedName>
    <definedName name="_3902012">[1]Catálogo!#REF!</definedName>
    <definedName name="_3902013">[1]Catálogo!#REF!</definedName>
    <definedName name="_3902014">[1]Catálogo!#REF!</definedName>
    <definedName name="_3902015">[1]Catálogo!#REF!</definedName>
    <definedName name="_3902016">[1]Catálogo!#REF!</definedName>
    <definedName name="_3902017">[1]Catálogo!#REF!</definedName>
    <definedName name="_3902019">[1]Catálogo!#REF!</definedName>
    <definedName name="_3902020">[1]Catálogo!#REF!</definedName>
    <definedName name="_3903001">[1]Catálogo!#REF!</definedName>
    <definedName name="_3903003">[1]Catálogo!#REF!</definedName>
    <definedName name="_3903004">[1]Catálogo!#REF!</definedName>
    <definedName name="_3903006">[1]Catálogo!#REF!</definedName>
    <definedName name="_3903007">[1]Catálogo!#REF!</definedName>
    <definedName name="_3903008">[1]Catálogo!#REF!</definedName>
    <definedName name="_3903009">[1]Catálogo!#REF!</definedName>
    <definedName name="_3903010">[1]Catálogo!#REF!</definedName>
    <definedName name="_3903011">[1]Catálogo!#REF!</definedName>
    <definedName name="_3903012">[1]Catálogo!#REF!</definedName>
    <definedName name="_3903014">[1]Catálogo!#REF!</definedName>
    <definedName name="_3904007">[1]Catálogo!#REF!</definedName>
    <definedName name="_3904014">[1]Catálogo!#REF!</definedName>
    <definedName name="_3904015">[1]Catálogo!#REF!</definedName>
    <definedName name="_3904017">[1]Catálogo!#REF!</definedName>
    <definedName name="_3904019">[1]Catálogo!#REF!</definedName>
    <definedName name="_3904022">[1]Catálogo!#REF!</definedName>
    <definedName name="_3904023">[1]Catálogo!#REF!</definedName>
    <definedName name="_3904024">[1]Catálogo!#REF!</definedName>
    <definedName name="_4001001">[1]Catálogo!#REF!</definedName>
    <definedName name="_4001002">[1]Catálogo!#REF!</definedName>
    <definedName name="_4001003">[1]Catálogo!#REF!</definedName>
    <definedName name="_4001004">[1]Catálogo!#REF!</definedName>
    <definedName name="_4001005">[1]Catálogo!#REF!</definedName>
    <definedName name="_4001006">[1]Catálogo!#REF!</definedName>
    <definedName name="_4001007">[1]Catálogo!#REF!</definedName>
    <definedName name="_4001014">[1]Catálogo!#REF!</definedName>
    <definedName name="_4001015">[1]Catálogo!#REF!</definedName>
    <definedName name="_4001016">[1]Catálogo!#REF!</definedName>
    <definedName name="_4001017">[1]Catálogo!#REF!</definedName>
    <definedName name="_4001018">[1]Catálogo!#REF!</definedName>
    <definedName name="_4001019">[1]Catálogo!#REF!</definedName>
    <definedName name="_4001020">[1]Catálogo!#REF!</definedName>
    <definedName name="_4001021">[1]Catálogo!#REF!</definedName>
    <definedName name="_4001022">[1]Catálogo!#REF!</definedName>
    <definedName name="_4001023">[1]Catálogo!#REF!</definedName>
    <definedName name="_4001024">[1]Catálogo!#REF!</definedName>
    <definedName name="_4001025">[1]Catálogo!#REF!</definedName>
    <definedName name="_4001026">[1]Catálogo!#REF!</definedName>
    <definedName name="_4001027">[1]Catálogo!#REF!</definedName>
    <definedName name="_4001028">[1]Catálogo!#REF!</definedName>
    <definedName name="_4001029">[1]Catálogo!#REF!</definedName>
    <definedName name="_4001030">[1]Catálogo!#REF!</definedName>
    <definedName name="_4001031">[1]Catálogo!#REF!</definedName>
    <definedName name="_4001032">[1]Catálogo!#REF!</definedName>
    <definedName name="_4001033">[1]Catálogo!#REF!</definedName>
    <definedName name="_4001034">[1]Catálogo!#REF!</definedName>
    <definedName name="_4001035">[1]Catálogo!#REF!</definedName>
    <definedName name="_4001036">[1]Catálogo!#REF!</definedName>
    <definedName name="_4001037">[1]Catálogo!#REF!</definedName>
    <definedName name="_4001039">[1]Catálogo!#REF!</definedName>
    <definedName name="_4001040">[1]Catálogo!#REF!</definedName>
    <definedName name="_4001041">[1]Catálogo!#REF!</definedName>
    <definedName name="_4001042">[1]Catálogo!#REF!</definedName>
    <definedName name="_4001043">[1]Catálogo!#REF!</definedName>
    <definedName name="_4001044">[1]Catálogo!#REF!</definedName>
    <definedName name="_4001045">[1]Catálogo!#REF!</definedName>
    <definedName name="_4001046">[1]Catálogo!#REF!</definedName>
    <definedName name="_4001047">[1]Catálogo!#REF!</definedName>
    <definedName name="_4002002">[1]Catálogo!#REF!</definedName>
    <definedName name="_4002003">[1]Catálogo!#REF!</definedName>
    <definedName name="_4002004">[1]Catálogo!#REF!</definedName>
    <definedName name="_4002005">[1]Catálogo!#REF!</definedName>
    <definedName name="_4002006">[1]Catálogo!#REF!</definedName>
    <definedName name="_4002007">[1]Catálogo!#REF!</definedName>
    <definedName name="_4002008">[1]Catálogo!#REF!</definedName>
    <definedName name="_4002009">[1]Catálogo!#REF!</definedName>
    <definedName name="_4002010">[1]Catálogo!#REF!</definedName>
    <definedName name="_4002011">[1]Catálogo!#REF!</definedName>
    <definedName name="_4002012">[1]Catálogo!#REF!</definedName>
    <definedName name="_4002013">[1]Catálogo!#REF!</definedName>
    <definedName name="_4002014">[1]Catálogo!#REF!</definedName>
    <definedName name="_4002015">[1]Catálogo!#REF!</definedName>
    <definedName name="_4002016">[1]Catálogo!#REF!</definedName>
    <definedName name="_4002017">[1]Catálogo!#REF!</definedName>
    <definedName name="_4002018">[1]Catálogo!#REF!</definedName>
    <definedName name="_4002034">[1]Catálogo!#REF!</definedName>
    <definedName name="_4002035">[1]Catálogo!#REF!</definedName>
    <definedName name="_4002036">[1]Catálogo!#REF!</definedName>
    <definedName name="_4002037">[1]Catálogo!#REF!</definedName>
    <definedName name="_4003002">[1]Catálogo!#REF!</definedName>
    <definedName name="_4003003">[1]Catálogo!#REF!</definedName>
    <definedName name="_4003004">[1]Catálogo!#REF!</definedName>
    <definedName name="_4003005">[1]Catálogo!#REF!</definedName>
    <definedName name="_4003006">[1]Catálogo!#REF!</definedName>
    <definedName name="_4003007">[1]Catálogo!#REF!</definedName>
    <definedName name="_4003008">[1]Catálogo!#REF!</definedName>
    <definedName name="_4003009">[1]Catálogo!#REF!</definedName>
    <definedName name="_4003010">[1]Catálogo!#REF!</definedName>
    <definedName name="_4003011">[1]Catálogo!#REF!</definedName>
    <definedName name="_4003012">[1]Catálogo!#REF!</definedName>
    <definedName name="_4003014">[1]Catálogo!#REF!</definedName>
    <definedName name="_4003021">[1]Catálogo!#REF!</definedName>
    <definedName name="_4003022">[1]Catálogo!#REF!</definedName>
    <definedName name="_4003023">[1]Catálogo!#REF!</definedName>
    <definedName name="_4003024">[1]Catálogo!#REF!</definedName>
    <definedName name="_4003025">[1]Catálogo!#REF!</definedName>
    <definedName name="_4003026">[1]Catálogo!#REF!</definedName>
    <definedName name="_4003027">[1]Catálogo!#REF!</definedName>
    <definedName name="_4003028">[1]Catálogo!#REF!</definedName>
    <definedName name="_4003029">[1]Catálogo!#REF!</definedName>
    <definedName name="_4003030">[1]Catálogo!#REF!</definedName>
    <definedName name="_4003031">[1]Catálogo!#REF!</definedName>
    <definedName name="_4003032">[1]Catálogo!#REF!</definedName>
    <definedName name="_4003033">[1]Catálogo!#REF!</definedName>
    <definedName name="_4003034">[1]Catálogo!#REF!</definedName>
    <definedName name="_4003036">[1]Catálogo!#REF!</definedName>
    <definedName name="_4003037">[1]Catálogo!#REF!</definedName>
    <definedName name="_4003038">[1]Catálogo!#REF!</definedName>
    <definedName name="_4003040">[1]Catálogo!#REF!</definedName>
    <definedName name="_4003041">[1]Catálogo!#REF!</definedName>
    <definedName name="_4003042">[1]Catálogo!#REF!</definedName>
    <definedName name="_4003043">[1]Catálogo!#REF!</definedName>
    <definedName name="_4003044">[1]Catálogo!#REF!</definedName>
    <definedName name="_4003045">[1]Catálogo!#REF!</definedName>
    <definedName name="_4003046">[1]Catálogo!#REF!</definedName>
    <definedName name="_4003047">[1]Catálogo!#REF!</definedName>
    <definedName name="_4003048">[1]Catálogo!#REF!</definedName>
    <definedName name="_4003049">[1]Catálogo!#REF!</definedName>
    <definedName name="_4003050">[1]Catálogo!#REF!</definedName>
    <definedName name="_4003051">[1]Catálogo!#REF!</definedName>
    <definedName name="_4101001">[1]Catálogo!#REF!</definedName>
    <definedName name="_4101002">[1]Catálogo!#REF!</definedName>
    <definedName name="_4101003">[1]Catálogo!#REF!</definedName>
    <definedName name="_4101004">[1]Catálogo!#REF!</definedName>
    <definedName name="_4101005">[1]Catálogo!#REF!</definedName>
    <definedName name="_4101006">[1]Catálogo!#REF!</definedName>
    <definedName name="_4101007">[1]Catálogo!#REF!</definedName>
    <definedName name="_4101008">[1]Catálogo!#REF!</definedName>
    <definedName name="_4101009">[1]Catálogo!#REF!</definedName>
    <definedName name="_4101010">[1]Catálogo!#REF!</definedName>
    <definedName name="_4101011">[1]Catálogo!#REF!</definedName>
    <definedName name="_4101012">[1]Catálogo!#REF!</definedName>
    <definedName name="_4101013">[1]Catálogo!#REF!</definedName>
    <definedName name="_4101015">[1]Catálogo!#REF!</definedName>
    <definedName name="_4101016">[1]Catálogo!#REF!</definedName>
    <definedName name="_4101017">[1]Catálogo!#REF!</definedName>
    <definedName name="_4101018">[1]Catálogo!#REF!</definedName>
    <definedName name="_4101019">[1]Catálogo!#REF!</definedName>
    <definedName name="_4101020">[1]Catálogo!#REF!</definedName>
    <definedName name="_4101021">[1]Catálogo!#REF!</definedName>
    <definedName name="_4101022">[1]Catálogo!#REF!</definedName>
    <definedName name="_4101023">[1]Catálogo!#REF!</definedName>
    <definedName name="_4101024">[1]Catálogo!#REF!</definedName>
    <definedName name="_4101026">[1]Catálogo!#REF!</definedName>
    <definedName name="_4101027">[1]Catálogo!#REF!</definedName>
    <definedName name="_4101028">[1]Catálogo!#REF!</definedName>
    <definedName name="_4101030">[1]Catálogo!#REF!</definedName>
    <definedName name="_4101032">[1]Catálogo!#REF!</definedName>
    <definedName name="_4101033">[1]Catálogo!#REF!</definedName>
    <definedName name="_4101034">[1]Catálogo!#REF!</definedName>
    <definedName name="_4101035">[1]Catálogo!#REF!</definedName>
    <definedName name="_4101036">[1]Catálogo!#REF!</definedName>
    <definedName name="_4101042">[1]Catálogo!#REF!</definedName>
    <definedName name="_4101043">[1]Catálogo!#REF!</definedName>
    <definedName name="_4101045">[1]Catálogo!#REF!</definedName>
    <definedName name="_4101046">[1]Catálogo!#REF!</definedName>
    <definedName name="_4101047">[1]Catálogo!#REF!</definedName>
    <definedName name="_4101048">[1]Catálogo!#REF!</definedName>
    <definedName name="_4101056">[1]Catálogo!#REF!</definedName>
    <definedName name="_4101057">[1]Catálogo!#REF!</definedName>
    <definedName name="_4101058">[1]Catálogo!#REF!</definedName>
    <definedName name="_4101059">[1]Catálogo!#REF!</definedName>
    <definedName name="_4101060">[1]Catálogo!#REF!</definedName>
    <definedName name="_4101061">[1]Catálogo!#REF!</definedName>
    <definedName name="_4101062">[1]Catálogo!#REF!</definedName>
    <definedName name="_4101063">[1]Catálogo!#REF!</definedName>
    <definedName name="_4101064">[1]Catálogo!#REF!</definedName>
    <definedName name="_4101065">[1]Catálogo!#REF!</definedName>
    <definedName name="_4101066">[1]Catálogo!#REF!</definedName>
    <definedName name="_4101067">[1]Catálogo!#REF!</definedName>
    <definedName name="_4101068">[1]Catálogo!#REF!</definedName>
    <definedName name="_4101073">[1]Catálogo!#REF!</definedName>
    <definedName name="_4101074">[1]Catálogo!#REF!</definedName>
    <definedName name="_4101076">[1]Catálogo!#REF!</definedName>
    <definedName name="_4101077">[1]Catálogo!#REF!</definedName>
    <definedName name="_4101079">[1]Catálogo!#REF!</definedName>
    <definedName name="_4101080">[1]Catálogo!#REF!</definedName>
    <definedName name="_4101081">[1]Catálogo!#REF!</definedName>
    <definedName name="_4102001">[1]Catálogo!#REF!</definedName>
    <definedName name="_4102002">[1]Catálogo!#REF!</definedName>
    <definedName name="_4102003">[1]Catálogo!#REF!</definedName>
    <definedName name="_4102004">[1]Catálogo!#REF!</definedName>
    <definedName name="_4102005">[1]Catálogo!#REF!</definedName>
    <definedName name="_4102006">[1]Catálogo!#REF!</definedName>
    <definedName name="_4102007">[1]Catálogo!#REF!</definedName>
    <definedName name="_4102008">[1]Catálogo!#REF!</definedName>
    <definedName name="_4102009">[1]Catálogo!#REF!</definedName>
    <definedName name="_4102010">[1]Catálogo!#REF!</definedName>
    <definedName name="_4102011">[1]Catálogo!#REF!</definedName>
    <definedName name="_4102012">[1]Catálogo!#REF!</definedName>
    <definedName name="_4102013">[1]Catálogo!#REF!</definedName>
    <definedName name="_4102014">[1]Catálogo!#REF!</definedName>
    <definedName name="_4102015">[1]Catálogo!#REF!</definedName>
    <definedName name="_4102016">[1]Catálogo!#REF!</definedName>
    <definedName name="_4102019">[1]Catálogo!#REF!</definedName>
    <definedName name="_4102021">[1]Catálogo!#REF!</definedName>
    <definedName name="_4102025">[1]Catálogo!#REF!</definedName>
    <definedName name="_4102026">[1]Catálogo!#REF!</definedName>
    <definedName name="_4102027">[1]Catálogo!#REF!</definedName>
    <definedName name="_4102028">[1]Catálogo!#REF!</definedName>
    <definedName name="_4102029">[1]Catálogo!#REF!</definedName>
    <definedName name="_4102030">[1]Catálogo!#REF!</definedName>
    <definedName name="_4102031">[1]Catálogo!#REF!</definedName>
    <definedName name="_4102032">[1]Catálogo!#REF!</definedName>
    <definedName name="_4102033">[1]Catálogo!#REF!</definedName>
    <definedName name="_4102034">[1]Catálogo!#REF!</definedName>
    <definedName name="_4102035">[1]Catálogo!#REF!</definedName>
    <definedName name="_4102041">[1]Catálogo!#REF!</definedName>
    <definedName name="_4102042">[1]Catálogo!#REF!</definedName>
    <definedName name="_4102043">[1]Catálogo!#REF!</definedName>
    <definedName name="_4102045">[1]Catálogo!#REF!</definedName>
    <definedName name="_4102046">[1]Catálogo!#REF!</definedName>
    <definedName name="_4102047">[1]Catálogo!#REF!</definedName>
    <definedName name="_4102048">[1]Catálogo!#REF!</definedName>
    <definedName name="_4102049">[1]Catálogo!#REF!</definedName>
    <definedName name="_4102050">[1]Catálogo!#REF!</definedName>
    <definedName name="_4103004">[1]Catálogo!#REF!</definedName>
    <definedName name="_4103005">[1]Catálogo!#REF!</definedName>
    <definedName name="_4103008">[1]Catálogo!#REF!</definedName>
    <definedName name="_4103009">[1]Catálogo!#REF!</definedName>
    <definedName name="_4103010">[1]Catálogo!#REF!</definedName>
    <definedName name="_4103015">[1]Catálogo!#REF!</definedName>
    <definedName name="_4103016">[1]Catálogo!#REF!</definedName>
    <definedName name="_4103017">[1]Catálogo!#REF!</definedName>
    <definedName name="_4103018">[1]Catálogo!#REF!</definedName>
    <definedName name="_4103019">[1]Catálogo!#REF!</definedName>
    <definedName name="_4103020">[1]Catálogo!#REF!</definedName>
    <definedName name="_4103021">[1]Catálogo!#REF!</definedName>
    <definedName name="_4103022">[1]Catálogo!#REF!</definedName>
    <definedName name="_4103023">[1]Catálogo!#REF!</definedName>
    <definedName name="_4103024">[1]Catálogo!#REF!</definedName>
    <definedName name="_4103025">[1]Catálogo!#REF!</definedName>
    <definedName name="_4103026">[1]Catálogo!#REF!</definedName>
    <definedName name="_4103027">[1]Catálogo!#REF!</definedName>
    <definedName name="_4103028">[1]Catálogo!#REF!</definedName>
    <definedName name="_4103029">[1]Catálogo!#REF!</definedName>
    <definedName name="_4103030">[1]Catálogo!#REF!</definedName>
    <definedName name="_4103031">[1]Catálogo!#REF!</definedName>
    <definedName name="_4103047">[1]Catálogo!#REF!</definedName>
    <definedName name="_4103048">[1]Catálogo!#REF!</definedName>
    <definedName name="_4103049">[1]Catálogo!#REF!</definedName>
    <definedName name="_4103052">[1]Catálogo!#REF!</definedName>
    <definedName name="_4103053">[1]Catálogo!#REF!</definedName>
    <definedName name="_4103054">[1]Catálogo!#REF!</definedName>
    <definedName name="_4103055">[1]Catálogo!#REF!</definedName>
    <definedName name="_4103057">[1]Catálogo!#REF!</definedName>
    <definedName name="_4103060">[1]Catálogo!#REF!</definedName>
    <definedName name="_4103062">[1]Catálogo!#REF!</definedName>
    <definedName name="_4103063">[1]Catálogo!#REF!</definedName>
    <definedName name="_4103064">[1]Catálogo!#REF!</definedName>
    <definedName name="_4103065">[1]Catálogo!#REF!</definedName>
    <definedName name="_4103066">[1]Catálogo!#REF!</definedName>
    <definedName name="_4104001">[1]Catálogo!#REF!</definedName>
    <definedName name="_4104002">[1]Catálogo!#REF!</definedName>
    <definedName name="_4104003">[1]Catálogo!#REF!</definedName>
    <definedName name="_4104004">[1]Catálogo!#REF!</definedName>
    <definedName name="_4104005">[1]Catálogo!#REF!</definedName>
    <definedName name="_4104006">[1]Catálogo!#REF!</definedName>
    <definedName name="_4104007">[1]Catálogo!#REF!</definedName>
    <definedName name="_4104008">[1]Catálogo!#REF!</definedName>
    <definedName name="_4104009">[1]Catálogo!#REF!</definedName>
    <definedName name="_4104010">[1]Catálogo!#REF!</definedName>
    <definedName name="_4104011">[1]Catálogo!#REF!</definedName>
    <definedName name="_4104012">[1]Catálogo!#REF!</definedName>
    <definedName name="_4104013">[1]Catálogo!#REF!</definedName>
    <definedName name="_4104014">[1]Catálogo!#REF!</definedName>
    <definedName name="_4104015">[1]Catálogo!#REF!</definedName>
    <definedName name="_4104016">[1]Catálogo!#REF!</definedName>
    <definedName name="_4104017">[1]Catálogo!#REF!</definedName>
    <definedName name="_4104018">[1]Catálogo!#REF!</definedName>
    <definedName name="_4104019">[1]Catálogo!#REF!</definedName>
    <definedName name="_4104020">[1]Catálogo!#REF!</definedName>
    <definedName name="_4104021">[1]Catálogo!#REF!</definedName>
    <definedName name="_4104022">[1]Catálogo!#REF!</definedName>
    <definedName name="_4104023">[1]Catálogo!#REF!</definedName>
    <definedName name="_4104024">[1]Catálogo!#REF!</definedName>
    <definedName name="_4104025">[1]Catálogo!#REF!</definedName>
    <definedName name="_4104026">[1]Catálogo!#REF!</definedName>
    <definedName name="_4104027">[1]Catálogo!#REF!</definedName>
    <definedName name="_4104028">[1]Catálogo!#REF!</definedName>
    <definedName name="_4104029">[1]Catálogo!#REF!</definedName>
    <definedName name="_4104030">[1]Catálogo!#REF!</definedName>
    <definedName name="_4104031">[1]Catálogo!#REF!</definedName>
    <definedName name="_4104032">[1]Catálogo!#REF!</definedName>
    <definedName name="_4104033">[1]Catálogo!#REF!</definedName>
    <definedName name="_4104034">[1]Catálogo!#REF!</definedName>
    <definedName name="_4104035">[1]Catálogo!#REF!</definedName>
    <definedName name="_4104036">[1]Catálogo!#REF!</definedName>
    <definedName name="_4104037">[1]Catálogo!#REF!</definedName>
    <definedName name="_4104038">[1]Catálogo!#REF!</definedName>
    <definedName name="_4104039">[1]Catálogo!#REF!</definedName>
    <definedName name="_4104040">[1]Catálogo!#REF!</definedName>
    <definedName name="_4104041">[1]Catálogo!#REF!</definedName>
    <definedName name="_4104042">[1]Catálogo!#REF!</definedName>
    <definedName name="_4301001">[1]Catálogo!#REF!</definedName>
    <definedName name="_4301002">[1]Catálogo!#REF!</definedName>
    <definedName name="_4301003">[1]Catálogo!#REF!</definedName>
    <definedName name="_4301004">[1]Catálogo!#REF!</definedName>
    <definedName name="_4301006">[1]Catálogo!#REF!</definedName>
    <definedName name="_4301007">[1]Catálogo!#REF!</definedName>
    <definedName name="_4301009">[1]Catálogo!#REF!</definedName>
    <definedName name="_4301010">[1]Catálogo!#REF!</definedName>
    <definedName name="_4301011">[1]Catálogo!#REF!</definedName>
    <definedName name="_4301012">[1]Catálogo!#REF!</definedName>
    <definedName name="_4301013">[1]Catálogo!#REF!</definedName>
    <definedName name="_4301014">[1]Catálogo!#REF!</definedName>
    <definedName name="_4301015">[1]Catálogo!#REF!</definedName>
    <definedName name="_4301016">[1]Catálogo!#REF!</definedName>
    <definedName name="_4301017">[1]Catálogo!#REF!</definedName>
    <definedName name="_4301018">[1]Catálogo!#REF!</definedName>
    <definedName name="_4301019">[1]Catálogo!#REF!</definedName>
    <definedName name="_4301020">[1]Catálogo!#REF!</definedName>
    <definedName name="_4301021">[1]Catálogo!#REF!</definedName>
    <definedName name="_4301022">[1]Catálogo!#REF!</definedName>
    <definedName name="_4301023">[1]Catálogo!#REF!</definedName>
    <definedName name="_4301024">[1]Catálogo!#REF!</definedName>
    <definedName name="_4301025">[1]Catálogo!#REF!</definedName>
    <definedName name="_4301026">[1]Catálogo!#REF!</definedName>
    <definedName name="_4301027">[1]Catálogo!#REF!</definedName>
    <definedName name="_4301028">[1]Catálogo!#REF!</definedName>
    <definedName name="_4301029">[1]Catálogo!#REF!</definedName>
    <definedName name="_4301030">[1]Catálogo!#REF!</definedName>
    <definedName name="_4301031">[1]Catálogo!#REF!</definedName>
    <definedName name="_4301032">[1]Catálogo!#REF!</definedName>
    <definedName name="_4301034">[1]Catálogo!#REF!</definedName>
    <definedName name="_4301035">[1]Catálogo!#REF!</definedName>
    <definedName name="_4301037">[1]Catálogo!#REF!</definedName>
    <definedName name="_4301038">[1]Catálogo!#REF!</definedName>
    <definedName name="_4302001">[1]Catálogo!#REF!</definedName>
    <definedName name="_4302002">[1]Catálogo!#REF!</definedName>
    <definedName name="_4302003">[1]Catálogo!#REF!</definedName>
    <definedName name="_4302004">[1]Catálogo!#REF!</definedName>
    <definedName name="_4302006">[1]Catálogo!#REF!</definedName>
    <definedName name="_4302007">[1]Catálogo!#REF!</definedName>
    <definedName name="_4302008">[1]Catálogo!#REF!</definedName>
    <definedName name="_4302009">[1]Catálogo!#REF!</definedName>
    <definedName name="_4302019">[1]Catálogo!#REF!</definedName>
    <definedName name="_4302020">[1]Catálogo!#REF!</definedName>
    <definedName name="_4302021">[1]Catálogo!#REF!</definedName>
    <definedName name="_4302022">[1]Catálogo!#REF!</definedName>
    <definedName name="_4302023">[1]Catálogo!#REF!</definedName>
    <definedName name="_4302024">[1]Catálogo!#REF!</definedName>
    <definedName name="_4302025">[1]Catálogo!#REF!</definedName>
    <definedName name="_4302026">[1]Catálogo!#REF!</definedName>
    <definedName name="_4302027">[1]Catálogo!#REF!</definedName>
    <definedName name="_4302028">[1]Catálogo!#REF!</definedName>
    <definedName name="_4302029">[1]Catálogo!#REF!</definedName>
    <definedName name="_4302030">[1]Catálogo!#REF!</definedName>
    <definedName name="_4302031">[1]Catálogo!#REF!</definedName>
    <definedName name="_4302032">[1]Catálogo!#REF!</definedName>
    <definedName name="_4302033">[1]Catálogo!#REF!</definedName>
    <definedName name="_4302039">[1]Catálogo!#REF!</definedName>
    <definedName name="_4302040">[1]Catálogo!#REF!</definedName>
    <definedName name="_4302041">[1]Catálogo!#REF!</definedName>
    <definedName name="_4302042">[1]Catálogo!#REF!</definedName>
    <definedName name="_4302043">[1]Catálogo!#REF!</definedName>
    <definedName name="_4302044">[1]Catálogo!#REF!</definedName>
    <definedName name="_4302045">[1]Catálogo!#REF!</definedName>
    <definedName name="_4302046">[1]Catálogo!#REF!</definedName>
    <definedName name="_4302047">[1]Catálogo!#REF!</definedName>
    <definedName name="_4302048">[1]Catálogo!#REF!</definedName>
    <definedName name="_4302055">[1]Catálogo!#REF!</definedName>
    <definedName name="_4302056">[1]Catálogo!#REF!</definedName>
    <definedName name="_4302057">[1]Catálogo!#REF!</definedName>
    <definedName name="_4302058">[1]Catálogo!#REF!</definedName>
    <definedName name="_4302059">[1]Catálogo!#REF!</definedName>
    <definedName name="_4302062">[1]Catálogo!#REF!</definedName>
    <definedName name="_4302063">[1]Catálogo!#REF!</definedName>
    <definedName name="_4302064">[1]Catálogo!#REF!</definedName>
    <definedName name="_4302066">[1]Catálogo!#REF!</definedName>
    <definedName name="_4302067">[1]Catálogo!#REF!</definedName>
    <definedName name="_4302068">[1]Catálogo!#REF!</definedName>
    <definedName name="_4302069">[1]Catálogo!#REF!</definedName>
    <definedName name="_4302070">[1]Catálogo!#REF!</definedName>
    <definedName name="_4302071">[1]Catálogo!#REF!</definedName>
    <definedName name="_4302072">[1]Catálogo!#REF!</definedName>
    <definedName name="_4302073">[1]Catálogo!#REF!</definedName>
    <definedName name="_4302074">[1]Catálogo!#REF!</definedName>
    <definedName name="_4302075">[1]Catálogo!#REF!</definedName>
    <definedName name="_4302076">[1]Catálogo!#REF!</definedName>
    <definedName name="_4302079">[1]Catálogo!#REF!</definedName>
    <definedName name="_4302080">[1]Catálogo!#REF!</definedName>
    <definedName name="_4302081">[1]Catálogo!#REF!</definedName>
    <definedName name="_4302082">[1]Catálogo!#REF!</definedName>
    <definedName name="_4302083">[1]Catálogo!#REF!</definedName>
    <definedName name="_4302084">[1]Catálogo!#REF!</definedName>
    <definedName name="_4302085">[1]Catálogo!#REF!</definedName>
    <definedName name="_4302086">[1]Catálogo!#REF!</definedName>
    <definedName name="_4501004">[1]Catálogo!#REF!</definedName>
    <definedName name="_4501007">[1]Catálogo!#REF!</definedName>
    <definedName name="_4501008">[1]Catálogo!#REF!</definedName>
    <definedName name="_4501010">[1]Catálogo!#REF!</definedName>
    <definedName name="_4501011">[1]Catálogo!#REF!</definedName>
    <definedName name="_4501026">[1]Catálogo!#REF!</definedName>
    <definedName name="_4501028">[1]Catálogo!#REF!</definedName>
    <definedName name="_4501030">[1]Catálogo!#REF!</definedName>
    <definedName name="_4501031">[1]Catálogo!#REF!</definedName>
    <definedName name="_4501044">[1]Catálogo!#REF!</definedName>
    <definedName name="_4501045">[1]Catálogo!#REF!</definedName>
    <definedName name="_4501046">[1]Catálogo!#REF!</definedName>
    <definedName name="_4501047">[1]Catálogo!#REF!</definedName>
    <definedName name="_4501048">[1]Catálogo!#REF!</definedName>
    <definedName name="_4501049">[1]Catálogo!#REF!</definedName>
    <definedName name="_4501050">[1]Catálogo!#REF!</definedName>
    <definedName name="_4501051">[1]Catálogo!#REF!</definedName>
    <definedName name="_4501052">[1]Catálogo!#REF!</definedName>
    <definedName name="_4501053">[1]Catálogo!#REF!</definedName>
    <definedName name="_4501054">[1]Catálogo!#REF!</definedName>
    <definedName name="_4501055">[1]Catálogo!#REF!</definedName>
    <definedName name="_4501056">[1]Catálogo!#REF!</definedName>
    <definedName name="_4501057">[1]Catálogo!#REF!</definedName>
    <definedName name="_4502016">[1]Catálogo!#REF!</definedName>
    <definedName name="_4502017">[1]Catálogo!#REF!</definedName>
    <definedName name="_4502018">[1]Catálogo!#REF!</definedName>
    <definedName name="_4502019">[1]Catálogo!#REF!</definedName>
    <definedName name="_4502020">[1]Catálogo!#REF!</definedName>
    <definedName name="_4502024">[1]Catálogo!#REF!</definedName>
    <definedName name="_4502026">[1]Catálogo!#REF!</definedName>
    <definedName name="_4502027">[1]Catálogo!#REF!</definedName>
    <definedName name="_4502029">[1]Catálogo!#REF!</definedName>
    <definedName name="_4502030">[1]Catálogo!#REF!</definedName>
    <definedName name="_4502032">[1]Catálogo!#REF!</definedName>
    <definedName name="_4502033">[1]Catálogo!#REF!</definedName>
    <definedName name="_4502035">[1]Catálogo!#REF!</definedName>
    <definedName name="_4502037">[1]Catálogo!#REF!</definedName>
    <definedName name="_4502038">[1]Catálogo!#REF!</definedName>
    <definedName name="_4503002">[1]Catálogo!#REF!</definedName>
    <definedName name="_4503004">[1]Catálogo!#REF!</definedName>
    <definedName name="_4503011">[1]Catálogo!#REF!</definedName>
    <definedName name="_4503012">[1]Catálogo!#REF!</definedName>
    <definedName name="_4503013">[1]Catálogo!#REF!</definedName>
    <definedName name="_4503014">[1]Catálogo!#REF!</definedName>
    <definedName name="_4503015">[1]Catálogo!#REF!</definedName>
    <definedName name="_4503016">[1]Catálogo!#REF!</definedName>
    <definedName name="_4503017">[1]Catálogo!#REF!</definedName>
    <definedName name="_4503018">[1]Catálogo!#REF!</definedName>
    <definedName name="_4503019">[1]Catálogo!#REF!</definedName>
    <definedName name="_4503021">[1]Catálogo!#REF!</definedName>
    <definedName name="_4503023">[1]Catálogo!#REF!</definedName>
    <definedName name="_4503024">[1]Catálogo!#REF!</definedName>
    <definedName name="_4503026">[1]Catálogo!#REF!</definedName>
    <definedName name="_4503029">[1]Catálogo!#REF!</definedName>
    <definedName name="_4503030">[1]Catálogo!#REF!</definedName>
    <definedName name="_4503031">[1]Catálogo!#REF!</definedName>
    <definedName name="_4503032">[1]Catálogo!#REF!</definedName>
    <definedName name="_4503033">[1]Catálogo!#REF!</definedName>
    <definedName name="_4599001">[1]Catálogo!#REF!</definedName>
    <definedName name="_4599002">[1]Catálogo!#REF!</definedName>
    <definedName name="_4599003">[1]Catálogo!#REF!</definedName>
    <definedName name="_4599005">[1]Catálogo!#REF!</definedName>
    <definedName name="_4599006">[1]Catálogo!#REF!</definedName>
    <definedName name="_4599007">[1]Catálogo!#REF!</definedName>
    <definedName name="_4599008">[1]Catálogo!#REF!</definedName>
    <definedName name="_4599009">[1]Catálogo!#REF!</definedName>
    <definedName name="_4599010">[1]Catálogo!#REF!</definedName>
    <definedName name="_4599011">[1]Catálogo!#REF!</definedName>
    <definedName name="_4599012">[1]Catálogo!#REF!</definedName>
    <definedName name="_4599013">[1]Catálogo!#REF!</definedName>
    <definedName name="_4599014">[1]Catálogo!#REF!</definedName>
    <definedName name="_4599015">[1]Catálogo!#REF!</definedName>
    <definedName name="_4599016">[1]Catálogo!#REF!</definedName>
    <definedName name="_4599018">[1]Catálogo!#REF!</definedName>
    <definedName name="_4599019">[1]Catálogo!#REF!</definedName>
    <definedName name="_4599020">[1]Catálogo!#REF!</definedName>
    <definedName name="_4599021">[1]Catálogo!#REF!</definedName>
    <definedName name="_4599023">[1]Catálogo!#REF!</definedName>
    <definedName name="_4599025">[1]Catálogo!#REF!</definedName>
    <definedName name="_4599026">[1]Catálogo!#REF!</definedName>
    <definedName name="_4599028">[1]Catálogo!#REF!</definedName>
    <definedName name="_4599029">[1]Catálogo!#REF!</definedName>
    <definedName name="_4599030">[1]Catálogo!#REF!</definedName>
    <definedName name="_4599032">[1]Catálogo!#REF!</definedName>
    <definedName name="_4599033">[1]Catálogo!#REF!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fXA2leakR62kiFy+SmDdrAKqRupptG9nFGIXtlVLEho="/>
    </ext>
  </extLst>
</workbook>
</file>

<file path=xl/calcChain.xml><?xml version="1.0" encoding="utf-8"?>
<calcChain xmlns="http://schemas.openxmlformats.org/spreadsheetml/2006/main">
  <c r="Q67" i="6" l="1"/>
  <c r="Q66" i="6"/>
  <c r="N66" i="6"/>
  <c r="Q65" i="6"/>
  <c r="N65" i="6"/>
  <c r="AD64" i="6"/>
  <c r="AC64" i="6"/>
  <c r="Q64" i="6"/>
  <c r="AE64" i="6" s="1"/>
  <c r="AF64" i="6" s="1"/>
  <c r="N64" i="6"/>
  <c r="O64" i="6" s="1"/>
  <c r="Q63" i="6"/>
  <c r="N63" i="6"/>
  <c r="AD62" i="6"/>
  <c r="AC62" i="6"/>
  <c r="Q62" i="6"/>
  <c r="AE62" i="6" s="1"/>
  <c r="AF62" i="6" s="1"/>
  <c r="N62" i="6"/>
  <c r="O62" i="6" s="1"/>
  <c r="Q61" i="6"/>
  <c r="N61" i="6"/>
  <c r="AD60" i="6"/>
  <c r="AC60" i="6"/>
  <c r="Q60" i="6"/>
  <c r="AE60" i="6" s="1"/>
  <c r="AF60" i="6" s="1"/>
  <c r="N60" i="6"/>
  <c r="O60" i="6" s="1"/>
  <c r="Q59" i="6"/>
  <c r="N59" i="6"/>
  <c r="AD58" i="6"/>
  <c r="AC58" i="6"/>
  <c r="Q58" i="6"/>
  <c r="AE58" i="6" s="1"/>
  <c r="AF58" i="6" s="1"/>
  <c r="N58" i="6"/>
  <c r="O58" i="6" s="1"/>
  <c r="Q57" i="6"/>
  <c r="N57" i="6"/>
  <c r="AD56" i="6"/>
  <c r="AC56" i="6"/>
  <c r="Q56" i="6"/>
  <c r="AE56" i="6" s="1"/>
  <c r="AF56" i="6" s="1"/>
  <c r="N56" i="6"/>
  <c r="O56" i="6" s="1"/>
  <c r="Q55" i="6"/>
  <c r="N55" i="6"/>
  <c r="Q54" i="6"/>
  <c r="N54" i="6"/>
  <c r="Q53" i="6"/>
  <c r="N53" i="6"/>
  <c r="AD52" i="6"/>
  <c r="AC52" i="6"/>
  <c r="Q52" i="6"/>
  <c r="AE52" i="6" s="1"/>
  <c r="AF52" i="6" s="1"/>
  <c r="N52" i="6"/>
  <c r="O52" i="6" s="1"/>
  <c r="Q51" i="6"/>
  <c r="N51" i="6"/>
  <c r="AD50" i="6"/>
  <c r="AC50" i="6"/>
  <c r="Q50" i="6"/>
  <c r="AE50" i="6" s="1"/>
  <c r="AF50" i="6" s="1"/>
  <c r="AE67" i="6" s="1"/>
  <c r="N50" i="6"/>
  <c r="O50" i="6" s="1"/>
  <c r="N67" i="6" s="1"/>
  <c r="Q49" i="6"/>
  <c r="N49" i="6"/>
  <c r="Q48" i="6"/>
  <c r="N48" i="6"/>
  <c r="Q47" i="6"/>
  <c r="N47" i="6"/>
  <c r="Q46" i="6"/>
  <c r="N46" i="6"/>
  <c r="Q45" i="6"/>
  <c r="N45" i="6"/>
  <c r="Q44" i="6"/>
  <c r="N44" i="6"/>
  <c r="AD43" i="6"/>
  <c r="AC43" i="6"/>
  <c r="Q43" i="6"/>
  <c r="AE43" i="6" s="1"/>
  <c r="AF43" i="6" s="1"/>
  <c r="N43" i="6"/>
  <c r="O43" i="6" s="1"/>
  <c r="Q42" i="6"/>
  <c r="N42" i="6"/>
  <c r="Q41" i="6"/>
  <c r="N41" i="6"/>
  <c r="Q40" i="6"/>
  <c r="N40" i="6"/>
  <c r="Q39" i="6"/>
  <c r="N39" i="6"/>
  <c r="Q38" i="6"/>
  <c r="N38" i="6"/>
  <c r="AE37" i="6"/>
  <c r="AF37" i="6" s="1"/>
  <c r="AD37" i="6"/>
  <c r="AC37" i="6"/>
  <c r="Q37" i="6"/>
  <c r="N37" i="6"/>
  <c r="O37" i="6" s="1"/>
  <c r="Q36" i="6"/>
  <c r="N36" i="6"/>
  <c r="Q35" i="6"/>
  <c r="N35" i="6"/>
  <c r="Q34" i="6"/>
  <c r="N34" i="6"/>
  <c r="Q33" i="6"/>
  <c r="N33" i="6"/>
  <c r="Q32" i="6"/>
  <c r="N32" i="6"/>
  <c r="Q31" i="6"/>
  <c r="N31" i="6"/>
  <c r="Q30" i="6"/>
  <c r="N30" i="6"/>
  <c r="Q29" i="6"/>
  <c r="N29" i="6"/>
  <c r="Q28" i="6"/>
  <c r="N28" i="6"/>
  <c r="Q27" i="6"/>
  <c r="N27" i="6"/>
  <c r="Q26" i="6"/>
  <c r="N26" i="6"/>
  <c r="Q25" i="6"/>
  <c r="N25" i="6"/>
  <c r="Q24" i="6"/>
  <c r="N24" i="6"/>
  <c r="AD23" i="6"/>
  <c r="AC23" i="6"/>
  <c r="Q23" i="6"/>
  <c r="AE23" i="6" s="1"/>
  <c r="AF23" i="6" s="1"/>
  <c r="N23" i="6"/>
  <c r="O23" i="6" s="1"/>
  <c r="Q22" i="6"/>
  <c r="N22" i="6"/>
  <c r="AD21" i="6"/>
  <c r="AC21" i="6"/>
  <c r="Q21" i="6"/>
  <c r="AE21" i="6" s="1"/>
  <c r="AF21" i="6" s="1"/>
  <c r="N21" i="6"/>
  <c r="O21" i="6" s="1"/>
  <c r="Q20" i="6"/>
  <c r="N20" i="6"/>
  <c r="AD19" i="6"/>
  <c r="AC19" i="6"/>
  <c r="Q19" i="6"/>
  <c r="AE19" i="6" s="1"/>
  <c r="AF19" i="6" s="1"/>
  <c r="N19" i="6"/>
  <c r="O19" i="6" s="1"/>
  <c r="Q18" i="6"/>
  <c r="N18" i="6"/>
  <c r="AD17" i="6"/>
  <c r="AC17" i="6"/>
  <c r="Q17" i="6"/>
  <c r="AE17" i="6" s="1"/>
  <c r="AF17" i="6" s="1"/>
  <c r="N17" i="6"/>
  <c r="O17" i="6" s="1"/>
  <c r="Q16" i="6"/>
  <c r="N16" i="6"/>
  <c r="AD15" i="6"/>
  <c r="AC15" i="6"/>
  <c r="Q15" i="6"/>
  <c r="AE15" i="6" s="1"/>
  <c r="AF15" i="6" s="1"/>
  <c r="N15" i="6"/>
  <c r="Q14" i="6"/>
  <c r="N14" i="6"/>
  <c r="Q13" i="6"/>
  <c r="N13" i="6"/>
  <c r="AD12" i="6"/>
  <c r="AC12" i="6"/>
  <c r="Q12" i="6"/>
  <c r="AE12" i="6" s="1"/>
  <c r="AF12" i="6" s="1"/>
  <c r="N12" i="6"/>
  <c r="O12" i="6" s="1"/>
  <c r="Q11" i="6"/>
  <c r="N11" i="6"/>
  <c r="AD10" i="6"/>
  <c r="AC10" i="6"/>
  <c r="Q10" i="6"/>
  <c r="AE10" i="6" s="1"/>
  <c r="AF10" i="6" s="1"/>
  <c r="N10" i="6"/>
  <c r="O10" i="6" s="1"/>
  <c r="Q9" i="6"/>
  <c r="N9" i="6"/>
  <c r="AD8" i="6"/>
  <c r="AC8" i="6"/>
  <c r="Q8" i="6"/>
  <c r="AE8" i="6" s="1"/>
  <c r="AF8" i="6" s="1"/>
  <c r="N8" i="6"/>
  <c r="O8" i="6" s="1"/>
  <c r="Q7" i="6"/>
  <c r="N7" i="6"/>
  <c r="AE6" i="6"/>
  <c r="AF6" i="6" s="1"/>
  <c r="AD6" i="6"/>
  <c r="AC6" i="6"/>
  <c r="Q6" i="6"/>
  <c r="N6" i="6"/>
  <c r="O6" i="6" s="1"/>
  <c r="Q5" i="6"/>
  <c r="N5" i="6"/>
  <c r="AD4" i="6"/>
  <c r="AC4" i="6"/>
  <c r="AC67" i="6" s="1"/>
  <c r="Q4" i="6"/>
  <c r="AE4" i="6" s="1"/>
  <c r="AF4" i="6" s="1"/>
  <c r="AF67" i="6" s="1"/>
  <c r="N4" i="6"/>
  <c r="O4" i="6" s="1"/>
  <c r="R24" i="5"/>
  <c r="O24" i="5"/>
  <c r="AE23" i="5"/>
  <c r="AD23" i="5"/>
  <c r="R23" i="5"/>
  <c r="AF23" i="5" s="1"/>
  <c r="AG23" i="5" s="1"/>
  <c r="O23" i="5"/>
  <c r="P23" i="5" s="1"/>
  <c r="R22" i="5"/>
  <c r="O22" i="5"/>
  <c r="AE21" i="5"/>
  <c r="AD21" i="5"/>
  <c r="R21" i="5"/>
  <c r="AF21" i="5" s="1"/>
  <c r="AG21" i="5" s="1"/>
  <c r="O21" i="5"/>
  <c r="P21" i="5" s="1"/>
  <c r="R20" i="5"/>
  <c r="O20" i="5"/>
  <c r="AE19" i="5"/>
  <c r="AD19" i="5"/>
  <c r="R19" i="5"/>
  <c r="AF19" i="5" s="1"/>
  <c r="AG19" i="5" s="1"/>
  <c r="P19" i="5"/>
  <c r="O19" i="5"/>
  <c r="R18" i="5"/>
  <c r="O18" i="5"/>
  <c r="AE17" i="5"/>
  <c r="AD17" i="5"/>
  <c r="R17" i="5"/>
  <c r="AF17" i="5" s="1"/>
  <c r="AG17" i="5" s="1"/>
  <c r="P17" i="5"/>
  <c r="O17" i="5"/>
  <c r="R16" i="5"/>
  <c r="O16" i="5"/>
  <c r="AE15" i="5"/>
  <c r="AD15" i="5"/>
  <c r="R15" i="5"/>
  <c r="AF15" i="5" s="1"/>
  <c r="AG15" i="5" s="1"/>
  <c r="P15" i="5"/>
  <c r="O15" i="5"/>
  <c r="AE14" i="5"/>
  <c r="R13" i="5"/>
  <c r="O13" i="5"/>
  <c r="AF12" i="5"/>
  <c r="AG12" i="5" s="1"/>
  <c r="AE12" i="5"/>
  <c r="AD12" i="5"/>
  <c r="R12" i="5"/>
  <c r="O12" i="5"/>
  <c r="P12" i="5" s="1"/>
  <c r="R11" i="5"/>
  <c r="O11" i="5"/>
  <c r="AE10" i="5"/>
  <c r="AD10" i="5"/>
  <c r="R10" i="5"/>
  <c r="AF10" i="5" s="1"/>
  <c r="AG10" i="5" s="1"/>
  <c r="O10" i="5"/>
  <c r="P10" i="5" s="1"/>
  <c r="R9" i="5"/>
  <c r="O9" i="5"/>
  <c r="AE8" i="5"/>
  <c r="AD8" i="5"/>
  <c r="R8" i="5"/>
  <c r="AF8" i="5" s="1"/>
  <c r="AG8" i="5" s="1"/>
  <c r="P8" i="5"/>
  <c r="O8" i="5"/>
  <c r="R7" i="5"/>
  <c r="O7" i="5"/>
  <c r="AE6" i="5"/>
  <c r="AD6" i="5"/>
  <c r="AD25" i="5" s="1"/>
  <c r="R6" i="5"/>
  <c r="AF6" i="5" s="1"/>
  <c r="AG6" i="5" s="1"/>
  <c r="P6" i="5"/>
  <c r="O6" i="5"/>
  <c r="R5" i="5"/>
  <c r="R25" i="5" s="1"/>
  <c r="O5" i="5"/>
  <c r="O25" i="5" s="1"/>
  <c r="AF4" i="5"/>
  <c r="AE4" i="5"/>
  <c r="AD4" i="5"/>
  <c r="R4" i="5"/>
  <c r="O4" i="5"/>
  <c r="P4" i="5" s="1"/>
  <c r="Q17" i="4"/>
  <c r="N17" i="4"/>
  <c r="AD16" i="4"/>
  <c r="AC16" i="4"/>
  <c r="Q16" i="4"/>
  <c r="AE16" i="4" s="1"/>
  <c r="AF16" i="4" s="1"/>
  <c r="N16" i="4"/>
  <c r="O16" i="4" s="1"/>
  <c r="Q15" i="4"/>
  <c r="N15" i="4"/>
  <c r="AD14" i="4"/>
  <c r="AC14" i="4"/>
  <c r="Q14" i="4"/>
  <c r="AE14" i="4" s="1"/>
  <c r="AF14" i="4" s="1"/>
  <c r="N14" i="4"/>
  <c r="O14" i="4" s="1"/>
  <c r="Q13" i="4"/>
  <c r="N13" i="4"/>
  <c r="AD12" i="4"/>
  <c r="AC12" i="4"/>
  <c r="Q12" i="4"/>
  <c r="AE12" i="4" s="1"/>
  <c r="AF12" i="4" s="1"/>
  <c r="N12" i="4"/>
  <c r="O12" i="4" s="1"/>
  <c r="Q11" i="4"/>
  <c r="N11" i="4"/>
  <c r="AD10" i="4"/>
  <c r="AC10" i="4"/>
  <c r="Q10" i="4"/>
  <c r="AE10" i="4" s="1"/>
  <c r="AF10" i="4" s="1"/>
  <c r="N10" i="4"/>
  <c r="O10" i="4" s="1"/>
  <c r="Q9" i="4"/>
  <c r="N9" i="4"/>
  <c r="AD8" i="4"/>
  <c r="AC8" i="4"/>
  <c r="Q8" i="4"/>
  <c r="AE8" i="4" s="1"/>
  <c r="AF8" i="4" s="1"/>
  <c r="N8" i="4"/>
  <c r="O8" i="4" s="1"/>
  <c r="Q7" i="4"/>
  <c r="N7" i="4"/>
  <c r="AD6" i="4"/>
  <c r="AC6" i="4"/>
  <c r="Q6" i="4"/>
  <c r="AE6" i="4" s="1"/>
  <c r="AF6" i="4" s="1"/>
  <c r="N6" i="4"/>
  <c r="O6" i="4" s="1"/>
  <c r="Q5" i="4"/>
  <c r="N5" i="4"/>
  <c r="AD4" i="4"/>
  <c r="AC4" i="4"/>
  <c r="AC18" i="4" s="1"/>
  <c r="Q4" i="4"/>
  <c r="N4" i="4"/>
  <c r="Q88" i="3"/>
  <c r="N88" i="3"/>
  <c r="AD87" i="3"/>
  <c r="AC87" i="3"/>
  <c r="Q87" i="3"/>
  <c r="AE87" i="3" s="1"/>
  <c r="AF87" i="3" s="1"/>
  <c r="N87" i="3"/>
  <c r="O87" i="3" s="1"/>
  <c r="Q86" i="3"/>
  <c r="N86" i="3"/>
  <c r="AD85" i="3"/>
  <c r="AC85" i="3"/>
  <c r="Q85" i="3"/>
  <c r="AE85" i="3" s="1"/>
  <c r="AF85" i="3" s="1"/>
  <c r="N85" i="3"/>
  <c r="O85" i="3" s="1"/>
  <c r="Q84" i="3"/>
  <c r="N84" i="3"/>
  <c r="AD83" i="3"/>
  <c r="AC83" i="3"/>
  <c r="Q83" i="3"/>
  <c r="AE83" i="3" s="1"/>
  <c r="AF83" i="3" s="1"/>
  <c r="N83" i="3"/>
  <c r="O83" i="3" s="1"/>
  <c r="Q82" i="3"/>
  <c r="N82" i="3"/>
  <c r="AD81" i="3"/>
  <c r="AC81" i="3"/>
  <c r="Q81" i="3"/>
  <c r="AE81" i="3" s="1"/>
  <c r="AF81" i="3" s="1"/>
  <c r="N81" i="3"/>
  <c r="O81" i="3" s="1"/>
  <c r="Q80" i="3"/>
  <c r="N80" i="3"/>
  <c r="Q79" i="3"/>
  <c r="N79" i="3"/>
  <c r="AD78" i="3"/>
  <c r="AC78" i="3"/>
  <c r="Q78" i="3"/>
  <c r="AE78" i="3" s="1"/>
  <c r="AF78" i="3" s="1"/>
  <c r="N78" i="3"/>
  <c r="O78" i="3" s="1"/>
  <c r="Q77" i="3"/>
  <c r="N77" i="3"/>
  <c r="Q76" i="3"/>
  <c r="N76" i="3"/>
  <c r="AD75" i="3"/>
  <c r="AC75" i="3"/>
  <c r="Q75" i="3"/>
  <c r="AE75" i="3" s="1"/>
  <c r="AF75" i="3" s="1"/>
  <c r="N75" i="3"/>
  <c r="O75" i="3" s="1"/>
  <c r="Q74" i="3"/>
  <c r="N74" i="3"/>
  <c r="Q73" i="3"/>
  <c r="N73" i="3"/>
  <c r="AD72" i="3"/>
  <c r="AC72" i="3"/>
  <c r="Q72" i="3"/>
  <c r="AE72" i="3" s="1"/>
  <c r="AF72" i="3" s="1"/>
  <c r="N72" i="3"/>
  <c r="O72" i="3" s="1"/>
  <c r="Q71" i="3"/>
  <c r="N71" i="3"/>
  <c r="Q70" i="3"/>
  <c r="N70" i="3"/>
  <c r="Q69" i="3"/>
  <c r="N69" i="3"/>
  <c r="Q68" i="3"/>
  <c r="N68" i="3"/>
  <c r="AD67" i="3"/>
  <c r="AC67" i="3"/>
  <c r="Q67" i="3"/>
  <c r="AE67" i="3" s="1"/>
  <c r="AF67" i="3" s="1"/>
  <c r="N67" i="3"/>
  <c r="O67" i="3" s="1"/>
  <c r="Q66" i="3"/>
  <c r="N66" i="3"/>
  <c r="Q65" i="3"/>
  <c r="N65" i="3"/>
  <c r="AD64" i="3"/>
  <c r="AC64" i="3"/>
  <c r="Q64" i="3"/>
  <c r="AE64" i="3" s="1"/>
  <c r="AF64" i="3" s="1"/>
  <c r="N64" i="3"/>
  <c r="O64" i="3" s="1"/>
  <c r="Q63" i="3"/>
  <c r="N63" i="3"/>
  <c r="AD62" i="3"/>
  <c r="AC62" i="3"/>
  <c r="Q62" i="3"/>
  <c r="AE62" i="3" s="1"/>
  <c r="AF62" i="3" s="1"/>
  <c r="N62" i="3"/>
  <c r="O62" i="3" s="1"/>
  <c r="Q61" i="3"/>
  <c r="N61" i="3"/>
  <c r="Q60" i="3"/>
  <c r="N60" i="3"/>
  <c r="AD59" i="3"/>
  <c r="AC59" i="3"/>
  <c r="Q59" i="3"/>
  <c r="AE59" i="3" s="1"/>
  <c r="AF59" i="3" s="1"/>
  <c r="N59" i="3"/>
  <c r="O59" i="3" s="1"/>
  <c r="Q58" i="3"/>
  <c r="N58" i="3"/>
  <c r="AD57" i="3"/>
  <c r="AC57" i="3"/>
  <c r="Q57" i="3"/>
  <c r="AE57" i="3" s="1"/>
  <c r="AF57" i="3" s="1"/>
  <c r="N57" i="3"/>
  <c r="O57" i="3" s="1"/>
  <c r="Q56" i="3"/>
  <c r="N56" i="3"/>
  <c r="AD55" i="3"/>
  <c r="AC55" i="3"/>
  <c r="Q55" i="3"/>
  <c r="AE55" i="3" s="1"/>
  <c r="AF55" i="3" s="1"/>
  <c r="N55" i="3"/>
  <c r="O55" i="3" s="1"/>
  <c r="Q54" i="3"/>
  <c r="N54" i="3"/>
  <c r="AD53" i="3"/>
  <c r="AC53" i="3"/>
  <c r="Q53" i="3"/>
  <c r="AE53" i="3" s="1"/>
  <c r="AF53" i="3" s="1"/>
  <c r="N53" i="3"/>
  <c r="O53" i="3" s="1"/>
  <c r="Q52" i="3"/>
  <c r="N52" i="3"/>
  <c r="AD51" i="3"/>
  <c r="AC51" i="3"/>
  <c r="Q51" i="3"/>
  <c r="AE51" i="3" s="1"/>
  <c r="AF51" i="3" s="1"/>
  <c r="N51" i="3"/>
  <c r="O51" i="3" s="1"/>
  <c r="Q50" i="3"/>
  <c r="N50" i="3"/>
  <c r="AD49" i="3"/>
  <c r="AC49" i="3"/>
  <c r="Q49" i="3"/>
  <c r="AE49" i="3" s="1"/>
  <c r="AF49" i="3" s="1"/>
  <c r="N49" i="3"/>
  <c r="O49" i="3" s="1"/>
  <c r="Q48" i="3"/>
  <c r="N48" i="3"/>
  <c r="Q47" i="3"/>
  <c r="N47" i="3"/>
  <c r="Q46" i="3"/>
  <c r="N46" i="3"/>
  <c r="AD45" i="3"/>
  <c r="AC45" i="3"/>
  <c r="Q45" i="3"/>
  <c r="AE45" i="3" s="1"/>
  <c r="AF45" i="3" s="1"/>
  <c r="N45" i="3"/>
  <c r="O45" i="3" s="1"/>
  <c r="Q44" i="3"/>
  <c r="N44" i="3"/>
  <c r="Q43" i="3"/>
  <c r="N43" i="3"/>
  <c r="Q42" i="3"/>
  <c r="N42" i="3"/>
  <c r="AD41" i="3"/>
  <c r="AC41" i="3"/>
  <c r="Q41" i="3"/>
  <c r="AE41" i="3" s="1"/>
  <c r="AF41" i="3" s="1"/>
  <c r="N41" i="3"/>
  <c r="O41" i="3" s="1"/>
  <c r="Q40" i="3"/>
  <c r="N40" i="3"/>
  <c r="AD39" i="3"/>
  <c r="AC39" i="3"/>
  <c r="Q39" i="3"/>
  <c r="AE39" i="3" s="1"/>
  <c r="AF39" i="3" s="1"/>
  <c r="N39" i="3"/>
  <c r="O39" i="3" s="1"/>
  <c r="Q38" i="3"/>
  <c r="N38" i="3"/>
  <c r="Q37" i="3"/>
  <c r="N37" i="3"/>
  <c r="Q36" i="3"/>
  <c r="N36" i="3"/>
  <c r="AD35" i="3"/>
  <c r="AC35" i="3"/>
  <c r="Q35" i="3"/>
  <c r="AE35" i="3" s="1"/>
  <c r="AF35" i="3" s="1"/>
  <c r="N35" i="3"/>
  <c r="O35" i="3" s="1"/>
  <c r="Q34" i="3"/>
  <c r="N34" i="3"/>
  <c r="AD33" i="3"/>
  <c r="AC33" i="3"/>
  <c r="Q33" i="3"/>
  <c r="AE33" i="3" s="1"/>
  <c r="AF33" i="3" s="1"/>
  <c r="N33" i="3"/>
  <c r="O33" i="3" s="1"/>
  <c r="Q32" i="3"/>
  <c r="N32" i="3"/>
  <c r="AD31" i="3"/>
  <c r="AC31" i="3"/>
  <c r="Q31" i="3"/>
  <c r="AE31" i="3" s="1"/>
  <c r="N31" i="3"/>
  <c r="O31" i="3" s="1"/>
  <c r="Q30" i="3"/>
  <c r="N30" i="3"/>
  <c r="AD29" i="3"/>
  <c r="AC29" i="3"/>
  <c r="Q29" i="3"/>
  <c r="AE29" i="3" s="1"/>
  <c r="AF29" i="3" s="1"/>
  <c r="N29" i="3"/>
  <c r="O29" i="3" s="1"/>
  <c r="Q28" i="3"/>
  <c r="N28" i="3"/>
  <c r="AD27" i="3"/>
  <c r="AC27" i="3"/>
  <c r="Q27" i="3"/>
  <c r="AE27" i="3" s="1"/>
  <c r="AF27" i="3" s="1"/>
  <c r="N27" i="3"/>
  <c r="O27" i="3" s="1"/>
  <c r="Q26" i="3"/>
  <c r="N26" i="3"/>
  <c r="Q25" i="3"/>
  <c r="N25" i="3"/>
  <c r="AD24" i="3"/>
  <c r="AC24" i="3"/>
  <c r="Q24" i="3"/>
  <c r="AE24" i="3" s="1"/>
  <c r="AF24" i="3" s="1"/>
  <c r="N24" i="3"/>
  <c r="O24" i="3" s="1"/>
  <c r="Q23" i="3"/>
  <c r="N23" i="3"/>
  <c r="AD22" i="3"/>
  <c r="AC22" i="3"/>
  <c r="Q22" i="3"/>
  <c r="AE22" i="3" s="1"/>
  <c r="AF22" i="3" s="1"/>
  <c r="N22" i="3"/>
  <c r="O22" i="3" s="1"/>
  <c r="Q21" i="3"/>
  <c r="N21" i="3"/>
  <c r="Q20" i="3"/>
  <c r="N20" i="3"/>
  <c r="AD19" i="3"/>
  <c r="AC19" i="3"/>
  <c r="Q19" i="3"/>
  <c r="AE19" i="3" s="1"/>
  <c r="AF19" i="3" s="1"/>
  <c r="N19" i="3"/>
  <c r="O19" i="3" s="1"/>
  <c r="Q18" i="3"/>
  <c r="N18" i="3"/>
  <c r="Q17" i="3"/>
  <c r="N17" i="3"/>
  <c r="Q16" i="3"/>
  <c r="N16" i="3"/>
  <c r="AD15" i="3"/>
  <c r="AC15" i="3"/>
  <c r="Q15" i="3"/>
  <c r="AE15" i="3" s="1"/>
  <c r="AF15" i="3" s="1"/>
  <c r="N15" i="3"/>
  <c r="O15" i="3" s="1"/>
  <c r="Q14" i="3"/>
  <c r="N14" i="3"/>
  <c r="Q13" i="3"/>
  <c r="N13" i="3"/>
  <c r="Q12" i="3"/>
  <c r="N12" i="3"/>
  <c r="AD11" i="3"/>
  <c r="AC11" i="3"/>
  <c r="Q11" i="3"/>
  <c r="AE11" i="3" s="1"/>
  <c r="AF11" i="3" s="1"/>
  <c r="O11" i="3"/>
  <c r="N11" i="3"/>
  <c r="Q10" i="3"/>
  <c r="N10" i="3"/>
  <c r="Q9" i="3"/>
  <c r="N9" i="3"/>
  <c r="AD8" i="3"/>
  <c r="AC8" i="3"/>
  <c r="Q8" i="3"/>
  <c r="AE8" i="3" s="1"/>
  <c r="AF8" i="3" s="1"/>
  <c r="N8" i="3"/>
  <c r="O8" i="3" s="1"/>
  <c r="Q7" i="3"/>
  <c r="N7" i="3"/>
  <c r="Q6" i="3"/>
  <c r="Q89" i="3" s="1"/>
  <c r="N6" i="3"/>
  <c r="N5" i="3"/>
  <c r="AE4" i="3"/>
  <c r="AF4" i="3" s="1"/>
  <c r="AD4" i="3"/>
  <c r="AC4" i="3"/>
  <c r="AC89" i="3" s="1"/>
  <c r="N4" i="3"/>
  <c r="Q88" i="2"/>
  <c r="N88" i="2"/>
  <c r="AD87" i="2"/>
  <c r="AC87" i="2"/>
  <c r="Q87" i="2"/>
  <c r="AE87" i="2" s="1"/>
  <c r="AF87" i="2" s="1"/>
  <c r="N87" i="2"/>
  <c r="O87" i="2" s="1"/>
  <c r="Q86" i="2"/>
  <c r="N86" i="2"/>
  <c r="AD85" i="2"/>
  <c r="AC85" i="2"/>
  <c r="AC89" i="2" s="1"/>
  <c r="Q85" i="2"/>
  <c r="N85" i="2"/>
  <c r="Q84" i="2"/>
  <c r="N84" i="2"/>
  <c r="AD83" i="2"/>
  <c r="AC83" i="2"/>
  <c r="Q83" i="2"/>
  <c r="AE83" i="2" s="1"/>
  <c r="AF83" i="2" s="1"/>
  <c r="N83" i="2"/>
  <c r="O83" i="2" s="1"/>
  <c r="Q82" i="2"/>
  <c r="N82" i="2"/>
  <c r="AD81" i="2"/>
  <c r="AC81" i="2"/>
  <c r="Q81" i="2"/>
  <c r="AE81" i="2" s="1"/>
  <c r="AF81" i="2" s="1"/>
  <c r="N81" i="2"/>
  <c r="O81" i="2" s="1"/>
  <c r="Q80" i="2"/>
  <c r="N80" i="2"/>
  <c r="Q79" i="2"/>
  <c r="N79" i="2"/>
  <c r="AD78" i="2"/>
  <c r="AC78" i="2"/>
  <c r="Q78" i="2"/>
  <c r="AE78" i="2" s="1"/>
  <c r="AF78" i="2" s="1"/>
  <c r="N78" i="2"/>
  <c r="O78" i="2" s="1"/>
  <c r="Q77" i="2"/>
  <c r="N77" i="2"/>
  <c r="Q76" i="2"/>
  <c r="N76" i="2"/>
  <c r="AD75" i="2"/>
  <c r="AC75" i="2"/>
  <c r="Q75" i="2"/>
  <c r="AE75" i="2" s="1"/>
  <c r="AF75" i="2" s="1"/>
  <c r="N75" i="2"/>
  <c r="O75" i="2" s="1"/>
  <c r="Q74" i="2"/>
  <c r="N74" i="2"/>
  <c r="Q73" i="2"/>
  <c r="N73" i="2"/>
  <c r="AD72" i="2"/>
  <c r="AC72" i="2"/>
  <c r="Q72" i="2"/>
  <c r="AE72" i="2" s="1"/>
  <c r="AF72" i="2" s="1"/>
  <c r="N72" i="2"/>
  <c r="O72" i="2" s="1"/>
  <c r="Q71" i="2"/>
  <c r="N71" i="2"/>
  <c r="Q70" i="2"/>
  <c r="N70" i="2"/>
  <c r="Q69" i="2"/>
  <c r="N69" i="2"/>
  <c r="Q68" i="2"/>
  <c r="N68" i="2"/>
  <c r="AD67" i="2"/>
  <c r="AC67" i="2"/>
  <c r="Q67" i="2"/>
  <c r="AE67" i="2" s="1"/>
  <c r="AF67" i="2" s="1"/>
  <c r="N67" i="2"/>
  <c r="O67" i="2" s="1"/>
  <c r="Q66" i="2"/>
  <c r="N66" i="2"/>
  <c r="Q65" i="2"/>
  <c r="N65" i="2"/>
  <c r="AD64" i="2"/>
  <c r="AC64" i="2"/>
  <c r="Q64" i="2"/>
  <c r="AE64" i="2" s="1"/>
  <c r="AF64" i="2" s="1"/>
  <c r="N64" i="2"/>
  <c r="O64" i="2" s="1"/>
  <c r="Q63" i="2"/>
  <c r="N63" i="2"/>
  <c r="AD62" i="2"/>
  <c r="AC62" i="2"/>
  <c r="Q62" i="2"/>
  <c r="AE62" i="2" s="1"/>
  <c r="AF62" i="2" s="1"/>
  <c r="N62" i="2"/>
  <c r="O62" i="2" s="1"/>
  <c r="Q61" i="2"/>
  <c r="N61" i="2"/>
  <c r="Q60" i="2"/>
  <c r="N60" i="2"/>
  <c r="AD59" i="2"/>
  <c r="AC59" i="2"/>
  <c r="Q59" i="2"/>
  <c r="AE59" i="2" s="1"/>
  <c r="AF59" i="2" s="1"/>
  <c r="N59" i="2"/>
  <c r="O59" i="2" s="1"/>
  <c r="Q58" i="2"/>
  <c r="N58" i="2"/>
  <c r="AD57" i="2"/>
  <c r="AC57" i="2"/>
  <c r="Q57" i="2"/>
  <c r="AE57" i="2" s="1"/>
  <c r="AF57" i="2" s="1"/>
  <c r="N57" i="2"/>
  <c r="O57" i="2" s="1"/>
  <c r="Q56" i="2"/>
  <c r="N56" i="2"/>
  <c r="AD55" i="2"/>
  <c r="AC55" i="2"/>
  <c r="Q55" i="2"/>
  <c r="AE55" i="2" s="1"/>
  <c r="AF55" i="2" s="1"/>
  <c r="N55" i="2"/>
  <c r="O55" i="2" s="1"/>
  <c r="Q54" i="2"/>
  <c r="N54" i="2"/>
  <c r="AD53" i="2"/>
  <c r="AC53" i="2"/>
  <c r="Q53" i="2"/>
  <c r="AE53" i="2" s="1"/>
  <c r="AF53" i="2" s="1"/>
  <c r="N53" i="2"/>
  <c r="O53" i="2" s="1"/>
  <c r="Q52" i="2"/>
  <c r="N52" i="2"/>
  <c r="AD51" i="2"/>
  <c r="AC51" i="2"/>
  <c r="Q51" i="2"/>
  <c r="AE51" i="2" s="1"/>
  <c r="AF51" i="2" s="1"/>
  <c r="N51" i="2"/>
  <c r="O51" i="2" s="1"/>
  <c r="Q50" i="2"/>
  <c r="N50" i="2"/>
  <c r="AD49" i="2"/>
  <c r="AC49" i="2"/>
  <c r="Q49" i="2"/>
  <c r="AE49" i="2" s="1"/>
  <c r="AF49" i="2" s="1"/>
  <c r="N49" i="2"/>
  <c r="O49" i="2" s="1"/>
  <c r="Q48" i="2"/>
  <c r="N48" i="2"/>
  <c r="Q47" i="2"/>
  <c r="N47" i="2"/>
  <c r="Q46" i="2"/>
  <c r="N46" i="2"/>
  <c r="AD45" i="2"/>
  <c r="AC45" i="2"/>
  <c r="Q45" i="2"/>
  <c r="AE45" i="2" s="1"/>
  <c r="AF45" i="2" s="1"/>
  <c r="N45" i="2"/>
  <c r="O45" i="2" s="1"/>
  <c r="Q44" i="2"/>
  <c r="N44" i="2"/>
  <c r="Q43" i="2"/>
  <c r="N43" i="2"/>
  <c r="Q42" i="2"/>
  <c r="N42" i="2"/>
  <c r="AD41" i="2"/>
  <c r="AC41" i="2"/>
  <c r="Q41" i="2"/>
  <c r="AE41" i="2" s="1"/>
  <c r="AF41" i="2" s="1"/>
  <c r="N41" i="2"/>
  <c r="O41" i="2" s="1"/>
  <c r="Q40" i="2"/>
  <c r="N40" i="2"/>
  <c r="AD39" i="2"/>
  <c r="AC39" i="2"/>
  <c r="Q39" i="2"/>
  <c r="AE39" i="2" s="1"/>
  <c r="AF39" i="2" s="1"/>
  <c r="N39" i="2"/>
  <c r="O39" i="2" s="1"/>
  <c r="Q38" i="2"/>
  <c r="N38" i="2"/>
  <c r="Q37" i="2"/>
  <c r="N37" i="2"/>
  <c r="Q36" i="2"/>
  <c r="N36" i="2"/>
  <c r="AD35" i="2"/>
  <c r="AC35" i="2"/>
  <c r="Q35" i="2"/>
  <c r="AE35" i="2" s="1"/>
  <c r="AF35" i="2" s="1"/>
  <c r="N35" i="2"/>
  <c r="O35" i="2" s="1"/>
  <c r="Q34" i="2"/>
  <c r="N34" i="2"/>
  <c r="AD33" i="2"/>
  <c r="AC33" i="2"/>
  <c r="Q33" i="2"/>
  <c r="AE33" i="2" s="1"/>
  <c r="AF33" i="2" s="1"/>
  <c r="N33" i="2"/>
  <c r="O33" i="2" s="1"/>
  <c r="Q32" i="2"/>
  <c r="N32" i="2"/>
  <c r="AD31" i="2"/>
  <c r="AC31" i="2"/>
  <c r="Q31" i="2"/>
  <c r="AE31" i="2" s="1"/>
  <c r="N31" i="2"/>
  <c r="O31" i="2" s="1"/>
  <c r="Q30" i="2"/>
  <c r="N30" i="2"/>
  <c r="AE29" i="2"/>
  <c r="AF29" i="2" s="1"/>
  <c r="AD29" i="2"/>
  <c r="AC29" i="2"/>
  <c r="Q29" i="2"/>
  <c r="N29" i="2"/>
  <c r="O29" i="2" s="1"/>
  <c r="Q28" i="2"/>
  <c r="N28" i="2"/>
  <c r="AD27" i="2"/>
  <c r="AC27" i="2"/>
  <c r="Q27" i="2"/>
  <c r="AE27" i="2" s="1"/>
  <c r="AF27" i="2" s="1"/>
  <c r="N27" i="2"/>
  <c r="O27" i="2" s="1"/>
  <c r="Q26" i="2"/>
  <c r="N26" i="2"/>
  <c r="Q25" i="2"/>
  <c r="N25" i="2"/>
  <c r="AD24" i="2"/>
  <c r="AC24" i="2"/>
  <c r="Q24" i="2"/>
  <c r="AE24" i="2" s="1"/>
  <c r="AF24" i="2" s="1"/>
  <c r="N24" i="2"/>
  <c r="O24" i="2" s="1"/>
  <c r="Q23" i="2"/>
  <c r="N23" i="2"/>
  <c r="AD22" i="2"/>
  <c r="AC22" i="2"/>
  <c r="Q22" i="2"/>
  <c r="AE22" i="2" s="1"/>
  <c r="AF22" i="2" s="1"/>
  <c r="N22" i="2"/>
  <c r="O22" i="2" s="1"/>
  <c r="Q21" i="2"/>
  <c r="N21" i="2"/>
  <c r="Q20" i="2"/>
  <c r="N20" i="2"/>
  <c r="AD19" i="2"/>
  <c r="AC19" i="2"/>
  <c r="Q19" i="2"/>
  <c r="AE19" i="2" s="1"/>
  <c r="AF19" i="2" s="1"/>
  <c r="N19" i="2"/>
  <c r="O19" i="2" s="1"/>
  <c r="Q18" i="2"/>
  <c r="N18" i="2"/>
  <c r="Q17" i="2"/>
  <c r="N17" i="2"/>
  <c r="Q16" i="2"/>
  <c r="N16" i="2"/>
  <c r="AD15" i="2"/>
  <c r="AC15" i="2"/>
  <c r="Q15" i="2"/>
  <c r="AE15" i="2" s="1"/>
  <c r="AF15" i="2" s="1"/>
  <c r="N15" i="2"/>
  <c r="O15" i="2" s="1"/>
  <c r="Q14" i="2"/>
  <c r="N14" i="2"/>
  <c r="Q13" i="2"/>
  <c r="N13" i="2"/>
  <c r="Q12" i="2"/>
  <c r="N12" i="2"/>
  <c r="AD11" i="2"/>
  <c r="AC11" i="2"/>
  <c r="Q11" i="2"/>
  <c r="AE11" i="2" s="1"/>
  <c r="AF11" i="2" s="1"/>
  <c r="N11" i="2"/>
  <c r="O11" i="2" s="1"/>
  <c r="Q10" i="2"/>
  <c r="N10" i="2"/>
  <c r="Q9" i="2"/>
  <c r="N9" i="2"/>
  <c r="AD8" i="2"/>
  <c r="AC8" i="2"/>
  <c r="Q8" i="2"/>
  <c r="AE8" i="2" s="1"/>
  <c r="AF8" i="2" s="1"/>
  <c r="N8" i="2"/>
  <c r="O8" i="2" s="1"/>
  <c r="Q7" i="2"/>
  <c r="N7" i="2"/>
  <c r="Q6" i="2"/>
  <c r="N6" i="2"/>
  <c r="N5" i="2"/>
  <c r="AE4" i="2"/>
  <c r="AF4" i="2" s="1"/>
  <c r="AD4" i="2"/>
  <c r="AC4" i="2"/>
  <c r="N4" i="2"/>
  <c r="O4" i="2" s="1"/>
  <c r="AD61" i="1"/>
  <c r="Q60" i="1"/>
  <c r="N60" i="1"/>
  <c r="Q59" i="1"/>
  <c r="N59" i="1"/>
  <c r="AE58" i="1"/>
  <c r="AF58" i="1" s="1"/>
  <c r="AD58" i="1"/>
  <c r="AC58" i="1"/>
  <c r="Q58" i="1"/>
  <c r="O58" i="1"/>
  <c r="N58" i="1"/>
  <c r="Q57" i="1"/>
  <c r="N57" i="1"/>
  <c r="AD56" i="1"/>
  <c r="AC56" i="1"/>
  <c r="Q56" i="1"/>
  <c r="AE56" i="1" s="1"/>
  <c r="AF56" i="1" s="1"/>
  <c r="N56" i="1"/>
  <c r="O56" i="1" s="1"/>
  <c r="Q55" i="1"/>
  <c r="N55" i="1"/>
  <c r="Q54" i="1"/>
  <c r="N54" i="1"/>
  <c r="AD53" i="1"/>
  <c r="AC53" i="1"/>
  <c r="Q53" i="1"/>
  <c r="AE53" i="1" s="1"/>
  <c r="AF53" i="1" s="1"/>
  <c r="N53" i="1"/>
  <c r="O53" i="1" s="1"/>
  <c r="Q52" i="1"/>
  <c r="N52" i="1"/>
  <c r="Q51" i="1"/>
  <c r="N51" i="1"/>
  <c r="AD50" i="1"/>
  <c r="AC50" i="1"/>
  <c r="Q50" i="1"/>
  <c r="AE50" i="1" s="1"/>
  <c r="AF50" i="1" s="1"/>
  <c r="N50" i="1"/>
  <c r="O50" i="1" s="1"/>
  <c r="Q49" i="1"/>
  <c r="N49" i="1"/>
  <c r="AD48" i="1"/>
  <c r="AC48" i="1"/>
  <c r="Q48" i="1"/>
  <c r="AE48" i="1" s="1"/>
  <c r="AF48" i="1" s="1"/>
  <c r="N48" i="1"/>
  <c r="O48" i="1" s="1"/>
  <c r="AD47" i="1"/>
  <c r="AD46" i="1"/>
  <c r="Q45" i="1"/>
  <c r="N45" i="1"/>
  <c r="AD44" i="1"/>
  <c r="AC44" i="1"/>
  <c r="Q44" i="1"/>
  <c r="AE44" i="1" s="1"/>
  <c r="AF44" i="1" s="1"/>
  <c r="N44" i="1"/>
  <c r="O44" i="1" s="1"/>
  <c r="Q43" i="1"/>
  <c r="N43" i="1"/>
  <c r="AD42" i="1"/>
  <c r="AC42" i="1"/>
  <c r="Q42" i="1"/>
  <c r="AE42" i="1" s="1"/>
  <c r="AF42" i="1" s="1"/>
  <c r="N42" i="1"/>
  <c r="O42" i="1" s="1"/>
  <c r="Q41" i="1"/>
  <c r="N41" i="1"/>
  <c r="AD40" i="1"/>
  <c r="AC40" i="1"/>
  <c r="Q40" i="1"/>
  <c r="AE40" i="1" s="1"/>
  <c r="AF40" i="1" s="1"/>
  <c r="N40" i="1"/>
  <c r="O40" i="1" s="1"/>
  <c r="Q39" i="1"/>
  <c r="N39" i="1"/>
  <c r="Q38" i="1"/>
  <c r="N38" i="1"/>
  <c r="Q37" i="1"/>
  <c r="N37" i="1"/>
  <c r="AE36" i="1"/>
  <c r="AF36" i="1" s="1"/>
  <c r="AD36" i="1"/>
  <c r="AC36" i="1"/>
  <c r="Q36" i="1"/>
  <c r="N36" i="1"/>
  <c r="O36" i="1" s="1"/>
  <c r="Q35" i="1"/>
  <c r="N35" i="1"/>
  <c r="AD34" i="1"/>
  <c r="AC34" i="1"/>
  <c r="Q34" i="1"/>
  <c r="AE34" i="1" s="1"/>
  <c r="AF34" i="1" s="1"/>
  <c r="O34" i="1"/>
  <c r="N34" i="1"/>
  <c r="Q33" i="1"/>
  <c r="N33" i="1"/>
  <c r="AD32" i="1"/>
  <c r="AC32" i="1"/>
  <c r="Q32" i="1"/>
  <c r="AE32" i="1" s="1"/>
  <c r="AF32" i="1" s="1"/>
  <c r="N32" i="1"/>
  <c r="O32" i="1" s="1"/>
  <c r="Q31" i="1"/>
  <c r="N31" i="1"/>
  <c r="AE30" i="1"/>
  <c r="AF30" i="1" s="1"/>
  <c r="AD30" i="1"/>
  <c r="AC30" i="1"/>
  <c r="Q30" i="1"/>
  <c r="N30" i="1"/>
  <c r="O30" i="1" s="1"/>
  <c r="Q29" i="1"/>
  <c r="N29" i="1"/>
  <c r="Q28" i="1"/>
  <c r="N28" i="1"/>
  <c r="AD27" i="1"/>
  <c r="AC27" i="1"/>
  <c r="Q27" i="1"/>
  <c r="AE27" i="1" s="1"/>
  <c r="AF27" i="1" s="1"/>
  <c r="N27" i="1"/>
  <c r="O27" i="1" s="1"/>
  <c r="Q26" i="1"/>
  <c r="N26" i="1"/>
  <c r="AD25" i="1"/>
  <c r="AC25" i="1"/>
  <c r="Q25" i="1"/>
  <c r="AE25" i="1" s="1"/>
  <c r="AF25" i="1" s="1"/>
  <c r="N25" i="1"/>
  <c r="O25" i="1" s="1"/>
  <c r="Q24" i="1"/>
  <c r="N24" i="1"/>
  <c r="AD23" i="1"/>
  <c r="AC23" i="1"/>
  <c r="Q23" i="1"/>
  <c r="AE23" i="1" s="1"/>
  <c r="AF23" i="1" s="1"/>
  <c r="N23" i="1"/>
  <c r="O23" i="1" s="1"/>
  <c r="Q22" i="1"/>
  <c r="N22" i="1"/>
  <c r="AD21" i="1"/>
  <c r="AC21" i="1"/>
  <c r="Q21" i="1"/>
  <c r="AE21" i="1" s="1"/>
  <c r="AF21" i="1" s="1"/>
  <c r="N21" i="1"/>
  <c r="O21" i="1" s="1"/>
  <c r="Q20" i="1"/>
  <c r="N20" i="1"/>
  <c r="Q19" i="1"/>
  <c r="N19" i="1"/>
  <c r="AD18" i="1"/>
  <c r="AC18" i="1"/>
  <c r="Q18" i="1"/>
  <c r="AE18" i="1" s="1"/>
  <c r="AF18" i="1" s="1"/>
  <c r="N18" i="1"/>
  <c r="O18" i="1" s="1"/>
  <c r="Q17" i="1"/>
  <c r="N17" i="1"/>
  <c r="AD16" i="1"/>
  <c r="AC16" i="1"/>
  <c r="Q16" i="1"/>
  <c r="AE16" i="1" s="1"/>
  <c r="AF16" i="1" s="1"/>
  <c r="N16" i="1"/>
  <c r="O16" i="1" s="1"/>
  <c r="Q15" i="1"/>
  <c r="N15" i="1"/>
  <c r="AD14" i="1"/>
  <c r="AC14" i="1"/>
  <c r="Q14" i="1"/>
  <c r="AE14" i="1" s="1"/>
  <c r="AF14" i="1" s="1"/>
  <c r="N14" i="1"/>
  <c r="O14" i="1" s="1"/>
  <c r="Q13" i="1"/>
  <c r="N13" i="1"/>
  <c r="AD12" i="1"/>
  <c r="AC12" i="1"/>
  <c r="Q12" i="1"/>
  <c r="AE12" i="1" s="1"/>
  <c r="AF12" i="1" s="1"/>
  <c r="N12" i="1"/>
  <c r="O12" i="1" s="1"/>
  <c r="Q11" i="1"/>
  <c r="N11" i="1"/>
  <c r="Q10" i="1"/>
  <c r="N10" i="1"/>
  <c r="Q9" i="1"/>
  <c r="N9" i="1"/>
  <c r="AD8" i="1"/>
  <c r="AC8" i="1"/>
  <c r="Q8" i="1"/>
  <c r="AE8" i="1" s="1"/>
  <c r="AF8" i="1" s="1"/>
  <c r="N8" i="1"/>
  <c r="O8" i="1" s="1"/>
  <c r="Q7" i="1"/>
  <c r="N7" i="1"/>
  <c r="Q6" i="1"/>
  <c r="N6" i="1"/>
  <c r="Q5" i="1"/>
  <c r="N5" i="1"/>
  <c r="AD4" i="1"/>
  <c r="AC4" i="1"/>
  <c r="AC62" i="1" s="1"/>
  <c r="Q4" i="1"/>
  <c r="N4" i="1"/>
  <c r="O15" i="6" l="1"/>
  <c r="O67" i="6" s="1"/>
  <c r="AF25" i="5"/>
  <c r="AG4" i="5"/>
  <c r="AG25" i="5" s="1"/>
  <c r="AE4" i="4"/>
  <c r="Q18" i="4"/>
  <c r="O4" i="4"/>
  <c r="O18" i="4" s="1"/>
  <c r="N18" i="4"/>
  <c r="AF31" i="3"/>
  <c r="AF89" i="3" s="1"/>
  <c r="AE89" i="3"/>
  <c r="N89" i="3"/>
  <c r="O4" i="3"/>
  <c r="O89" i="3" s="1"/>
  <c r="AE85" i="2"/>
  <c r="AF85" i="2" s="1"/>
  <c r="Q89" i="2"/>
  <c r="O85" i="2"/>
  <c r="O89" i="2" s="1"/>
  <c r="N89" i="2"/>
  <c r="AF31" i="2"/>
  <c r="AF89" i="2" s="1"/>
  <c r="AE89" i="2"/>
  <c r="AE4" i="1"/>
  <c r="Q62" i="1"/>
  <c r="O4" i="1"/>
  <c r="O62" i="1" s="1"/>
  <c r="N62" i="1"/>
  <c r="P25" i="5"/>
  <c r="AF4" i="4" l="1"/>
  <c r="AF18" i="4" s="1"/>
  <c r="AE18" i="4"/>
  <c r="AF4" i="1"/>
  <c r="AF62" i="1" s="1"/>
  <c r="AE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9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======
ID#AAAB1nwEI94
admin    (2026-03-11 16:00:33)
Formular BPIN por este valor es posible?</t>
        </r>
      </text>
    </comment>
    <comment ref="F50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ID#AAAB1nwEJEA
admin    (2026-03-11 16:00:33)
1. Mantenimiento de la cobertura del aseguramiento.
2. Promoción de la afiliación.
3. Desarrollo de acciones de seguimiento y atención a los eventos de interés en Salud Pública. (Vacunación)
4. PNA</t>
        </r>
      </text>
    </comment>
    <comment ref="F5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ID#AAAB1nwEJEE
admin    (2026-03-11 16:00:33)
1. Seguimiento al FLS
2. PAMEC
3. PPSS
4. Mantenimiento
5. Oferta</t>
        </r>
      </text>
    </comment>
    <comment ref="F5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======
ID#AAAB1nwEJD4
admin    (2026-03-11 16:00:33)
1. PIC
2. Hader
3. Andrés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m1asTZxnMRuWOk86aUc3RNj56a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0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======
ID#AAAB1nwEJDw
Usuario    (2026-03-11 16:00:33)
Se reporta las personas capacitadas en formación de público, danza, musica, teatro, artes plásticas, audiovisuales</t>
        </r>
      </text>
    </comment>
    <comment ref="F4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ID#AAAB1nwEI98
Usuario    (2026-03-11 16:00:33)
Todos los programas deportivos y salidas a otros municipios a participación de eventos</t>
        </r>
      </text>
    </comment>
    <comment ref="F4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ID#AAAB1nwEJD0
Usuario    (2026-03-11 16:00:33)
Adulto mayor, discapacidad, gimnasio, hidroaerobicos, pausas activas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Q4R4XcRaZ9R+GS1Y3+NFDsOxrc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======
ID#AAAB1nwEJEI
usuario    (2026-03-11 16:00:33)
Cumplimiento de 5.863 Mts de Expansion de alumbrado  publico en el 2025. Se sobreejecuto la meta del cuatrenio.</t>
        </r>
      </text>
    </comment>
    <comment ref="E1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======
ID#AAAB1nwEJD8
usuario    (2026-03-11 16:00:33)
usuario: META CUMPLIDA</t>
        </r>
      </text>
    </comment>
    <comment ref="J20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======
ID#AAAB1nwEJEM
usuario    (2026-03-11 16:00:33)
Se reporto 40 viva, 29 recursos propios. Se ponen para 2026 los 32 mejoramientos que faltaban de viva y 36 con recursos propios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jvpxhJQiccFrrJeEipzJFX7NKvQ=="/>
    </ext>
  </extLst>
</comments>
</file>

<file path=xl/sharedStrings.xml><?xml version="1.0" encoding="utf-8"?>
<sst xmlns="http://schemas.openxmlformats.org/spreadsheetml/2006/main" count="2585" uniqueCount="957">
  <si>
    <t>JUNTOS CONSTRUIMOS 2024 - 2027</t>
  </si>
  <si>
    <t>PLAN DE ACCIÓN 2026 
01.JUNTOS POR LA GOBERNANZA, LA SEGURIDAD, LA MOVILIDAD Y LA HUMANIZACIÓN DE LA SALUD</t>
  </si>
  <si>
    <t>SEGUIMIENTO PLAN DE ACCIÓN 
PRIMER TRIMESTRE 2026 (ENERO - FEBRERO - MARZO)</t>
  </si>
  <si>
    <t xml:space="preserve"> PLAN DE DESARROLLO 2026 
01.JUNTOS POR LA GOBERNANZA, LA SEGURIDAD, LA MOVILIDAD 
Y LA HUMANIZACIÓN DE LA SALUD</t>
  </si>
  <si>
    <t>SEGUIMIENTO PLAN DE DESARROLLO 
PRIMER TRIMESTRE 2026 (ENERO - FEBRERO - MARZO)</t>
  </si>
  <si>
    <t xml:space="preserve">COMPONENTE </t>
  </si>
  <si>
    <t>CÓDIGO DEL PROGRAMA</t>
  </si>
  <si>
    <t>PROGRAMA</t>
  </si>
  <si>
    <t>OBJETIVO</t>
  </si>
  <si>
    <t>VALOR APROBADO</t>
  </si>
  <si>
    <t>ACTIVIDADES PROGRAMADAS</t>
  </si>
  <si>
    <t>NOMBRE DEL INDICADOR  
(DE LA ACTIVIDAD)</t>
  </si>
  <si>
    <t xml:space="preserve">LINEA DE BASE </t>
  </si>
  <si>
    <t>META 2026</t>
  </si>
  <si>
    <t>TIPO DE INDICADOR</t>
  </si>
  <si>
    <t>UNIDAD DE MEDIDA</t>
  </si>
  <si>
    <t>RESPONSABLE</t>
  </si>
  <si>
    <t>AVANCE DE META P.A. 2026
(diligenciar)</t>
  </si>
  <si>
    <t>% CUMPLIMIENTO P.A 2026 
(NO diligenciar)</t>
  </si>
  <si>
    <t>% CUMPLIMIENTO 
POR PROGRAMA 
 P.A. 2026 
(NO diligenciar)</t>
  </si>
  <si>
    <t>TIPO Y NÚMERO DE CONTRATO 
NOTA: Por favor, registrar los contratos con su respectivo año, separados por coma.
Ejemplo: CPS123-2026, INTER123-2026, CONV123-2026.</t>
  </si>
  <si>
    <t>VALOR DEL CONTRATO  
NOTA: Por favor, registrar el valor de los contratos relacionados en la casilla anterior de manera proporcional y consecutiva, separados por el signo más (+)
Ejemplo: =100000000+235000000+4500000</t>
  </si>
  <si>
    <t>CARGÓ EN EL DRIVE DE INFORME DE EVIDENCIA 
SI / NO
(lista desplegable)</t>
  </si>
  <si>
    <t>OBSERVACIONES 
(Por favor muy precisas)</t>
  </si>
  <si>
    <t xml:space="preserve">CÓDIGO DE PRODUCTO </t>
  </si>
  <si>
    <t>INDICADOR DE PRODUCTO</t>
  </si>
  <si>
    <t>LÍNEA  DE BASE</t>
  </si>
  <si>
    <t xml:space="preserve">META CUATRENIO </t>
  </si>
  <si>
    <t xml:space="preserve">
AVANCE META 2026
(diligenciar)</t>
  </si>
  <si>
    <t>% AVANCE P.D. 2026
(NO diligenciar)</t>
  </si>
  <si>
    <t>VALOR APROBADO
(Solo para visualizar)</t>
  </si>
  <si>
    <t>EJECUCION PRESUPUESTAL
(NO diligenciar)</t>
  </si>
  <si>
    <t>% EJECUCION PRESUPUESTAL
(NO diligenciar)</t>
  </si>
  <si>
    <t>0101.
Junto por la Seguridad Ciudadana, Convivencia y Justicia Social</t>
  </si>
  <si>
    <t>010101</t>
  </si>
  <si>
    <t>Implementación de un plan integral de seguridad y convivencia ciudadana</t>
  </si>
  <si>
    <t>Fortalecer las condiciones de seguridad a través de la formulación e implementación de un plan integral de seguridad y convivencia ciudadana, que garantice un territorio seguro, con justicia social e igualitario</t>
  </si>
  <si>
    <t>Implementación acciones pedagogicas y de protección al guatapense, fomentando temas de convivencia y seguridad ciudadana.</t>
  </si>
  <si>
    <t xml:space="preserve">Acciones realizadas </t>
  </si>
  <si>
    <t>Incremento</t>
  </si>
  <si>
    <t>Número</t>
  </si>
  <si>
    <t>Secretaría de Gobierno y Servicios Administrativos</t>
  </si>
  <si>
    <t>010101
 Implementación de un plan integral de seguridad y convivencia ciudadana</t>
  </si>
  <si>
    <t>Estrategias implementadas</t>
  </si>
  <si>
    <t>Apoyo logístico para mejorar la operatividad de la fuerza pública.</t>
  </si>
  <si>
    <t>Atención integral de indiciados y sindicado.</t>
  </si>
  <si>
    <t>Implementacion del Plan Integral de Seguridad y Convivencia Ciudadana.</t>
  </si>
  <si>
    <t>PISCC implementado</t>
  </si>
  <si>
    <t>Porcentaje</t>
  </si>
  <si>
    <t>010102</t>
  </si>
  <si>
    <t xml:space="preserve">Fortalecimiento del Centro de monitoreo y control </t>
  </si>
  <si>
    <t>Disponer de Tecnologías de la Información y comunicación disminuir los hechos delictivos y preservar la convivencia y seguridad ciudadana.</t>
  </si>
  <si>
    <t>Ampliación en la cobertura de cámaras, parlantes y fibra óptica en el área urbana y rural.</t>
  </si>
  <si>
    <t>Instalaciones realizadas</t>
  </si>
  <si>
    <t xml:space="preserve">010102
Fortalecimiento del Centro de monitoreo y control </t>
  </si>
  <si>
    <t>Cámaras de seguridad instaladas</t>
  </si>
  <si>
    <t>Conectar botones de pánico y alarmas comunitarias al CMC.</t>
  </si>
  <si>
    <t>Conexiones realizadas</t>
  </si>
  <si>
    <t>Adquisición de drones para la seguridad.</t>
  </si>
  <si>
    <t>Drones adquiridos</t>
  </si>
  <si>
    <t>Operación del centro de monitoreo y control.</t>
  </si>
  <si>
    <t>Centro de monitoreo Operando</t>
  </si>
  <si>
    <t>Mantenimiento</t>
  </si>
  <si>
    <t>010103</t>
  </si>
  <si>
    <t>Implementación de estrategias de prevención y control para navegabilidad en el embalse Peñol - Guatapé</t>
  </si>
  <si>
    <t>Diseñar e implementar estrategias para la generación de confianza y seguridad de propios y visitantes en la navegabilidad del embalse Peñol -Guatapé.</t>
  </si>
  <si>
    <t>Conformación  y activacion de redes de apoyo ciudadanas ante siniestros o hechos que alteren la navegabilidad en el espejo de agua.</t>
  </si>
  <si>
    <t>Frente de seguridad activados</t>
  </si>
  <si>
    <t>010103
Implementación de estrategias de prevención y control para navegabilidad en el embalse Peñol - Guatapé</t>
  </si>
  <si>
    <t xml:space="preserve">450102600
</t>
  </si>
  <si>
    <t xml:space="preserve">Planes estratégicos elaborados
</t>
  </si>
  <si>
    <t>Formalización de los diferentes operadores naúticos del Malecón San Juan del Puerto.</t>
  </si>
  <si>
    <t>Empresas naúticas formalizadas</t>
  </si>
  <si>
    <t>0102.
Juntos por la Movilidad y el Transporte</t>
  </si>
  <si>
    <t>010201</t>
  </si>
  <si>
    <t>Actualización e Implementación del Plan de movilidad Municipal</t>
  </si>
  <si>
    <t>Mejorar las condiciones de movilidad de los diferentes actores viales a través de la implementación de un documento estratégico que brinde los lineamientos necesarios para mejorar la seguridad vial municipal y que fomente medios de movilidad sostenibles.</t>
  </si>
  <si>
    <t>Mantenimiento, mejoramiento y fortalecimiento de la señalización vial horizontal y vertical en las vías urbanas y rurales del municipio de Guatapé.</t>
  </si>
  <si>
    <t>Señales viales horizontales y  verticales instaladas o renovadas</t>
  </si>
  <si>
    <t>010201
Actualización e Implementación del Plan de movilidad Municipal</t>
  </si>
  <si>
    <t>Planes estratégicos elaborados</t>
  </si>
  <si>
    <t>Actualización e implementacion del Plan Local de Seguridad Vial municipal.</t>
  </si>
  <si>
    <t>Plan  local de seguridad  vial implementado</t>
  </si>
  <si>
    <t>010202</t>
  </si>
  <si>
    <t xml:space="preserve">Gestión para la pavimentación de vías para la integración regional  </t>
  </si>
  <si>
    <t>Mejorar las condiciones de seguridad y movilidad vial a través del mejoramiento de infraestructura vial municipal, que contribuya al desarrollo económico y turístico de la Región Embalses</t>
  </si>
  <si>
    <t>Construcción de pavimento rígido en via de integracion regional.</t>
  </si>
  <si>
    <t>Vía terciaria pavimentada</t>
  </si>
  <si>
    <t xml:space="preserve">Incremento </t>
  </si>
  <si>
    <t xml:space="preserve">Kilometros </t>
  </si>
  <si>
    <t xml:space="preserve">Obras Públicas </t>
  </si>
  <si>
    <t xml:space="preserve">010202
Gestión para la pavimentación de vías para la integración regional  </t>
  </si>
  <si>
    <t>Kilómetros</t>
  </si>
  <si>
    <t>Construccion de pavimento articulado en via de integracion regional.</t>
  </si>
  <si>
    <t xml:space="preserve">via terciaria pavimentada </t>
  </si>
  <si>
    <t>010203</t>
  </si>
  <si>
    <t>Formulación y ejecución del programa de educación y seguridad vial</t>
  </si>
  <si>
    <t>Fortalecer las competencias de los diversos actores viales, en cuanto a la prevención y desarrollo de la movilidad segura municipal, con enfoque de educación en diferentes cursos de vida.</t>
  </si>
  <si>
    <t>Implementación de acciones de control operativo y regulación de tránsito. En cumplimiento de la normativa de seguridad vial.</t>
  </si>
  <si>
    <t>Acciones implementadas</t>
  </si>
  <si>
    <t>010203
Formulación y ejecución del programa de educación y seguridad vial</t>
  </si>
  <si>
    <t>Ejecución del programa patrulleritos infantiles de tránsito.</t>
  </si>
  <si>
    <t xml:space="preserve"> Patrulleritos formados</t>
  </si>
  <si>
    <t>Dotación de equipos y materiales para el control, educación y prevención vial.</t>
  </si>
  <si>
    <t>Equipos adquiridos</t>
  </si>
  <si>
    <t>010204</t>
  </si>
  <si>
    <t>Implementación de zonas de estacionamiento regulado</t>
  </si>
  <si>
    <t>Reducir la congestión vehicular y mejorar el uso adecuado del espacio público, a través de la implementación y delimitación de espacios para el estacionamiento de vehículos en vías públicas, defendiendo el espacio publico efectivo para el disfrute de la comunidad</t>
  </si>
  <si>
    <t>Instalación de señalética horizontal y vertical demarcando las zonas de estacionamiento regulado.</t>
  </si>
  <si>
    <t>Señalética horizontal y vertical demarcada</t>
  </si>
  <si>
    <t>010204
Implementación de zonas de estacionamiento regulado</t>
  </si>
  <si>
    <t>240906200</t>
  </si>
  <si>
    <t>Celdas de estacionamiento regulado disponibles</t>
  </si>
  <si>
    <t>Operación y control de las zonas de estacionamiento regulado.</t>
  </si>
  <si>
    <t xml:space="preserve">  Zonas de estacionamiento regulado</t>
  </si>
  <si>
    <t xml:space="preserve">0103.
Juntos por el Fortalecimiento Institucional </t>
  </si>
  <si>
    <t>010301</t>
  </si>
  <si>
    <t>Ejecución, seguimiento, evaluación y control del plan de desarrollo municipal</t>
  </si>
  <si>
    <t>Fortalecer la planificación territorial a través de la definición y seguimiento de un plan estratégico que promueva la transformación en el corto y mediano plazo del municipio en bienestar de sus habitantes.</t>
  </si>
  <si>
    <t xml:space="preserve">Ejecucion, seguimiento, evaluacion y control del Plan de Desarrollo Municipal </t>
  </si>
  <si>
    <t>Herramienta implementada</t>
  </si>
  <si>
    <t xml:space="preserve">Número </t>
  </si>
  <si>
    <t>010301
Formulación. ejecución. seguimiento. evaluación y control del plan de desarrollo municipal</t>
  </si>
  <si>
    <t>Documentos de planeación realizados</t>
  </si>
  <si>
    <t>Actualización e implementacion del Banco de programas y proyectos de inversión municipal.</t>
  </si>
  <si>
    <t>Banco de Proyectos Implementado</t>
  </si>
  <si>
    <t>010302</t>
  </si>
  <si>
    <t>Fortalecimiento del modelo integrado de planeación y gestión (MIPG), acorde con los lineamientos del decreto 1499 -2017</t>
  </si>
  <si>
    <t xml:space="preserve">Mejorar el Índice de desempeño municipal a través de implementación de acciones sistémicas, articuladas y planificadas para el fortalecimiento institucional </t>
  </si>
  <si>
    <t xml:space="preserve">Acciones de fortalecimiento de la institucionalidad para el Modelo Integrado de planeación y gestión de acuerdo con las líneas de defensa. </t>
  </si>
  <si>
    <t>Dimension Fortalecida</t>
  </si>
  <si>
    <t>Secretaría de Planeación y Obras Públicas</t>
  </si>
  <si>
    <t>010302
Fortalecimiento del modelo integrado de planeación y gestión (MIPG). acorde con los lineamientos del decreto 1499 -2017</t>
  </si>
  <si>
    <t xml:space="preserve">
459902304</t>
  </si>
  <si>
    <t xml:space="preserve">
Herramientas implementadas</t>
  </si>
  <si>
    <t xml:space="preserve">Seguimiento y rendición de Formulario único territorial y elaboración de acciones para mejorar el índice. </t>
  </si>
  <si>
    <t>Índice de desempeño Institucional mejorado</t>
  </si>
  <si>
    <t>010303</t>
  </si>
  <si>
    <t>Elaboración de procesos integrales de evaluación institucional y reorganización administrativa</t>
  </si>
  <si>
    <t xml:space="preserve">Revisar y ajustar el modelo administrativo organizacional, a fin de proveer los recursos técnicos, tecnológicos humanos y financieros requeridos para la eficiencia administrativa y servicio amigable a la ciudadanía </t>
  </si>
  <si>
    <t>Diagnóstico Estructura Administrativa.</t>
  </si>
  <si>
    <t>Diagnostico Realizado</t>
  </si>
  <si>
    <t>010303
Elaboración de procesos integrales de evaluación institucional y reorganización administrativa</t>
  </si>
  <si>
    <t>459900100</t>
  </si>
  <si>
    <t>Documentos de evaluación elaborados</t>
  </si>
  <si>
    <t>Formulacion de proyecto de renovacion Administrativa.</t>
  </si>
  <si>
    <t xml:space="preserve">Proyecto formulado </t>
  </si>
  <si>
    <t>Diseño e implementación de un proceso de evaluación del desempeño a los empleados de la administración municipal.</t>
  </si>
  <si>
    <t>Proceso implementado</t>
  </si>
  <si>
    <t>010304</t>
  </si>
  <si>
    <t xml:space="preserve">Diseño e implementación de Programas de capacitación y asistencia técnica. </t>
  </si>
  <si>
    <t>Formar servidores públicos en competencias del  ser, saber y hacer, orientados al desarrollo eficiente de las competencias y atención amigable a la comunidad.</t>
  </si>
  <si>
    <t>Implementación de  programa de capacitaciones a funcionarios y contratistas.</t>
  </si>
  <si>
    <t>Eventos de capacitación realizados</t>
  </si>
  <si>
    <t xml:space="preserve">010304
Diseño e implementación de Programas de capacitación y asistencia técnica. </t>
  </si>
  <si>
    <t>Eventos de formación realizados</t>
  </si>
  <si>
    <t xml:space="preserve">Acciones de capacitación y/o asistencia técnica a usuarios internos y externos. </t>
  </si>
  <si>
    <t>Acciones realizadas</t>
  </si>
  <si>
    <t>010305</t>
  </si>
  <si>
    <t xml:space="preserve">Fortalecimiento de los procesos de gestión documental acorde a la normatividad legal aplicable </t>
  </si>
  <si>
    <t>Gestionar y controlar de manera eficiente y sistémica  la creación, recepción, utilización y disposición de los documentos que se producen en la entidad territorial, para garantizar la trazabilidad y disponibilidad de información tanto para el usuario interno como externo.</t>
  </si>
  <si>
    <t>Implementar acciones que mejoren los procesos de gestión documental.</t>
  </si>
  <si>
    <t>Acciones realizados</t>
  </si>
  <si>
    <t xml:space="preserve">010305 
Fortalecimiento de los procesos de gestión documental acorde a la normatividad legal aplicable </t>
  </si>
  <si>
    <t>Sistema de gestión documental implementado</t>
  </si>
  <si>
    <t>Elaboración y/o actualización de instrumentos archivísticos.</t>
  </si>
  <si>
    <t>Instrumentos archivísticos implementados</t>
  </si>
  <si>
    <t>010306</t>
  </si>
  <si>
    <t>Fortalecimiento de los Sistemas de Información y Comunicación de la entidad</t>
  </si>
  <si>
    <t>Mejorar la comunicación tanto interna como externa de la entidad territorial a través de la implementación de Sistemas de Información y comunicación que fortalezcan la relación estado ciudadano.</t>
  </si>
  <si>
    <t xml:space="preserve">Implementar acciones para facilitar el acceso a la información institucional. </t>
  </si>
  <si>
    <t>Asesor de Ciencia Tecnología e Innovacion</t>
  </si>
  <si>
    <t>010306
Fortalecimiento de los Sistemas de Información y Comunicación de la entidad</t>
  </si>
  <si>
    <t>450100700</t>
  </si>
  <si>
    <t>Sistemas de información implementados</t>
  </si>
  <si>
    <t xml:space="preserve">Desarrollo de Sistemas digitales para el mejoramiento del funcionamiento interno. </t>
  </si>
  <si>
    <t>010307</t>
  </si>
  <si>
    <t xml:space="preserve">Fortalecimiento de la hacienda pública y fiscalización </t>
  </si>
  <si>
    <t>Fortalecer el recaudo tributario a partir de la implementación de estrategias de inteligencia de negocios, análisis de datos e incentivos fiscales y tributarios, haciendo uso de tecnologías de la información y la comunicación.</t>
  </si>
  <si>
    <t xml:space="preserve"> Identificación y actualizacion de los procesos de cobro que se adelantan  desde la Secretaría de Hacienda del municipio. posibles contribuyentes omisos. morosos e inexactos y generar procesos de cobro coactivo. Mediante sistema de seguimiento de procesos  de cobro y contribuyentes</t>
  </si>
  <si>
    <t>Sistema de seguimiento implementado</t>
  </si>
  <si>
    <t>Secretaría de Hacienda</t>
  </si>
  <si>
    <t xml:space="preserve">010307
Fortalecimiento de la hacienda pública y fiscalización </t>
  </si>
  <si>
    <t>Programa de sanemiento fiscal y financiero ejecutado</t>
  </si>
  <si>
    <t xml:space="preserve">Porcentaje </t>
  </si>
  <si>
    <t xml:space="preserve">Desarrollo acciones de presencia administrativa que incluyan inspecciones tributarias, requeremientos ordinarios y cruces de información con otras entidades.  </t>
  </si>
  <si>
    <t>Acciones de presencia administrativa implementadas</t>
  </si>
  <si>
    <t>Realización campañas de cobro persuasivo  a traves  de oficios, redes sociales, mensajes de texto, entre otros.</t>
  </si>
  <si>
    <t xml:space="preserve">Campañas de cobro persuasivo realizadas </t>
  </si>
  <si>
    <t>Realización de actividades de actualización y depuración contable y financiera.</t>
  </si>
  <si>
    <t>Base de datos actualizada con resultados de la depuración contable y financiera</t>
  </si>
  <si>
    <t>010308</t>
  </si>
  <si>
    <t>Revisión y ajuste del esquema de ordenamiento territorial EOT</t>
  </si>
  <si>
    <t>Formular y gestionar la aprobación de proyectos, planes, estrategias del ordenamiento y la planificación del territorio a través de la revisión y ajuste del Esquema de Ordenamiento Territorial Municipal.</t>
  </si>
  <si>
    <t>Diagnóstico del estado actual del EOT, incorporacion de determinantes ambientales , entre otros componentes normativos</t>
  </si>
  <si>
    <t xml:space="preserve">Diagnóstico realizado </t>
  </si>
  <si>
    <t>010308
Revisión y ajuste del esquema de ordenamiento territorial EOT</t>
  </si>
  <si>
    <t xml:space="preserve">Actualización y reglamentación del EOT. </t>
  </si>
  <si>
    <t xml:space="preserve">EOT Actualizado </t>
  </si>
  <si>
    <t>010309</t>
  </si>
  <si>
    <t>Gestión de instrumentos de financiación del esquema de ordenamiento territorial EOT</t>
  </si>
  <si>
    <t>Fortalecer la implementación del esquema de ordenamiento territorial a través del desarrollo de instrumentos que promuevan el uso equitativo de la tierra y el uso adecuado de la misma.</t>
  </si>
  <si>
    <t>Evaluación de viabilidad de instrumentos de financiación del EOT.</t>
  </si>
  <si>
    <t>Evaluación realizada y documentada</t>
  </si>
  <si>
    <t>010309
Gestión de instrumentos de financiación del esquema de ordenamiento territorial EOT</t>
  </si>
  <si>
    <t xml:space="preserve">Implementación de instrumentos de financiación del EOT. </t>
  </si>
  <si>
    <t xml:space="preserve">Instrumentos implementados </t>
  </si>
  <si>
    <t>010310</t>
  </si>
  <si>
    <t>Fortalecimiento de la capacidad institucional a través de la dotación integral</t>
  </si>
  <si>
    <t xml:space="preserve">Dotar Integralmente la entidad territorial con recursos técnicos y tecnológicos que permitan mejorar las condiciones de atención a usuarios y ejecución eficiente de actividades de los servidores públicos </t>
  </si>
  <si>
    <t>Dotación y adquisición de software, equipos y/o mobiliario  para agilizar el desarrollo de las actividades administrativas de la entidad.</t>
  </si>
  <si>
    <t>Infraestructura de soporte adecuada</t>
  </si>
  <si>
    <t>010310
Fortalecimiento de la capacidad institucional a través de la dotación integral</t>
  </si>
  <si>
    <t>450108300</t>
  </si>
  <si>
    <t>Mantenimiento preventivo y correctivo de los equipos tecnológicos.</t>
  </si>
  <si>
    <t>Adquisición de bienes y servicios para mejorar las condiciones de los equipos técnicos y tecnológicos.</t>
  </si>
  <si>
    <t>010311</t>
  </si>
  <si>
    <t>Generación de Alianzas con actores tanto públicos como privados para continuar potenciando los recursos municipales y mejorando las condiciones económicas del territorio y sus habitantes</t>
  </si>
  <si>
    <t>Promover la integración para puesta en marcha de soluciones conjuntas con entidades públicas y privadas para facilitar las financiación de los proyectos de inversión municipal, así como la internacionalización del destino.</t>
  </si>
  <si>
    <t>Meta cuatrenio cumplida</t>
  </si>
  <si>
    <t>010311
Generación de Alianzas con actores tanto públicos como privados para continuar potenciando los recursos municipales y mejorando las condiciones económicas del territorio y sus habitantes</t>
  </si>
  <si>
    <t>459903104</t>
  </si>
  <si>
    <t>Proyectos asistidos técnicamente</t>
  </si>
  <si>
    <t>010312</t>
  </si>
  <si>
    <t xml:space="preserve">Fortalecimiento de la Gestión catastral </t>
  </si>
  <si>
    <t>Actualizar y mantener la información catastral de una manera más eficiente y asegurar la calidad de la información catastral de uso tanto interno como externo de la entidad.</t>
  </si>
  <si>
    <t xml:space="preserve">010312
Fortalecimiento de la Gestión catastral </t>
  </si>
  <si>
    <t>459903105</t>
  </si>
  <si>
    <t xml:space="preserve">Documentos de planeacion realizados </t>
  </si>
  <si>
    <t>0.25</t>
  </si>
  <si>
    <t>0104.
 Juntos por la humanización de la salud, el bienestar del ser humano y una atención de calidad.</t>
  </si>
  <si>
    <t>010401</t>
  </si>
  <si>
    <t>Implementación del plan territorial de salud en el marco del plan decenal 2022 -2031</t>
  </si>
  <si>
    <t xml:space="preserve">Contribuir con el logro de las metas estratégicas del Plan Decenal de Salud Pública, a través de la implementación del documento estratégico e indicativo acorde con las necesidades de salud de la población Guatapense </t>
  </si>
  <si>
    <t>Desarrollo de Diagnóstico anual de la situación de salud.</t>
  </si>
  <si>
    <t>Documento elaborado</t>
  </si>
  <si>
    <t>Dirección Local de Salud</t>
  </si>
  <si>
    <t>010401
 Implementación del plan territorial de salud en el marco del plan decenal 2022 -2031</t>
  </si>
  <si>
    <t>Documentos de planeación elaborados</t>
  </si>
  <si>
    <t>Rendición de matriz de evaluación trimestral a Ministerio de Salud, conforme a normativa vigente.</t>
  </si>
  <si>
    <t>Matriz de seguimiento diligenciada 
y reportada</t>
  </si>
  <si>
    <t>010402</t>
  </si>
  <si>
    <t xml:space="preserve">Fortalecimiento de la Autoridad Sanitaria </t>
  </si>
  <si>
    <t>Desarrollar acciones vigilancia epidemiológica y sanitaria, movilización social, ejecución de las acciones colectivas y garantía del aseguramiento y la provisión adecuada de servicios de salud, para el fortalecimiento de la Institucionalidad.</t>
  </si>
  <si>
    <t>Implementar acciones integrales para el fortalecimiento del aseguramiento, la salud pública y la atención a población vulnerable del municipio.</t>
  </si>
  <si>
    <t xml:space="preserve">010402.
Fortalecimiento de la Autoridad Sanitaria </t>
  </si>
  <si>
    <t>Ejecución de la Ruta de la Salud.</t>
  </si>
  <si>
    <t>Ruta de la salud implementada</t>
  </si>
  <si>
    <t>Implementar acciones integrales para el seguimiento al fondo local de salud, mejoramiento a la calidad en salud, la participación social y el fortalecimiento al mantenimiento hospitalario.</t>
  </si>
  <si>
    <t>010403</t>
  </si>
  <si>
    <t xml:space="preserve">Fortalecimiento de la Salud Pública </t>
  </si>
  <si>
    <t>Fortalecer las funciones esenciales de salud pública para contribuir al logro de la cobertura sanitaria del Municipio. Fomentando programas de salud mental, bienestar, prevención y autocuidado en todo el territorio</t>
  </si>
  <si>
    <t>Acciones de Salud Pública por Curso de Vida realizadas.</t>
  </si>
  <si>
    <t xml:space="preserve">010403.
Fortalecimiento de la Salud Pública </t>
  </si>
  <si>
    <t>190501505</t>
  </si>
  <si>
    <t>Implementación de la Política Pública de Salud Mental.</t>
  </si>
  <si>
    <t>Plan de Acción implementado</t>
  </si>
  <si>
    <t xml:space="preserve">Atención con enfoque diferencial a las personas con discapacidad y adulto mayor. así como la puesta en marcha de la estrategia en salud y bienestar. en el marco de acuerdos municipales movimiento Niño y CERSSS. </t>
  </si>
  <si>
    <t>010404</t>
  </si>
  <si>
    <t>Mejoramiento de Infraestructura de Salud</t>
  </si>
  <si>
    <t>Cualificar Las condiciones de la infraestructura de salud del municipio, cumpliendo los requerimientos normativos de habilitación.</t>
  </si>
  <si>
    <t>Identificación de necesidades de infraestructura de la ESE Hospital La Inmaculada de Guatapé.</t>
  </si>
  <si>
    <t>01040.
Mejoramiento de Infraestructura de Salud</t>
  </si>
  <si>
    <t>Hospitales de primer nivel de atención modificados</t>
  </si>
  <si>
    <t>Gestión para la cualificación y cuantificación de las condiciones de la infraestructura de salud a través de la postulación a proyectos y convocatorias.</t>
  </si>
  <si>
    <t>Gestiones realizadas</t>
  </si>
  <si>
    <t>0105.
 Juntos por el Desarrollo Comunitario Equitativo</t>
  </si>
  <si>
    <t>010501</t>
  </si>
  <si>
    <t xml:space="preserve">Fomento de la participación ciudadana </t>
  </si>
  <si>
    <t>Promover la consolidación de estrategias de participación como presupuesto participativo e iniciativas comunitarias.</t>
  </si>
  <si>
    <t>Implementación de acciones de promoción de la participación ciudadana.</t>
  </si>
  <si>
    <t>Todas las Secretarías</t>
  </si>
  <si>
    <t xml:space="preserve">010501.
Fomento de la participación ciudadana </t>
  </si>
  <si>
    <t>Estrategias de promoción a la participación ciudadana implementadas</t>
  </si>
  <si>
    <t>Realización de conmemoraciones y programas de participación ciudadana.</t>
  </si>
  <si>
    <t>Eventos y/o  conmemoraciones realizadas</t>
  </si>
  <si>
    <t>Capacitacion integral y formación para la vida dirigida a los organismos de participación ciudadana.</t>
  </si>
  <si>
    <t xml:space="preserve">Capacitaciones realizadas </t>
  </si>
  <si>
    <t xml:space="preserve"> Secretaría de Medio Ambiente y Desarrollo Rural</t>
  </si>
  <si>
    <t>010502</t>
  </si>
  <si>
    <t xml:space="preserve">Construcción y Mantenimiento de las sedes comunales </t>
  </si>
  <si>
    <t>Salones comunales construidos</t>
  </si>
  <si>
    <t>TOTAL</t>
  </si>
  <si>
    <t>SI</t>
  </si>
  <si>
    <t>NO</t>
  </si>
  <si>
    <t xml:space="preserve"> PLAN DE ACCIÓN 2026
02.JUNTOS POR EL MOVIMIENTO NIÑO: EQUIDAD SOCIAL, EDUCACIÓN, CULTURA Y DEPORTE</t>
  </si>
  <si>
    <t>SEGUIMIENTO PLAN DE ACCIÓN
 PRIMER TRIMESTRE 2026 (ENERO - FEBRERO - MARZO)</t>
  </si>
  <si>
    <t xml:space="preserve"> PLAN DE DESARROLLO 2026 
02.JUNTOS POR EL MOVIMIENTO NIÑO: EQUIDAD SOCIAL, EDUCACIÓN, CULTURA Y DEPORTE</t>
  </si>
  <si>
    <t xml:space="preserve">0201.
Juntos por la Educación con pertinencia, vocación para el desarrollo y reducción de la desigualdad. </t>
  </si>
  <si>
    <t>020101</t>
  </si>
  <si>
    <t>Fortalecimiento del PAE (Programa de Alimentación Escolar) en términos de cobertura y calidad 
 PLAN DE ACCIÓN 2026
02.JUNTOS POR EL MOVIMIENTO NIÑO: EQUIDAD SOCIAL, EDUCACIÓN, CULTURA Y DEPORTE</t>
  </si>
  <si>
    <t>Disminuir la deserción escolar a través de estrategias de alimentación escolar, garantizando la atención de necesidades conforme a los lineamientos establecidos en la estrategia Movimiento Niño</t>
  </si>
  <si>
    <t>Fortalecimiento del Programa de Alimentación Escolar (PAE) mediante la dotación y el mejoramiento menor de la infraestructura en las instituciones educativas urbanas y rurales del municipio, con el fin de garantizar condiciones adecuadas para la prestación del servicio de alimentación escolar.</t>
  </si>
  <si>
    <t>Dotación y mejoras implementadas</t>
  </si>
  <si>
    <t>Subsecretaría de Educación</t>
  </si>
  <si>
    <t xml:space="preserve">020101
Fortalecimiento del PAE (Programa de Alimentación Escolar) en términos de cobertura y calidad </t>
  </si>
  <si>
    <t>Estudiantes beneficiados del programa de alimentación escolar</t>
  </si>
  <si>
    <t>Implementar el programa de alimentación escolar en todas las sedes educativas del municipio.</t>
  </si>
  <si>
    <t xml:space="preserve">Numero </t>
  </si>
  <si>
    <t>Realizar procesos de focalización, seguimiento y educación nutricional dirigidos a los beneficiarios, con el fin de fortalecer los hábitos alimentarios y garantizar una adecuada atención nutricional.</t>
  </si>
  <si>
    <t>Seguimientos realizados</t>
  </si>
  <si>
    <t xml:space="preserve">Desarrollar comités y encuentros con la comunidad educativa para el mejoramiento del programa. </t>
  </si>
  <si>
    <t>Encuentros realizados</t>
  </si>
  <si>
    <t>020102</t>
  </si>
  <si>
    <t xml:space="preserve">Mejoramiento del programa de transporte escolar municipal en términos de permanencia </t>
  </si>
  <si>
    <t>Fortalecer de estrategias para la permanencia escolar, como el transporte escolar municipal, que garantice el acceso de los estudiantes de la zona rural a los diferentes programas de educación formal y no formal, espacio de formación cultural y deportiva.</t>
  </si>
  <si>
    <t>Realizar procesos de focalización, seguimiento y acompañamiento a los estudiantes beneficiarios del transporte escolar, con el fin de garantizar la adecuada prestación del servicio y la permanencia escolar.</t>
  </si>
  <si>
    <t>Seguimiento realizado</t>
  </si>
  <si>
    <t xml:space="preserve">020102
Mejoramiento del programa de transporte escolar municipal en términos de permanencia </t>
  </si>
  <si>
    <t>Días de atención del servicio de transporte escolar</t>
  </si>
  <si>
    <t>Implementar el programa de transporte escolar en todas las sedes educativas.</t>
  </si>
  <si>
    <t>Realizar actividades que ayuden a mejorar las condiciones de transporte que ayuden a la permanencia escolar.</t>
  </si>
  <si>
    <t>Actividades realizadas</t>
  </si>
  <si>
    <t>020103</t>
  </si>
  <si>
    <t>Fortalecimiento de cobertura y calidad educativa para la resignificación y complementación de la jornada escolar.</t>
  </si>
  <si>
    <t>Aumentar la cobertura de los programas que permitan mejorar la calidad de la educación pública del municipio con pertinencia para los requerimientos del sector productivo</t>
  </si>
  <si>
    <t xml:space="preserve">Crear programa de acompañamiento para el fortalecimiento de la educación formal -IENSP. </t>
  </si>
  <si>
    <t>Programas realizados</t>
  </si>
  <si>
    <t>020103
Fortalecimiento de cobertura y calidad educativa para la resignificación y complementación de la jornada escolar.</t>
  </si>
  <si>
    <t>Desarrollar actividades que contribuyan a la cuailificación, bienestar y reconocimiento docente.</t>
  </si>
  <si>
    <t>Realizar encuentros para el mejoramiento de la convivencia escolar a través de escuela de padres y actividades interinstitucionales.</t>
  </si>
  <si>
    <t xml:space="preserve">Implementar el programa Guatapé Bilingüe para la educación en el idioma ingles a diferentes grupos poblacionales del municipio.
</t>
  </si>
  <si>
    <t xml:space="preserve">Programa Implementado
</t>
  </si>
  <si>
    <t>020104</t>
  </si>
  <si>
    <t xml:space="preserve">Fortalecimiento de los programas y proyectos de bibliotecas </t>
  </si>
  <si>
    <t>Apoyar  los procesos de enseñanza, fortaleciendo las competencias sociales y comunicativas de los estudiantes y la comunidaden general, a través de estrategias de fomento de la lectura y fortalecimiento de la infraestructura de bibliotecas.</t>
  </si>
  <si>
    <t>Fortalecer e implementar nuevos programas de lectura para diferentes grupos poblacionales de la comunidad y ofrecer así alternativas de sano esparcimiento, aprendizaje e inserción social.</t>
  </si>
  <si>
    <t>Usuarios atendidos</t>
  </si>
  <si>
    <t xml:space="preserve">020104
Fortalecimiento de los programas y proyectos de bibliotecas </t>
  </si>
  <si>
    <t>Implementación de actividades de descentralización cultural mediante la biblioteca itinerante y/o ambulante, que permitan ampliar el acceso a la lectura, la información y los servicios bibliotecarios en las zonas urbanas y rurales del municipio.</t>
  </si>
  <si>
    <t>Actividades ejecutadas</t>
  </si>
  <si>
    <t>Ejecución de acciones orientadas al mejoramiento de los espacios físicos, la dotación de materiales y equipos, y el fortalecimiento de la prestación del servicio de la biblioteca pública municipal.</t>
  </si>
  <si>
    <t>Promover la consulta de las colecciones locales y la divulgación y enseñanza de la historia local con toda la comunidad.</t>
  </si>
  <si>
    <t>020105</t>
  </si>
  <si>
    <t>Fortalecimiento del acceso a la Educación Superior “Guatapé, vive la U”</t>
  </si>
  <si>
    <t>Incrementar el acceso y permanencia a la educación superior de los estudiantes Guatapenses, forteleciendo los diferentes programas de apoyo, buscando el acceso a la educacion superior de todos los estudiantes guatapenses</t>
  </si>
  <si>
    <t>Fortalecimiento del Fondo de Educación superior "Guatapé Vive la U" y Gestión de alianzas público privadas para fomentar el acceso de educación superior.</t>
  </si>
  <si>
    <t>Usuarios beneficiados</t>
  </si>
  <si>
    <t>020105
Fortalecimiento del acceso a la Educación Superior “Guatapé, vive la U”</t>
  </si>
  <si>
    <t>Beneficiarios de estrategias o programas de  fomento para el acceso a la educación superior</t>
  </si>
  <si>
    <t>Fortalecimiento del preuniversitario y orientación vocacional que promueva el acceso de estudiantes del municipio a la educación superior.</t>
  </si>
  <si>
    <t xml:space="preserve">Generar alianzas y convenios con diferentes instituciones de educación tecnicas, tecnológicas y profesionales que faciliten el acceso a la educación superior.
</t>
  </si>
  <si>
    <t>Alianzas realizadas</t>
  </si>
  <si>
    <t>020106</t>
  </si>
  <si>
    <t>Mejoramiento de la infraestructura de sedes educativas</t>
  </si>
  <si>
    <t>Cualificar las condiciones de infraestrutura educativa municipal brindando ambientes de aprendizaje acordes con los procesos de formación, y siguendo el fortelecimiento de los lineamientos de la estrategia Movimiento Niño</t>
  </si>
  <si>
    <t>Ejecución de mantenimientos menores en las sedes educativas rurales y urbanas del municipio, con el fin de mejorar las condiciones físicas y funcionales de los espacios educativos.</t>
  </si>
  <si>
    <t>Mantenimientos realizados</t>
  </si>
  <si>
    <t>020106
Mejoramiento de la infraestructura de sedes educativas</t>
  </si>
  <si>
    <t xml:space="preserve">Sedes educativas mejoradas </t>
  </si>
  <si>
    <t>Ejecución de obras de mejoramiento, adecuación y/o ampliación de las sedes educativas municipales, tanto rurales como urbanas.</t>
  </si>
  <si>
    <t>Sedes educativas mejoradas</t>
  </si>
  <si>
    <t>Obras Públicas / Subsecretaría de Educación</t>
  </si>
  <si>
    <t>020107</t>
  </si>
  <si>
    <t>Fortalecimiento de ambientes de aprendizaje para la ciencia, tecnologia, la innovacion y la formacion para la vida</t>
  </si>
  <si>
    <t>Fortalecer las competencias en aplicación y manejo de las Tecnologias de la Información y la comunicación a través de programas innovadores, asi como diferentes cursos y escuelas que fomenten los aprendizajes para la vida</t>
  </si>
  <si>
    <t xml:space="preserve">Implementación del programa de alfabetización digital. </t>
  </si>
  <si>
    <t>020107
Fortalecimiento de ambientes de aprendizaje para la ciencia, tecnologia, la innovacion y la formacion para la vida</t>
  </si>
  <si>
    <t>Ambientes de aprendizaje en funcionamiento</t>
  </si>
  <si>
    <t>Habilitar y dinamizar el Parque Educativo como espacio para el fortalecimiento de la educación y la oferta de formación para la vida, las artes y los oficios, dirigido a la atención de la comunidad del municipio.</t>
  </si>
  <si>
    <t>Habilitación de ambientes de aprendizaje, como la Escuela de Gastronomía y la Escuela de Cerámica, orientados a la formación y al desarrollo de capacidades productivas en la comunidad.</t>
  </si>
  <si>
    <t>Ambientes de aprendizaje en funcionamiento.</t>
  </si>
  <si>
    <t>0202.
Juntos por la Cultura, Identidad  y el patrimonio Guatapense</t>
  </si>
  <si>
    <t>020201</t>
  </si>
  <si>
    <t xml:space="preserve"> Gestion para la Construcción del centro cultural y artístico del municipio de Guatapé</t>
  </si>
  <si>
    <t>Mejorar los espacios de infraestructura cultura a través de acciones de construcción y mejoramiento de escenarios para prestación de servicios de fomento de las manifestaciones artísticas y culturales.</t>
  </si>
  <si>
    <t>Formulacion y radicación de proyecto para la Construcción del centro cultural y artístico del municipio de Guatapé.</t>
  </si>
  <si>
    <t>Proyecto formulado y radicado</t>
  </si>
  <si>
    <t>Subsecretaría de Cultura</t>
  </si>
  <si>
    <t>020201
 Gestion para la Construcción del centro cultural y artístico del municipio de Guatapé</t>
  </si>
  <si>
    <t xml:space="preserve">Viabilizaciones realizadas </t>
  </si>
  <si>
    <t>Viabilización para la construcción del centro cultural y artístico del Municipio de Guatapé.</t>
  </si>
  <si>
    <t>Viabilizacion realizada</t>
  </si>
  <si>
    <t>020202</t>
  </si>
  <si>
    <t>Fortalecimiento de la cobertura de los programas del Centro de Formación Artística en la zona urbana y rural</t>
  </si>
  <si>
    <t>Promover la apropiación cultural ciudadana a través de la implementación de programas en el centro de formación artística.</t>
  </si>
  <si>
    <t>Formación de formadores de la Subsecretaría de Cultura.</t>
  </si>
  <si>
    <t>Formadores Capacitados</t>
  </si>
  <si>
    <t>020202
Fortalecimiento de la cobertura de los programas del Centro de Formación Artística en la zona urbana y rural</t>
  </si>
  <si>
    <t>Personas capacitadas</t>
  </si>
  <si>
    <t>Cobertura de los programas de centro de formacion artistica  en la zona rural y urbana del municipio de Guatapé.</t>
  </si>
  <si>
    <t>020203</t>
  </si>
  <si>
    <t xml:space="preserve">Mantenimiento, protección y recuperación del patrimonio histórico y cultural </t>
  </si>
  <si>
    <t>Promover la protección del patrimonio histórico y la identidad cultural del municipio a través de acciones integrales.</t>
  </si>
  <si>
    <t>Producción y validación de documento técnico para declaratoria del Patrimonio Cultural Inmaterial (PCI).</t>
  </si>
  <si>
    <t>Documentotécnico realizado</t>
  </si>
  <si>
    <t xml:space="preserve">020203
Mantenimiento, protección y recuperación del patrimonio histórico y cultural </t>
  </si>
  <si>
    <t>Planes de manejo ejecutados</t>
  </si>
  <si>
    <t>Formulación del Plan Especial de Salvaguada (PES) y su implementación 2026–2027.</t>
  </si>
  <si>
    <t xml:space="preserve">Plan Formulado </t>
  </si>
  <si>
    <t>020204</t>
  </si>
  <si>
    <t>Mejoramiento de la infraestructura cultural y artística</t>
  </si>
  <si>
    <t>Cualificar los espacios para la prestación de servicios culturales, dignificando la cultura y sus manifestaciones artísticas.</t>
  </si>
  <si>
    <t>Realizacion de mantenimiento a la infraestructura cultural.</t>
  </si>
  <si>
    <t>Infraestructura intervenida</t>
  </si>
  <si>
    <t>020204
Mejoramiento de la infraestructura cultural y artística</t>
  </si>
  <si>
    <t>Infraestructura cultural intervenida</t>
  </si>
  <si>
    <t xml:space="preserve">Realizacion de mantenimiento a la infraestructura artística. </t>
  </si>
  <si>
    <t>020205</t>
  </si>
  <si>
    <t xml:space="preserve">Fortalecimiento de eventos e intercambios para el fomento de expresiones artísticas y culturales </t>
  </si>
  <si>
    <t>Fomertar las expresiones artísticas y culturales a través de eventos de promoción cultural, asi como la institucionalidad del carnaval de Año Viejo, el festimal mas que sonidos entre otros.</t>
  </si>
  <si>
    <t>Eventos de promoción en teatro y danza con presentaciones, muestras y circulación.</t>
  </si>
  <si>
    <t>Eventos de promoción de actividades culturales realizados</t>
  </si>
  <si>
    <t xml:space="preserve">020205
Fortalecimiento de eventos e intercambios para el fomento de expresiones artísticas y culturales </t>
  </si>
  <si>
    <t>Eventos de promoción musical anual con conciertos, muestras, circulación e integración de diversas modalidades sonoras.</t>
  </si>
  <si>
    <t>Eventos de promoción de artes plásticas con exposiciones, territorio creativo y muestras artísticas y audiovisuales.</t>
  </si>
  <si>
    <t>Eventos de promoción del patrimonio y museo histórico.</t>
  </si>
  <si>
    <t>020206</t>
  </si>
  <si>
    <t>Implementación del Programa entrega de estímulos a los artistas guatapenses</t>
  </si>
  <si>
    <t>Incentivar la participación y apropiación cultural  a través convocatorías que potencien la cultura, garantizando la permanencia de nuestros artistas.</t>
  </si>
  <si>
    <t>Entrega de estimulos a los beneficiarios de la convocatoria de artistas guatapenses.</t>
  </si>
  <si>
    <t>Estímulos otorgados</t>
  </si>
  <si>
    <t>20206
Implementación del Programa entrega de estímulos a los artistas guatapenses</t>
  </si>
  <si>
    <t>Estímulos otorgados a los beneficiarios de Colombia Creativa</t>
  </si>
  <si>
    <t>Socialización de los proyectos de los beneficiarios de la convocatoria de artistas guatapenses.</t>
  </si>
  <si>
    <t>Socializacion entregada</t>
  </si>
  <si>
    <t xml:space="preserve">0203.
 Juntos por el Deporte, la recreación y la actividad física </t>
  </si>
  <si>
    <t>020301</t>
  </si>
  <si>
    <t xml:space="preserve">Fortalecimiento del programa de recreación, deporte y aprovechamiento del tiempo libre </t>
  </si>
  <si>
    <t>Contribuir al desarrollo integral de la población, urbana y rural, mediante el desarrollo de la actividad física saludable, la recreación y el deporte, permitiendo mejor calidad de vida y buen uso del tiempo libre.</t>
  </si>
  <si>
    <t>Atención y participación en los programas deportivos en el Municipio de Guatapé.</t>
  </si>
  <si>
    <t xml:space="preserve">Número  de participantes y personas atendidas </t>
  </si>
  <si>
    <t>Numero</t>
  </si>
  <si>
    <t>Subsecretaria de Deportes</t>
  </si>
  <si>
    <t xml:space="preserve">020301
Fortalecimiento del programa de recreación, deporte y aprovechamiento del tiempo libre </t>
  </si>
  <si>
    <t>Personas atendidas por los programas de recreación, deporte social comunitario, actividad física y aprovechamiento del tiempo libre</t>
  </si>
  <si>
    <t>Atención de personas en eventos deportivos orientados a la promoción de la actividad física, la integración social y el aprovechamiento del tiempo libre en el municipio de Guatapé.</t>
  </si>
  <si>
    <t xml:space="preserve">Número de personas atendidas </t>
  </si>
  <si>
    <t>Atención de personas en los programas de recreación  y actividad física del municipio de Guatapé.</t>
  </si>
  <si>
    <t>Atención en actividades deportivas y recreativas en las sedes educativas urbanas y rurales de la Institución Educativa Nuestra Señora del Pilar y en el Centro de Desarrollo Infantil (CDI).</t>
  </si>
  <si>
    <t>020302</t>
  </si>
  <si>
    <t>Mantenimiento y adecuación de los escenarios deportivos y recreativos de la zona urbana y rural</t>
  </si>
  <si>
    <t>Cualificar las condiciones de infraestrutura deportiva a través de acciones de adecuación y mantenimiento de escenarios</t>
  </si>
  <si>
    <t xml:space="preserve">Mantenimiento de la unidad deportiva Hildebrando Gildardo Parra. </t>
  </si>
  <si>
    <t xml:space="preserve">Mantenimientos Realizados </t>
  </si>
  <si>
    <t>020302
Mantenimiento y adecuación de los escenarios deportivos y recreativos de la zona urbana y rural</t>
  </si>
  <si>
    <t>nfraestructura deportiva en operación</t>
  </si>
  <si>
    <t>Mantenimiento al centro de Promoción de Salud  (Gimnasio).</t>
  </si>
  <si>
    <t>Renovación y adecuación de los escenarios recreativos (Parques Infantiles) en la zona urbana y rural del Municipio de Guatapé.</t>
  </si>
  <si>
    <t>Parques Infantiles renovados y/o adecuados</t>
  </si>
  <si>
    <t>Mejoramiento, adecuación, ampliación  y/o construcción de escenarios deportivos en la zona rural y urbana del Municipio de Guatapé.</t>
  </si>
  <si>
    <t>Escenarios Deportivos intervenidos</t>
  </si>
  <si>
    <t>020303</t>
  </si>
  <si>
    <t>Dotación e implementación para práctica del deporte</t>
  </si>
  <si>
    <t xml:space="preserve">Proporcionar elementos deportivos que permitan la realización de práctica deportiva, con calidad y oportunidad. </t>
  </si>
  <si>
    <t>Dotación de implementos deportivos para el fortalecimiento de la práctica del deporte en el municipio de Guatapé.</t>
  </si>
  <si>
    <t>Artículos deportivos entregados</t>
  </si>
  <si>
    <t>020303
Dotación e implementación para práctica del deporte</t>
  </si>
  <si>
    <t>Acto de entrega de dotación deportiva.</t>
  </si>
  <si>
    <t>Acto de Entrega realizado</t>
  </si>
  <si>
    <t>020304</t>
  </si>
  <si>
    <t>Formulación e implementación del Plan Decenal del Deporte</t>
  </si>
  <si>
    <t>Definir la acciones planificación del largo plazo, que permitan definir la hoja de ruta para el cumplimiento de objetivos estratégicos del sector deportivo, fomantando la trasversalidad a los diferestes cursos de vida, politicas publicas y estrategias de desarrollo integral como Movimiento Niño</t>
  </si>
  <si>
    <t xml:space="preserve">Elaboración del plan de acción para cumplimiento del Plan decenal del Deporte. </t>
  </si>
  <si>
    <t>020304
Formulación e implementación del Plan Decenal del Deporte</t>
  </si>
  <si>
    <t>Documentos normativos realizados</t>
  </si>
  <si>
    <t xml:space="preserve">Seguimiento del Plan de Acción para cumplimiento del plan decenal del deporte. </t>
  </si>
  <si>
    <t xml:space="preserve">Instrumento Diligenciado </t>
  </si>
  <si>
    <t>020305</t>
  </si>
  <si>
    <t xml:space="preserve">Apoyo integral a los deportistas destacados en diferentes categorías </t>
  </si>
  <si>
    <t>Incentivar la práctica deportiva con atención integral en aspectos de salud, nutrición y entrega de reconocimientos por la labor destacada que realizan los deportistas del Municipio.</t>
  </si>
  <si>
    <t xml:space="preserve">Fortalecimiento del programa de incentivos a deportistas.                               </t>
  </si>
  <si>
    <t>Personas beneficiadas</t>
  </si>
  <si>
    <t xml:space="preserve">020305
Apoyo integral a los deportistas destacados en diferentes categorías </t>
  </si>
  <si>
    <t>Acompañamiento por parte de profesionales en diferentes areas de la saud en especialidad deportiva.</t>
  </si>
  <si>
    <t xml:space="preserve">Deportistas Atendidos </t>
  </si>
  <si>
    <t>020306</t>
  </si>
  <si>
    <t>Fortalecimiento de organizaciones deportivas</t>
  </si>
  <si>
    <t>Fomentar la institucionalidad del deporte y el desarrollo de alianzas con las organizaciones deportivas para el desarrollo integral del sector.</t>
  </si>
  <si>
    <t xml:space="preserve">Realización de capacitaciones a organizaciones y/o clubes deportivos. </t>
  </si>
  <si>
    <t>020306
Fortalecimiento de organizaciones deportivas</t>
  </si>
  <si>
    <t>Organismos deportivos apoyados</t>
  </si>
  <si>
    <t>Implementación de acciones para el fortalecimiento de las organizaciones y/o clubes deportivos del Municipio de Guatapé, mediante acompañamiento técnico y apoyo institucional.</t>
  </si>
  <si>
    <t>Organizaciones y/o clubes fortalecidos</t>
  </si>
  <si>
    <t>0204.
Juntos  por un Guatape Igualitario y con Equidad Social</t>
  </si>
  <si>
    <t>020401</t>
  </si>
  <si>
    <t>Desarrollo integral de primera infancia, niños, niñas adolescentes, por los derechos, el juego y la felicidad.</t>
  </si>
  <si>
    <t>Mejorar la calidad en la prestación de servicios asociados a la atención integral a la primera infancia, niñez,adolescencia y juventud. E implementando las acciones de Movimiento niño</t>
  </si>
  <si>
    <t>Implementar programas de atención integral a primera infancia en el área urbana - CDI. Continuando la cobertura universal en la atención.</t>
  </si>
  <si>
    <t>Niños, niñas, adolescentes y jovenes beneficiarios</t>
  </si>
  <si>
    <t>Secretaría de Bienestar y Desarrollo Social / Subsecretaría de Educación</t>
  </si>
  <si>
    <t>020401
Desarrollo integral de primera infancia, niños, niñas adolescentes, por los derechos, el juego y la felicidad.</t>
  </si>
  <si>
    <t>Niños, niñas, adolescentes y jóvenes beneficiados</t>
  </si>
  <si>
    <t>Implementar programas de atención integral a primera infancia en el área  rural - EIH. Continuando la cobertura universal en la atención.</t>
  </si>
  <si>
    <t>020402</t>
  </si>
  <si>
    <t>Fortalecimiento de organizaciones que permitan mejorar la equidad social integral priorizando el enfoque en la mujer, víctimas de la violencia y demás grupos vulnerables</t>
  </si>
  <si>
    <t>Promover la equidad social integral a través del fortalecimiento de población vulnerable y las organizaciones  que los representan. Convirtiendo a Guatape en un municipio protector y garante de derechos</t>
  </si>
  <si>
    <t>Celebración de fechas conmemorativas de mujeres.</t>
  </si>
  <si>
    <t xml:space="preserve">Celebraciones realizadas </t>
  </si>
  <si>
    <t>Secretaría de Bienestar y Desarrollo Social</t>
  </si>
  <si>
    <t>020402
Fortalecimiento de organizaciones que permitan mejorar la equidad social integral priorizando el enfoque en la mujer, víctimas de la violencia y demás grupos vulnerables</t>
  </si>
  <si>
    <t>Acciones ejecutadas con las comunidades</t>
  </si>
  <si>
    <t>Gestión para la conformación de asociación de grupos vulnerables.</t>
  </si>
  <si>
    <t xml:space="preserve">Gestión realizada </t>
  </si>
  <si>
    <t>Fortalecimiento de asociaciones y agremaciones priorizando el enfoque en la mujer, víctimas de la violencia y demás grupos vulnerables.</t>
  </si>
  <si>
    <t xml:space="preserve">Acciones ejecutadas con las comunidades </t>
  </si>
  <si>
    <t>020403</t>
  </si>
  <si>
    <t>Continuidad del Plan Estratégico Territorial “Movimiento Niño: desde el  vientre hasta siempre”, teniendo como base las familias y el desarrollo social en los diferentes cursos de vida.</t>
  </si>
  <si>
    <t xml:space="preserve">Promover la atención integral a gestantes, primera infancia, niños, adolescentes y jóvenes a través de la continuidad del programa Movimiento Niño. </t>
  </si>
  <si>
    <t>Establecimiento de  alianzas estrategicas que ayuden a la implementación de los programas, proyectos y actividades que establece el PET Movimiento Niño: desde el vientre hasta siempre.</t>
  </si>
  <si>
    <t>Alianzas Establecidas</t>
  </si>
  <si>
    <t xml:space="preserve">Secretaría de Bienestar y Desarrollo Social </t>
  </si>
  <si>
    <t>020403
Continuidad del Plan Estratégico Territorial “Movimiento Niño: desde el  vientre hasta siempre”, teniendo como base las familias y el desarrollo social en los diferentes cursos de vida.</t>
  </si>
  <si>
    <t>Documentos de lineamientos técnicos en Política y Atención Integral de niños, niñas y adolescentes realizados</t>
  </si>
  <si>
    <t>Creación e implementación  plan de acción  2026 para el desarrollo de actividades que aporten al cumpimiento del PET Movimiento Niño: desde el vientre hasta siempre.</t>
  </si>
  <si>
    <t>Plan de acción implementado</t>
  </si>
  <si>
    <t>020404</t>
  </si>
  <si>
    <t>Implementación de la política pública de Juventud</t>
  </si>
  <si>
    <t xml:space="preserve">Generar, analizar y difundir información y conocimientos sobre las juventudes guatapenses, trazando a través de un documento estratégico la línea de desarrollo de esta población de acuerdo con sus prioridades y necesidades </t>
  </si>
  <si>
    <t xml:space="preserve">Realización de Encuentros de las instancias de  participación juvenil. </t>
  </si>
  <si>
    <t xml:space="preserve">Encuentros realizados </t>
  </si>
  <si>
    <t>020404
Implementación de la política pública de Juventud</t>
  </si>
  <si>
    <t>Documentos de planeación con seguimiento realizados</t>
  </si>
  <si>
    <t>Celebración de fechas conmemorativas de la juventudes.</t>
  </si>
  <si>
    <t xml:space="preserve">celebraciones realizadas </t>
  </si>
  <si>
    <t xml:space="preserve">Ejecución y seguimiento de la Política Pública de juventud. </t>
  </si>
  <si>
    <t xml:space="preserve">Documento de Planeacion con  seguimiento realizados </t>
  </si>
  <si>
    <t>020405</t>
  </si>
  <si>
    <t>Atención integral al Adulto Mayor, Dignificando los años Dorados</t>
  </si>
  <si>
    <t xml:space="preserve">Brindar atención integral al adulto mayor, a través de la implementación de acciones que mejoren la calidad de vida de las personas de las personas en la tercera edad </t>
  </si>
  <si>
    <t>Realización de  visitas y encuentros de seguimiento de los Adultos Mayores en situaciones de vulnerabilidad.</t>
  </si>
  <si>
    <t xml:space="preserve">Visitas realizadas </t>
  </si>
  <si>
    <t>020405
Atención integral al Adulto Mayor, Dignificando los años Dorados</t>
  </si>
  <si>
    <t>Adultos mayores atendidos con servicios integrales</t>
  </si>
  <si>
    <t>Fortalecimiento y encuentro  de las instancias de participación de la población Adulto Mayor.</t>
  </si>
  <si>
    <t xml:space="preserve">Adultos mayores atendidos </t>
  </si>
  <si>
    <t>Ejecución y Seguimiento del programa Colombia Mayor.</t>
  </si>
  <si>
    <t>Implementación del Comedor Comunitario para Adultos Mayores.</t>
  </si>
  <si>
    <t>Comedor implementado</t>
  </si>
  <si>
    <t>Fortalecimiento del Centro de proteccion social al adulto mayor CPSAM.</t>
  </si>
  <si>
    <t>020406</t>
  </si>
  <si>
    <t>Atención integral a la población con discapacidad con inclusion total</t>
  </si>
  <si>
    <t>Fortalecer la implementación de acciones en beneficio de las personas en condición de discapacidad,promoviendo la inclusión y adaptación de dicha población a actividades académicas, laborales y general de la cotidianidad.</t>
  </si>
  <si>
    <t xml:space="preserve">Cacterización y reconocimiento de la población con Discapacidad.
</t>
  </si>
  <si>
    <t xml:space="preserve">Caracterizaciones realizadas a personas con discapacidad </t>
  </si>
  <si>
    <t>020406
Atención integral a la población con discapacidad con inclusion total</t>
  </si>
  <si>
    <t>Personas con discapacidad atendidas con servicios integrales</t>
  </si>
  <si>
    <t>Realización de Encuentros de las instancias de  participación de población con Discapacidad.</t>
  </si>
  <si>
    <t xml:space="preserve">Realización de acciones necesarias para la expedición del Certificado de Discapacidad y el reporte en el Registro de Localización. </t>
  </si>
  <si>
    <t>020407</t>
  </si>
  <si>
    <t>Atención integral de las víctimas y generarando escenarios de reconciliacion y paz total</t>
  </si>
  <si>
    <t>Implementar los programas de paz total a fin de reconocer, fortalecer y acompañar a las victimas en sus procesos de reparación e integración.</t>
  </si>
  <si>
    <t xml:space="preserve">Realización de encuentros para el fortalecimiento de la mesa de participación de víctimas. 
</t>
  </si>
  <si>
    <t>Victimas fortalecidas</t>
  </si>
  <si>
    <t>020407
Atención integral de las víctimas y generarando escenarios de reconciliacion y paz total</t>
  </si>
  <si>
    <t>Víctimas asistidas técnicamente</t>
  </si>
  <si>
    <t>Atención integral a las víctimas.</t>
  </si>
  <si>
    <t xml:space="preserve">Victimas asistidas técnicamente </t>
  </si>
  <si>
    <t>Caracterización de la población víctima.</t>
  </si>
  <si>
    <t>Caracterizaciones realizadas a población victima</t>
  </si>
  <si>
    <t>020408</t>
  </si>
  <si>
    <t>Atención integral a la mujer, Empoderando a la mujer guatapense</t>
  </si>
  <si>
    <t xml:space="preserve">promover la garantía de derechos, la inclusión, el empoderamiento, el bienestar de la mujer, enfatizando en el conocimiento y preservación de sus derechos </t>
  </si>
  <si>
    <t>Formulacion e implementacion de programa para la atencion integral y  para la prevención de las violencias contra las mujeres.</t>
  </si>
  <si>
    <t xml:space="preserve">Mujeres atendidas integralmente
</t>
  </si>
  <si>
    <t>020408
Atención integral a la mujer, Empoderando a la mujer guatapense</t>
  </si>
  <si>
    <t>Estrategias de promoción de la garantía de derechos implementadas</t>
  </si>
  <si>
    <t>Actividades de sensibilización en el enfoque de no violencia de género.</t>
  </si>
  <si>
    <t>Celebracion de fechas conmemorativas.</t>
  </si>
  <si>
    <t>020409</t>
  </si>
  <si>
    <t>Gestión para la construcción de la casa de la mujer</t>
  </si>
  <si>
    <t>Fortalecer la infraestructura para el empoderamiento femenino  y programas que promueva el conocimiento y e implementación de rutas de atención y desarrollo integral de la mujer para mejorar el cierre de brechas entre hombres y mujeres que existe actualmente.</t>
  </si>
  <si>
    <t>Construcción de la casa de la mujer y de la inclusión del Municipio de Guatapé, Antioquia.</t>
  </si>
  <si>
    <t>Casas de Igualdad de oportunidades para la mujer y el joven</t>
  </si>
  <si>
    <t>Secretaría de Bienestar y Desarrollo Social / Obras Públicas</t>
  </si>
  <si>
    <t>020409
Gestión para la construcción de la casa de la mujer</t>
  </si>
  <si>
    <t>Dotación de  la casa de la mujer y de la inclusión del Municipio de Guatapé, Antioquia.</t>
  </si>
  <si>
    <t>Dotación realizada</t>
  </si>
  <si>
    <t>020410</t>
  </si>
  <si>
    <t>Atención a la comunidad LGTIBQ+, como territorio protector y garante de derechos</t>
  </si>
  <si>
    <t>Implementar acciones de equidad de género y diversidad sexual y del colectivo LGTBIQ+,para promover lagarantía de derechos,
la inclusión, el empoderamiento y el desarrollo integral de esta comunidad.</t>
  </si>
  <si>
    <t>Formulacion e implementacion de programa para prevención y atención integral de la comunidad LGTBIQ+</t>
  </si>
  <si>
    <t>Campaña realizada</t>
  </si>
  <si>
    <t>020410
Atención a la comunidad LGTIBQ+, como territorio protector y garante de derechos</t>
  </si>
  <si>
    <t xml:space="preserve">Celebración de fechas conmemorativas. </t>
  </si>
  <si>
    <t xml:space="preserve">conmemoraciones realizadas </t>
  </si>
  <si>
    <t>020411</t>
  </si>
  <si>
    <t>Apoyo y fortalecimiento de los grupos étnicos en el municipio</t>
  </si>
  <si>
    <t>Asistir tecnicamente los grupos étnicos del munciipio con el fin de promover la satisfacción de las necesidades básicas insatisfechas de este grupo poblacional.</t>
  </si>
  <si>
    <t>Atención integral a la población étnica del municipio de Guatapé mediante la ejcución del programa.</t>
  </si>
  <si>
    <t>Grupo étnicos asistidos</t>
  </si>
  <si>
    <t>020411
Apoyo y fortalecimiento de los grupos étnicos en el municipio</t>
  </si>
  <si>
    <t>Grupos étnicos asistidos técnicamente</t>
  </si>
  <si>
    <t xml:space="preserve">Campaña de sensibilización en no discriminación e inclusión. </t>
  </si>
  <si>
    <t>020412</t>
  </si>
  <si>
    <t>Mejoramiento de Infraestructura Juvenil</t>
  </si>
  <si>
    <t>Adecuar la infraestructura de juventud para una adecuada prestacion de los diferentes servicios brindados desde Juventud</t>
  </si>
  <si>
    <t xml:space="preserve">Mejormiento de la insfraestructura juvenil en el Municipio de Guatapé. </t>
  </si>
  <si>
    <t>020412
Mejoramiento de Infraestructura Juvenil</t>
  </si>
  <si>
    <t>Dotación de la Casa de la Inclusión para los jóvenes.</t>
  </si>
  <si>
    <t>Dotación adquirida</t>
  </si>
  <si>
    <t xml:space="preserve"> PLAN DE ACCIÓN 2026
03.JUNTOS POR EL TURISMO, EL EMPRENDIMIENTO, LA CONEXIÓN Y ALIANZAS PARA EL DESARROLLO</t>
  </si>
  <si>
    <t xml:space="preserve"> PLAN DE DESARROLLO 2026 
03.JUNTOS POR EL TURISMO, EL EMPRENDIMIENTO, LA CONEXIÓN Y ALIANZAS PARA EL DESARROLLO</t>
  </si>
  <si>
    <t xml:space="preserve">0301.
Juntos por el Turismo como eje del desarrollo municipal </t>
  </si>
  <si>
    <t>030101</t>
  </si>
  <si>
    <t xml:space="preserve">Implementación del Programa “De los zócalos al campo” </t>
  </si>
  <si>
    <t>Incentivar la generación de actividades turísticas rurales, ecológicas y experienciales a través de la implementación del programa zócalos  a campo con participación de la población rural.</t>
  </si>
  <si>
    <t>Generar alianzas con diferentes instituciones para el desarrollo del turismo rural con "Zócalos al campo".</t>
  </si>
  <si>
    <t xml:space="preserve">Alianzas realizadas </t>
  </si>
  <si>
    <t>Secretaría de Turismo y Desarrollo Económico</t>
  </si>
  <si>
    <t xml:space="preserve">30101
Implementación del Programa “De los zócalos al campo” </t>
  </si>
  <si>
    <t>Documentos sobre medición y análisis de información turística realizados</t>
  </si>
  <si>
    <t xml:space="preserve">Gestión e implementación de proyecto "Zócalos al campo". </t>
  </si>
  <si>
    <t>Proyecto Implementado</t>
  </si>
  <si>
    <t>030102</t>
  </si>
  <si>
    <t>Construcción y Mantenimiento de la infraestructura turística del municipio</t>
  </si>
  <si>
    <t>Mejorar las condiciones de infraestrucura turística, con el fin de continuar con la consolidadción del Municipio como referente a nivel turístico.</t>
  </si>
  <si>
    <t>Realizar actualización anual del diagnóstico de infraestructura turística.</t>
  </si>
  <si>
    <t>Diagnóstico realizado</t>
  </si>
  <si>
    <t>30102
Construcción y Mantenimiento de la infraestructura turística del municipio</t>
  </si>
  <si>
    <t xml:space="preserve">Equipamientos contruidos </t>
  </si>
  <si>
    <t>Realizar mantenimientos, reparaciones y/o construcciones nuevas en la infraestructura turística.</t>
  </si>
  <si>
    <t xml:space="preserve">Sitios mantenidos y mejorados </t>
  </si>
  <si>
    <t>030103</t>
  </si>
  <si>
    <t>Fortalecimiento de la Política Pública de Turismo</t>
  </si>
  <si>
    <t>Implementar el plan estratégico del turismo, con el fin de promover la implementación del turísmo y la inversión extranjera.</t>
  </si>
  <si>
    <t xml:space="preserve">Implementación de la política pública de turismo. </t>
  </si>
  <si>
    <t>Plan implementado</t>
  </si>
  <si>
    <t>030103
Fortalecimiento de la Política Pública de Turismo</t>
  </si>
  <si>
    <t>Planes gerenciales implementados en empresas ancladas a cadenas productivas</t>
  </si>
  <si>
    <t xml:space="preserve">Mantenimiento </t>
  </si>
  <si>
    <t xml:space="preserve">Evaluación de la Implementación de la política pública de turismo. </t>
  </si>
  <si>
    <t>Instrumento implementado</t>
  </si>
  <si>
    <t>030104</t>
  </si>
  <si>
    <t>Fortalecimiento de la promocion Turistica del territorio, como eje Dinamizador de la economia</t>
  </si>
  <si>
    <t>Apuesta por la implementacion de estrategias de promocion turistica del territorio, a nivel nacional e internacional estableciendo alianzas estrategicas para contribuir a la dinamizacion economica y a la equidad social</t>
  </si>
  <si>
    <t>Implementación del plan de  estrategias enfocadas en la promoción del destino.</t>
  </si>
  <si>
    <t>30104
Fortalecimiento de la promocion Turistica del territorio como eje Dinamizador de la economia</t>
  </si>
  <si>
    <t>Implementación de estrategia de internacionalización de Guatapé como destino turistico.</t>
  </si>
  <si>
    <t>0302.
  Juntos por el Desarrollo económico, empresarial, innovación y TIC</t>
  </si>
  <si>
    <t>030201</t>
  </si>
  <si>
    <t xml:space="preserve">Fortalecimiento y dinamización de los sistemas de información digitales </t>
  </si>
  <si>
    <t>Prestar servicio de calidad tanto al usuario interno como externo a través de la optimización de las tecnologías de la información y las comunicaciones. Hacia un destino turistico inteligente e internacionalizado.</t>
  </si>
  <si>
    <t>Diagnóstico para el desarrollo de productos digitales para el mejoramiento del funcionamiento interno y externo.</t>
  </si>
  <si>
    <t>030201
Fortalecimiento y dinamización de los sistemas de información digitales</t>
  </si>
  <si>
    <t>Productos digitales desarrollados</t>
  </si>
  <si>
    <t>Desarrollo de productos digitales para el mejoramiento del funcionamiento interno y externo.</t>
  </si>
  <si>
    <t>030202</t>
  </si>
  <si>
    <t>Fortalecimiento de emprendedores y empresarios</t>
  </si>
  <si>
    <t>Potenciar el emprendimiento y empresarismo municipal a través de la implementación de acciones de fortalecimiento de de emprendedores y empresarios.</t>
  </si>
  <si>
    <t>Acciones de fortalecimiento integral de unidades productivas de los venteros estacionacinarios del malecón turístico San Juan del Puerto.</t>
  </si>
  <si>
    <t>Unidades productivas fortalecidas</t>
  </si>
  <si>
    <t xml:space="preserve">Asesor de Proyectos y Emprendimiento </t>
  </si>
  <si>
    <t>30202 
Fortalecimiento de emprendedores y empresarios</t>
  </si>
  <si>
    <t xml:space="preserve">Unidades productivas fortalecidas </t>
  </si>
  <si>
    <t>Acciones de implementación del plan estrategico para el fortalecimiento  de  empresarios  emprendedores.</t>
  </si>
  <si>
    <t>030203</t>
  </si>
  <si>
    <t>Implementacion de conectividad en el Territorio, fortaleciendo el desarrollo equitativo de todos los sectores.</t>
  </si>
  <si>
    <t>Apuesta por la implementacion de infraestructura de conectividad, llegando a los sectores mas vulnerables del municipio promoviendo el desarrollo articulado de la poblacion apuntando a la equidad social.</t>
  </si>
  <si>
    <t>Caracterización para la  la conectividad a Internet en el área rural del municipio de Guatapé.</t>
  </si>
  <si>
    <t xml:space="preserve">Caracterización realizada </t>
  </si>
  <si>
    <t>30203
Implementacion de conectividad en el Territorio. fortaleciendo el desarrollo equitativo de todos los sectores.</t>
  </si>
  <si>
    <t>Conexiones a internet fijo y / o móvil</t>
  </si>
  <si>
    <t>Expansión de la conectividad a Internet en el área rural del municipio de Guatapé.</t>
  </si>
  <si>
    <t xml:space="preserve">Conexiones a Internet fijo y /o móvil realizadas </t>
  </si>
  <si>
    <t>PLAN DE ACCIÓN 2026 
04.JUNTOS POR LA PLANEACIÓN Y DESARROLLO EQUITATIVO DEL TERRITORIO</t>
  </si>
  <si>
    <t>PLAN DE DESARROLLO 2026 
04.JUNTOS POR LA PLANEACIÓN Y DESARROLLO EQUITATIVO DEL TERRITORIO</t>
  </si>
  <si>
    <t>N°</t>
  </si>
  <si>
    <t xml:space="preserve">0401.
 Juntos por el Ordenamiento Territorial </t>
  </si>
  <si>
    <t>040101</t>
  </si>
  <si>
    <t>Formulación y ejecución de un plan estratégico de espacio público Municipal</t>
  </si>
  <si>
    <t>Documentar e implementar un plan que proyecte la visión estratégica municipal en cuanto al espacio público como elemento de planeación y ordenamiento en el territorio. Garantizando el derecho al espacio publico de manera equitativa y conservando la identidad y patrimonio del municipio</t>
  </si>
  <si>
    <t>Implementación del manual técnico de criterios de intervención en fachadas.</t>
  </si>
  <si>
    <t>Manual Implementado</t>
  </si>
  <si>
    <t>Secretaria de Gobierno y Servicios Administrativos / Espacio Público</t>
  </si>
  <si>
    <t>40101
Formulación y ejecución de un plan estratégico de espacio público Municipal</t>
  </si>
  <si>
    <t>Documentos de planeación en Ordenamiento Territorial implementados</t>
  </si>
  <si>
    <t>Fortalecer la inspección. vigilancia y control de los espacios públicos y establecimientos comerciales.</t>
  </si>
  <si>
    <t>040102</t>
  </si>
  <si>
    <t>Fortalecimiento a la Implementación del Esquema de Ordenamiento Territorial y sus directrices </t>
  </si>
  <si>
    <t>Organizar, armonizar y administrar la ocupación y uso del espacio, para que se contribuya al desarrollo humano ecológicamente sostenible, espacialmente armónico y socialmente justo, corrigiendo la ocupación inadecuada y el uso irracional de los recursos territoriales. en pro de la proteccion de la Identidad y fomentando la permanencia responsable en el territorio.</t>
  </si>
  <si>
    <t>Acciones de seguimiento a la implementación del Esquema de Ordenamiento Territorial y sus directrices.</t>
  </si>
  <si>
    <t>40102
Fortalecimiento a la Implementación del Esquema de Ordenamiento Territorial y sus directrices </t>
  </si>
  <si>
    <t>Construcción de herramienta de seguimiento a los avances del plan de intervención del EOT.</t>
  </si>
  <si>
    <t>Herramienta construida</t>
  </si>
  <si>
    <t>040103</t>
  </si>
  <si>
    <t>Fortalecimiento del consejo territorial de planeación y promover su participación en los principales escenarios de desarrollo</t>
  </si>
  <si>
    <t>Promover la participación en los principales escenarios de desarrollo, de los diferentes sectores comunitarios como método para la democratización de la información y el fomento de la participación ciudadana.</t>
  </si>
  <si>
    <t xml:space="preserve">Fortalecimiento técnico, administrativo y logístico del Consejo Territorial de Planeación (CTP). </t>
  </si>
  <si>
    <t xml:space="preserve">Consejo Territorial fortalecido </t>
  </si>
  <si>
    <t>40103
Fortalecimiento del consejo territorial de planeación y promover su participación en los principales escenarios de desarrollo</t>
  </si>
  <si>
    <t>Instancias formales y no formales de participación fortalecidas</t>
  </si>
  <si>
    <t>Implementacion del plan de capacitación a los miembros del Consejo Territorial de Planeación (CTP).</t>
  </si>
  <si>
    <t>Capacitaciones Implementadas</t>
  </si>
  <si>
    <t>0402.
 Juntos por el Equipamiento Público</t>
  </si>
  <si>
    <t>040201</t>
  </si>
  <si>
    <t>Aumento de los espacios de infraestructura física de integración y encuentro para la comunidad guatapense</t>
  </si>
  <si>
    <t>Fortalecer la integración, socialización y encuentro de la comunidad a partir de la construcción y adecuación de infraestructura para la integración municipal.</t>
  </si>
  <si>
    <t xml:space="preserve">Pavimentación de vías urbanas. </t>
  </si>
  <si>
    <t>Metros de infraestructura intervenida</t>
  </si>
  <si>
    <t xml:space="preserve">Metros cuadrados </t>
  </si>
  <si>
    <t>40201
Aumento de los espacios de infraestructura física de integración y encuentro para la comunidad guatapense</t>
  </si>
  <si>
    <t>Areas Físicas Adecuadas</t>
  </si>
  <si>
    <t>Metros cuadrados</t>
  </si>
  <si>
    <t>Mantenimiento preventivo y correctivo de la infraestructura física del Municipio de Guatapé.</t>
  </si>
  <si>
    <t>Infraestructura Fisica intervenida</t>
  </si>
  <si>
    <t>040202</t>
  </si>
  <si>
    <t>Ampliación del programa de zocalización de Guatapé</t>
  </si>
  <si>
    <t>Fortalecer la identidad cultural y turística municipal a través del programa de Zocalización con miras a la comunidad urbana y rural.</t>
  </si>
  <si>
    <t>Recopilación de información para la ampliación de la zocalización en la zona urbana y rural del Municipio de Guatapé.</t>
  </si>
  <si>
    <t>Registro realizado</t>
  </si>
  <si>
    <t>40202
Ampliación del programa de zocalización de Guatapé</t>
  </si>
  <si>
    <t>Ampliación de zocalización en zona urbana y rural del Municipio de Guatapé.</t>
  </si>
  <si>
    <t xml:space="preserve">Infraestructura Urbana Construida </t>
  </si>
  <si>
    <t>Metros  Lineales</t>
  </si>
  <si>
    <t>040203</t>
  </si>
  <si>
    <t>Expansión del servicio de alumbrado público</t>
  </si>
  <si>
    <t>Mejorar las condiciones de seguridad y movilidad a través de la expansión del alumbrado público.</t>
  </si>
  <si>
    <t>40203
Expansión del servicio de alumbrado público</t>
  </si>
  <si>
    <t>Redes de alumbrado público ampliadas</t>
  </si>
  <si>
    <t xml:space="preserve">Metros </t>
  </si>
  <si>
    <t>040204</t>
  </si>
  <si>
    <t>Construcción de Infraestructura para la promoción de métodos alternativos de transporte saludables en sectores estratégicos del municipio</t>
  </si>
  <si>
    <t>Mejorar las condiciones de movilidad a través de la promoción de métodos alternativos y saludables de transporte.</t>
  </si>
  <si>
    <t xml:space="preserve">Viabilizacion de proyecto para mejorar las condiciones de movilidad. </t>
  </si>
  <si>
    <t>Proyecto viabilizado</t>
  </si>
  <si>
    <t>40204
Construcción de Infraestructura para la promoción de métodos alternativos de transporte saludables en sectores estratégicos del municipio</t>
  </si>
  <si>
    <t>Andén construido</t>
  </si>
  <si>
    <t>Construcción de obras de movilidad alternativa.</t>
  </si>
  <si>
    <t xml:space="preserve">Anden construido </t>
  </si>
  <si>
    <t>Metros</t>
  </si>
  <si>
    <t xml:space="preserve">0403.
 Juntos por la Dignificación de la Vivienda </t>
  </si>
  <si>
    <t>040301</t>
  </si>
  <si>
    <t>Otorgamiento de Subsidios para la adquisición de VIS (vivienda de interés social) y/o VIP (Vivienda de Interés Prioritario)</t>
  </si>
  <si>
    <t xml:space="preserve">Aumentar la oferta de vivienda para la población con menores posibilidades de acceso mejorando la condiciones de calidad de vida de la población. </t>
  </si>
  <si>
    <t>Caracterizacion de los  postulantes a subsidios de vivienda nueva.</t>
  </si>
  <si>
    <t>Caracterizacion implementada</t>
  </si>
  <si>
    <t>40301
Otorgamiento de Subsidios para la adquisición de VIS (vivienda de interés social) y/o VIP (Vivienda de Interés Prioritario)</t>
  </si>
  <si>
    <t>Hogares beneficiados con adquisición de vivienda </t>
  </si>
  <si>
    <t xml:space="preserve">Otorgamiento de subsidios para vivienda nueva. </t>
  </si>
  <si>
    <t xml:space="preserve">Subsidios otorgados </t>
  </si>
  <si>
    <t>040302</t>
  </si>
  <si>
    <t>Otorgamiento de Subsidios para el mejoramiento de vivienda, garantizando hogares guatapenses dignos</t>
  </si>
  <si>
    <t xml:space="preserve">Promover la generación de oferta de vivienda de calidad que mejore las condiciones de habitabilidad de la población Guatapense. </t>
  </si>
  <si>
    <t>Caracterización de los  postulantes a subsidios de mejoramiento de vivienda.</t>
  </si>
  <si>
    <t>40302
Otorgamiento de Subsidios para el mejoramiento de vivienda, garantizando hogares guatapenses dignos</t>
  </si>
  <si>
    <t>Hogares beneficiados con mejoramiento de una vivienda  </t>
  </si>
  <si>
    <t>Otorgamiento de subsidios de mejoramiento.</t>
  </si>
  <si>
    <t>040303</t>
  </si>
  <si>
    <t>Otorgamiento de Subsidios para reubicación de viviendas asentadas en zonas de alto riesgo</t>
  </si>
  <si>
    <t xml:space="preserve">Disminuir y mitigar los riesgos de la comunidad ubicada en zonas de alto riesgo a través de la implementación de soluciones de vivienda a las condiciones socioeconómicas de dicha población. </t>
  </si>
  <si>
    <t>Caracterización de los  postulantes a subsidios de mejoramiento de viviendas en riesgo.</t>
  </si>
  <si>
    <t>40303
Otorgamiento de Subsidios para reubicación de viviendas asentadas en zonas de alto riesgo</t>
  </si>
  <si>
    <t>Otorgamiento de subsidios de mejoramiento de viviendas en riesgo.</t>
  </si>
  <si>
    <t>040304</t>
  </si>
  <si>
    <t>Gestión de la titulación y legalización de predios construidos en el municipio</t>
  </si>
  <si>
    <t xml:space="preserve">Normalizar la situación administrativa, jurídica y urbanística de las viviendas construidas en el municipio, cumpliendo con la directrices del ordenamiento territorial. </t>
  </si>
  <si>
    <t xml:space="preserve">Realización de estudio de para gestión de titulación y legalización de predios. </t>
  </si>
  <si>
    <t>Estudio realizado</t>
  </si>
  <si>
    <t>40304
Gestión de la titulación y legalización de predios construidos en el municipio</t>
  </si>
  <si>
    <t>Asistencias técnicas y jurídicas realizadas</t>
  </si>
  <si>
    <t>Titulación de viviendas priorizadas y viabilizadas en el estudio.</t>
  </si>
  <si>
    <t>Viviendas priorizadas y viabilizadas en el estudio</t>
  </si>
  <si>
    <t xml:space="preserve"> PLAN DE ACCIÓN 2026
05.JUNTOS POR EL MEDIO AMBIENTE, LA PREVENCIÓN Y ATENCIÓN DE EMERGENCIAS Y DESASTRES Y LA DIGNIFICACIÓN DEL CAMPO GUATAPENSE</t>
  </si>
  <si>
    <t>SEGUIMIENTO PLAN DE ACCIÓN 2026
SECRETARÍA DE MEDIO AMBIENTE Y DESARROLLO RURAL</t>
  </si>
  <si>
    <t>0501.
Junto por la Prestación de Servicios Públicos de calidad</t>
  </si>
  <si>
    <t>050101</t>
  </si>
  <si>
    <t>Ampliación y reposición de la infraestructura para la prestación de los servicios públicos domiciliarios de acueducto y alcantarillado</t>
  </si>
  <si>
    <t xml:space="preserve">Mejorar la prestación del servicio a través del fortalecimiento de la infraestructura de servicios públicos incrementada y en condiciones de calidad. </t>
  </si>
  <si>
    <t xml:space="preserve">Proyecto de almacenamiento de agua potable para garantizar el abastecimiento de agua potable de municipio de Guatape.  </t>
  </si>
  <si>
    <t xml:space="preserve">Proyecto apoyado financieramente </t>
  </si>
  <si>
    <t>Secretaría de Medio Ambiente y Desarrollo Rural</t>
  </si>
  <si>
    <t>050101
Ampliación y reposición de la infraestructura para la prestación de los servicios públicos domiciliarios de acueducto y alcantarillado</t>
  </si>
  <si>
    <t>Proyectos de acueducto, alcantarillado y aseo apoyados financieramente</t>
  </si>
  <si>
    <t xml:space="preserve">Construcción de tanque  de almacenamiento de agua potable para garantizar el abastecimiento de agua potable de municipio de Guatape.  </t>
  </si>
  <si>
    <t>Infraestructura construida</t>
  </si>
  <si>
    <t>050102</t>
  </si>
  <si>
    <t>Ampliación de la cobertura, el abastecimiento y la calidad en el servicio de acueducto y alcantarillado para el municipio de Guatapé</t>
  </si>
  <si>
    <t>Desarrollar proyectos que fortalezcan el abastecimiento y la calidad en la prestación de servicios de acueducto y alcantarillado municipal.</t>
  </si>
  <si>
    <t>Construcción de tanque de almacenamiento de 294.000 L - Acueducto Multiveredal.</t>
  </si>
  <si>
    <t>050102
Ampliación de la cobertura, el abastecimiento y la calidad en el servicio de acueducto y alcantarillado para el municipio de Guatapé</t>
  </si>
  <si>
    <t>Construcción de  bocatoma y estructura de control Acueducto El Roble.</t>
  </si>
  <si>
    <t>050103</t>
  </si>
  <si>
    <t>Gestión para la adquisición de predios de protección hídrica para la protección de cuencas abastecedoras de acueductos para la prestación del servicio de acueducto urbano y rural </t>
  </si>
  <si>
    <t>Aumentar la calidad y continuidad del recurso hídrico a través del Incrementode  las áreas de protección hídrica.</t>
  </si>
  <si>
    <t xml:space="preserve">Identificar y priorizar las cuencas, microcuencas y áreas de recarga hídrica que abastecen los sistemas de acueducto urbano y rural, </t>
  </si>
  <si>
    <t>Documento realizado</t>
  </si>
  <si>
    <t>050103
Gestión para la adquisición de predios de protección hídrica para la protección de cuencas abastecedoras de acueductos para la prestación del servicio de acueducto urbano y rural </t>
  </si>
  <si>
    <t>Áreas protegidas</t>
  </si>
  <si>
    <t>Hectáreas</t>
  </si>
  <si>
    <t>Realizar el inventario de  áreas estratégicas para la protección del recurso hídrico dentro de las cuencas abastecedoras.</t>
  </si>
  <si>
    <t>Areas protegidas potenciales</t>
  </si>
  <si>
    <t>Hectareas</t>
  </si>
  <si>
    <t>050104</t>
  </si>
  <si>
    <t>Optimización y ampliación del relleno sanitario municipal para aumentar su vida útil</t>
  </si>
  <si>
    <t xml:space="preserve">Garatizar la disposición adecuada de recursos sólidos, optimizando y ampliando el relleno sanitario municipal </t>
  </si>
  <si>
    <t>Formulación proyecto para la Optimización y ampliación del relleno sanitario municipal para aumentar su vida útil.</t>
  </si>
  <si>
    <t xml:space="preserve">Proyecto formulado
</t>
  </si>
  <si>
    <t>Secretaría de Medio Ambiente y Desarrollo Rural  / Empresa de Servicios Públicos</t>
  </si>
  <si>
    <t>050104
Optimización y ampliación del relleno sanitario municipal para aumentar su vida útil</t>
  </si>
  <si>
    <t>Soluciones de disposición final de residuos solidos construidas</t>
  </si>
  <si>
    <t>Estudios y diseños para optimizar el relleno sanitario.</t>
  </si>
  <si>
    <t>Estudios y diseños elaborados</t>
  </si>
  <si>
    <t>050105</t>
  </si>
  <si>
    <t>Optimización y ampliación de la Planta de Compostaje para tratamiento de los residuos orgánicos</t>
  </si>
  <si>
    <t xml:space="preserve">Mejorar el tratamiento y utilización de los residuos orgánicos a través de la optimización y ampliación de la planta de compostaje </t>
  </si>
  <si>
    <t>Adecuación y mejoramiento planta de biodegradación.</t>
  </si>
  <si>
    <t>Infraestructura mejorada</t>
  </si>
  <si>
    <t>050105
Optimización y ampliación de la Planta de Compostaje para tratamiento de los residuos orgánicos</t>
  </si>
  <si>
    <t>Gestión para el suministro de aserrín como material estructurante.</t>
  </si>
  <si>
    <t>Informe realizado</t>
  </si>
  <si>
    <t>Implementacion del Sistema piloto para la valorización de los lixiviados.</t>
  </si>
  <si>
    <t xml:space="preserve">Sistema ejecutado
</t>
  </si>
  <si>
    <t>050106</t>
  </si>
  <si>
    <t>Fortalecimiento y acompañamiento integral a los prestadores de empresas prestadoras de servicios públicos del Municipio</t>
  </si>
  <si>
    <t>Mejorar la prestación del servicio a través del fortalecimiento de las Empresas de Servicios Públicos</t>
  </si>
  <si>
    <t>Fortalecimiento técnico y administrativo a los acueductos en el Municipio.</t>
  </si>
  <si>
    <t>Acueducto asistidos técnicamente</t>
  </si>
  <si>
    <t>050106
Fortalecimiento y acompañamiento integral a los prestadores de empresas prestadoras de servicios públicos del Municipio</t>
  </si>
  <si>
    <t>Personas prestadoras asistidas técnicamente</t>
  </si>
  <si>
    <t>Fortalecimiento Financiero de los acueductos municipales mediante subsidios de agua potable y saneamiento básico.</t>
  </si>
  <si>
    <t>Acueductos subsidiados</t>
  </si>
  <si>
    <t>050107</t>
  </si>
  <si>
    <t>Gestión para la construcción de la planta de tratamiento y potabilización de agua de la vereda quebrada arriba</t>
  </si>
  <si>
    <t xml:space="preserve">Mejorar las condiciones de calidad de agua rural, a través de laconstrucción de la planta de tratamiento de aguas residuales en la vereda quebrada arriba. </t>
  </si>
  <si>
    <t>Elaboración de estudios y diseños para la contrucción de la Planta de tratamiento de agua potable en Quebrada Arriba.</t>
  </si>
  <si>
    <t>050107
Gestión para la construcción de la planta de tratamiento y potabilización de agua de la vereda quebrada arriba</t>
  </si>
  <si>
    <t>Plantas de tratamiento de agua potable construidas</t>
  </si>
  <si>
    <t>Estructuración de proyecto para la construcción de la Planta de Tratamiento de Agua Potable de la vereda Quebrada Arriba.</t>
  </si>
  <si>
    <t>050108</t>
  </si>
  <si>
    <t>Gestión para la ampliación y optimización de la planta de tratamiento de aguas residuales domésticas PTARD del municipio de Guatapé</t>
  </si>
  <si>
    <t xml:space="preserve">Mejorar las condiciones de saneamietno urbano a través de la ampliación y optimización de la planta de tratamiento de aguas residuales del municipio de Guatapé. </t>
  </si>
  <si>
    <t>Constuccion de la primera Fase de la Planta de Tratamiento en el Sector el Roble.</t>
  </si>
  <si>
    <t>050108
Gestión para la ampliación y optimización de la planta de tratamiento de aguas residuales domésticas PTARD del municipio de Guatapé</t>
  </si>
  <si>
    <t>Proyectos de aguas residuales apoyados financieramente</t>
  </si>
  <si>
    <t>Formulacion proyecto de la segunda Fase para la construcción de planta de Tratamiento en el sector el Roble</t>
  </si>
  <si>
    <t>0502.
 Juntos por la Gestión Ambiental Sostenible y Accion Climatica</t>
  </si>
  <si>
    <t>050201</t>
  </si>
  <si>
    <t>Conservación bosques nativos en los cuales se realicen gestiones para realización de pagos por servicios ambientales</t>
  </si>
  <si>
    <t xml:space="preserve">Aumetar las áreas de protección ambiental a través de la implementación de una estrategia de incentivos a la conservación denominada pago por servicios ampliados. </t>
  </si>
  <si>
    <t xml:space="preserve">Implementación de  Estrategia de incentivos para la conservacion de bosques nativos  por medio de pago por servicios ambientales. 
</t>
  </si>
  <si>
    <t>050201
Conservación bosques nativos en los cuales se realicen gestiones para realización de pagos por servicios ambientales</t>
  </si>
  <si>
    <t xml:space="preserve">Siembra de Árboles para reforestacion
</t>
  </si>
  <si>
    <t>Hectáreas de árboles sembrados</t>
  </si>
  <si>
    <t>Ha</t>
  </si>
  <si>
    <t>050202</t>
  </si>
  <si>
    <t>Actualización e implementación de la política pública de bienestar animal, priorizan la educación y cuidado de los animales</t>
  </si>
  <si>
    <t>Promover el el bienestar animal a través de acciones de educación, protección y cuidado.</t>
  </si>
  <si>
    <t>Dotación y mejoramiento de la infraestructura para la atención, protección y bienestar de la fauna del municipio</t>
  </si>
  <si>
    <t>Dotaciones a la infraestructura del centro de atención veterinaria</t>
  </si>
  <si>
    <t>050202
Actualización e implementación de la política pública de bienestar animal, priorizan la educación y cuidado de los animales</t>
  </si>
  <si>
    <t>Planeación, fortalecimiento y consolidación de estrategias de control, seguimiento e inspección interinstitucionales, en favor de la protección y bienestar de los animales.</t>
  </si>
  <si>
    <t>Esterilizaciones realizadas a animales de compañía</t>
  </si>
  <si>
    <t>Jornadas de vacunación antirrábica desarrolladas</t>
  </si>
  <si>
    <t>Animales entregados en adopción</t>
  </si>
  <si>
    <t>Jornadas de bienestar animal realizadas</t>
  </si>
  <si>
    <t>Garantizar los profesionales e insumos requeridos para atender situaciones de emergencias veterinarias.</t>
  </si>
  <si>
    <t>Profesionales contratados para atender situaciones de bienestar animal</t>
  </si>
  <si>
    <t xml:space="preserve"> Insumos veterinarios contratados</t>
  </si>
  <si>
    <t>Actualización de la ruta de maltrato animal.</t>
  </si>
  <si>
    <t xml:space="preserve"> Rutas actualizadas</t>
  </si>
  <si>
    <t>Acompañamiento técnico y sanitario a equinos utilizados para trabajo, carga o tracción animal</t>
  </si>
  <si>
    <t>Jornadas realizadas</t>
  </si>
  <si>
    <t>Base de datos actualizada</t>
  </si>
  <si>
    <t>Diseñar e implementar una base de datos que permita monitorear a los caninos de manejo especial, sus tenedores y su historial.</t>
  </si>
  <si>
    <t>Generar estrategias para la disposición adecuada de las excretas de animales de compañía y fauna callejera.</t>
  </si>
  <si>
    <t>Estrategia implementada</t>
  </si>
  <si>
    <t>Fortalecimiento de la Junta Defensora de Animales</t>
  </si>
  <si>
    <t>Reuniones realizadas de la Junta Defensora de Animales</t>
  </si>
  <si>
    <t>Realizar acciones de seguimiento con apoyo policivo en relación a la tenencia inadecuada de animales domésticos, de compañía y de producción.</t>
  </si>
  <si>
    <t>050203</t>
  </si>
  <si>
    <t>Actualización e implementación del Plan de Gestión Integral de Residuos Sólidos PGIRS</t>
  </si>
  <si>
    <t>Promover la disposición adecuada de residios sólidos a través de la ejecución de acciones planificadas y pedagógicas para el manejo de los mismos.</t>
  </si>
  <si>
    <t>Fortalecimiento a los recicladores de oficio.</t>
  </si>
  <si>
    <t>Número de recicladores fortalecidos</t>
  </si>
  <si>
    <t>050203
Actualización e implementación del Plan de Gestión Integral de Residuos Sólidos PGIRS</t>
  </si>
  <si>
    <t>Plan Integral de gestión de residuos sólidos (PGIRS) actualizado</t>
  </si>
  <si>
    <t xml:space="preserve">Fortalecimiento y  manejo integral de residuos sólidos "MIRS". </t>
  </si>
  <si>
    <t xml:space="preserve">Toneladas de residuos tratados (organicos) </t>
  </si>
  <si>
    <t>Toneladas de residuos  aprovechados (reciclaje)</t>
  </si>
  <si>
    <t>Implementar estrategias para la adecuada gestión de residuos especiales, posconsumo y peligrosos, en coordinación con gestores autorizados.</t>
  </si>
  <si>
    <t>Número de jornadas de recolección de residuos</t>
  </si>
  <si>
    <t>Mejoramiento ambiental de zonas verdes y parques del Municipio (Ornato).</t>
  </si>
  <si>
    <t>Metros cuadrados intervenidos de zonas verdes y espacio público</t>
  </si>
  <si>
    <t>Desarrollar campañas de educación ambiental dirigidas a la comunidad sobre reducción, reutilización y correcta disposición de residuos sólidos</t>
  </si>
  <si>
    <t>Número de personas impactadas</t>
  </si>
  <si>
    <t>050204</t>
  </si>
  <si>
    <t>Fortalecimiento de estrategias de educación ambiental como eje transversal de transformación cultural en el territorio</t>
  </si>
  <si>
    <t xml:space="preserve">Potenciar la cultura ambiental mediante la implementación de estrategias de educación ambiental con los diversos actores municipales. </t>
  </si>
  <si>
    <t>Diagnóstico, formulación y ejecución de proyectos mediante metodología PRISER.</t>
  </si>
  <si>
    <t>Número de PRISER ejecutados</t>
  </si>
  <si>
    <t>050204
Fortalecimiento de estrategias de educación ambiental como eje transversal de transformación cultural en el territorio</t>
  </si>
  <si>
    <t>Personas formadas  en cultura y participación para la gestión ambiental y territorial</t>
  </si>
  <si>
    <t xml:space="preserve">Desarrollo de la semana ambiental. cambio climático y gestión del riesgo. </t>
  </si>
  <si>
    <t>Número de ferias realizadas</t>
  </si>
  <si>
    <t>Actualización y Divulgación del Plan de Educación Ambiental (PEAM) e implementación de sus acciones educativo-ambientales.</t>
  </si>
  <si>
    <t>Número de Documentos Actualizado</t>
  </si>
  <si>
    <t>Actualización del PRAE de la Institución Educativa Nuestra Señora del Pilar.</t>
  </si>
  <si>
    <t>Acciones divulgativas de sensibilización y educación ambiental.</t>
  </si>
  <si>
    <t>Huertas caseras implementadas</t>
  </si>
  <si>
    <t>Fortalecimiento del CIDEAM.</t>
  </si>
  <si>
    <t>Número de reuniones realizadas</t>
  </si>
  <si>
    <t>0503.
 Juntos por la Prevención y atención de desastres</t>
  </si>
  <si>
    <t>050301</t>
  </si>
  <si>
    <t>Actualización de los estudios básicos de amenaza, vulnerabilidad y riesgo , y Accion Climatica</t>
  </si>
  <si>
    <t>Caracterizar las  condiciones y  escenarios de riesgo, para la implementación de acciónes estratégicas de prevención y mitigación acordes con las condiciones del territorio. Generando estrategias de accion de cambio climatico, y herramietas sostenibles en el territorio</t>
  </si>
  <si>
    <t>Diagnóstico de los estudios básicos de amenaza, vulnerabilidad y riesgo.</t>
  </si>
  <si>
    <t>Oficina de Gestión del Riesgo</t>
  </si>
  <si>
    <t>050301
Actualización de los estudios básicos de amenaza, vulnerabilidad y riesgo , y Accion Climatica</t>
  </si>
  <si>
    <t>Documentos de planeación con la propuesta de acciones de mitigación y adaptación al cambio climático diseñados</t>
  </si>
  <si>
    <t xml:space="preserve">Actualización del Plan de Adaptación al cambio climático.
</t>
  </si>
  <si>
    <t>Documento Actualizado</t>
  </si>
  <si>
    <t>050302</t>
  </si>
  <si>
    <t xml:space="preserve">Implementación de acciones de prevención y mitigación de emergencias y desastres </t>
  </si>
  <si>
    <t xml:space="preserve">Disminuir las condiciones de vulnerabilidad y amenaza de la población y el territorio, a través de acciones de prevención y mitigación de emergencias y desastres. </t>
  </si>
  <si>
    <t>Fortalecimiento a los organismos de socorro del municipio de Guatapé.</t>
  </si>
  <si>
    <t>Número de convenios firmados para el fortalecimientode la capacidad administrativa de los organismos de socorro.</t>
  </si>
  <si>
    <t xml:space="preserve">050302
Implementación de acciones de prevención y mitigación de emergencias y desastres </t>
  </si>
  <si>
    <t>Campañas de educación para la prevención y atención de desastres desarrolladas</t>
  </si>
  <si>
    <t xml:space="preserve">Actualización del Plan Municipal de Gestión del Riesgo.
</t>
  </si>
  <si>
    <t>Fortalecimiento al Consejo Municipal de Gestión del Riesgo.</t>
  </si>
  <si>
    <t>Número de capacitaciones realizadas</t>
  </si>
  <si>
    <t>Acciones divulgativas de prevención y mitigación de emergencias y desastres.</t>
  </si>
  <si>
    <t>050303</t>
  </si>
  <si>
    <t>Fortalecimiento de la infraestructura para la prevención, mitigación  y atención de emergencias y desastres</t>
  </si>
  <si>
    <t xml:space="preserve">Mejorar la infraestructura para la prevención y atención de desastres, para fortalecer la capacidad de respuesta frente a eventos de riesgo y emergencia. </t>
  </si>
  <si>
    <t>Obras de infraestructura para la prevención, mitigación y atención de desastres.</t>
  </si>
  <si>
    <t>Número de obras realizadas</t>
  </si>
  <si>
    <t>050303
Fortalecimiento de la infraestructura para la prevención, mitigación  y atención de emergencias y desastres</t>
  </si>
  <si>
    <t>Obras de infraestructura para la reducción del riesgo de desastres realizadas</t>
  </si>
  <si>
    <t>Obras de infraestructura para el control de erosión.</t>
  </si>
  <si>
    <t>0504.
Juntos por el Desarrollo agropecuario y Promoción de la Seguridad Alimentaria en la Ruralidad</t>
  </si>
  <si>
    <t>050401</t>
  </si>
  <si>
    <t>Implementación de Vivienda rural sostenible</t>
  </si>
  <si>
    <t>Desarrollar proyectos para el impulso de vivienda rural sostenible en concordancia con las directrices de la Corporación ambiental - CORNARE.</t>
  </si>
  <si>
    <t>Construcción de pozos sépticos.</t>
  </si>
  <si>
    <t>Número de personas beneficiadas con la construcción de un pozo séptico</t>
  </si>
  <si>
    <t>050401
Implementación de Vivienda rural sostenible</t>
  </si>
  <si>
    <t>Personas apoyadas</t>
  </si>
  <si>
    <t xml:space="preserve">Implementación de huertas caseras.
</t>
  </si>
  <si>
    <t xml:space="preserve">Número de huertas caseras </t>
  </si>
  <si>
    <t>050402</t>
  </si>
  <si>
    <t>Fortalecimiento de programas y proyectos de asistencia técnica directa rural</t>
  </si>
  <si>
    <t xml:space="preserve">Mejorar la productividad, inocuidad y calidad en el sector agropecuario a partir de procesos de asistencia directa rural. </t>
  </si>
  <si>
    <t xml:space="preserve">Visitas de asistencia técnica,  capacitaciones técnicas.
</t>
  </si>
  <si>
    <t>Número de visitas de asistencia técnica realizadas</t>
  </si>
  <si>
    <t>050402
Fortalecimiento de programas y proyectos de asistencia técnica directa rural</t>
  </si>
  <si>
    <t>Pequeños productores rurales asistidos técnicamente</t>
  </si>
  <si>
    <t>Fortalecimiento de programas y proyectos agropecuarios.</t>
  </si>
  <si>
    <t>Número de personas beneficiadas con la entrega de insumos</t>
  </si>
  <si>
    <t>050403</t>
  </si>
  <si>
    <t>Desarrollo de estrategias con la población rural en pro de reducir las pérdidas y desperdicios en la etapa de postcosecha</t>
  </si>
  <si>
    <t xml:space="preserve">Mejorar los procesos de producción y comercialización agropecuaria a través de servicio de extensión agropecuaria a los productores del municipio. </t>
  </si>
  <si>
    <t>Fortalecimiento comercialización agropecuaria.</t>
  </si>
  <si>
    <t>Número de productores beneficiados con el fortalecimiento a la comercialización</t>
  </si>
  <si>
    <t>050403
Desarrollo de estrategias con la población rural en pro de reducir las pérdidas y desperdicios en la etapa de postcosecha</t>
  </si>
  <si>
    <t>Productores atendidos con servicio de extensión agropecuaria</t>
  </si>
  <si>
    <t>Ejecución de ferias de comercialización aropecuaria.</t>
  </si>
  <si>
    <t>050404</t>
  </si>
  <si>
    <t>Implementación de acciones para la seguridad alimentaria en la ruralidad</t>
  </si>
  <si>
    <t>Promover la comercialización y la sostenibilidad de la producción de bienes y servicios agropecuarios a  fin de promover la seguridad alimentaria municipal.</t>
  </si>
  <si>
    <t xml:space="preserve">Fortalecimiento de la seguridad alimentaria. </t>
  </si>
  <si>
    <t>050404
Implementación de acciones para la seguridad alimentaria en la ruralidad</t>
  </si>
  <si>
    <t>Hogares apoyados para seguridad alimentaria</t>
  </si>
  <si>
    <t>Número de Centros Educativos con asistencia técnica</t>
  </si>
  <si>
    <t>Ejecución de talleres en temas relacionados con la educación ambiental, producción orgánica, siembra limpia.</t>
  </si>
  <si>
    <t xml:space="preserve">Número de talleres realizados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</si>
</sst>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"/>
    <numFmt numFmtId="165" formatCode="0.0"/>
    <numFmt numFmtId="166" formatCode="_-* #,##0_-;\-* #,##0_-;_-* &quot;-&quot;_-;_-@"/>
    <numFmt numFmtId="167" formatCode="0.0%"/>
  </numFmts>
  <fonts count="16" x14ac:knownFonts="1">
    <font>
      <sz val="11"/>
      <color theme="1"/>
      <name val="Calibri"/>
      <scheme val="minor"/>
    </font>
    <font>
      <sz val="20"/>
      <color theme="1"/>
      <name val="Arial"/>
      <family val="2"/>
    </font>
    <font>
      <b/>
      <sz val="28"/>
      <color theme="1"/>
      <name val="Arial"/>
      <family val="2"/>
    </font>
    <font>
      <sz val="11"/>
      <name val="Calibri"/>
      <family val="2"/>
    </font>
    <font>
      <sz val="26"/>
      <color theme="1"/>
      <name val="Arial"/>
      <family val="2"/>
    </font>
    <font>
      <b/>
      <sz val="26"/>
      <color theme="1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Calibri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28"/>
      <color theme="1"/>
      <name val="Arial"/>
      <family val="2"/>
    </font>
    <font>
      <b/>
      <sz val="20"/>
      <color theme="1"/>
      <name val="Arial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48"/>
      <color theme="1"/>
      <name val="Arial"/>
      <family val="2"/>
    </font>
    <font>
      <sz val="14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0DED6"/>
        <bgColor rgb="FFB0DED6"/>
      </patternFill>
    </fill>
    <fill>
      <patternFill patternType="solid">
        <fgColor rgb="FFCCFF99"/>
        <bgColor rgb="FFCCFF99"/>
      </patternFill>
    </fill>
    <fill>
      <patternFill patternType="solid">
        <fgColor rgb="FF66FFFF"/>
        <bgColor rgb="FF66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64" fontId="6" fillId="3" borderId="5" xfId="0" applyNumberFormat="1" applyFont="1" applyFill="1" applyBorder="1" applyAlignment="1">
      <alignment horizontal="center" vertical="center" wrapText="1"/>
    </xf>
    <xf numFmtId="1" fontId="6" fillId="3" borderId="5" xfId="0" applyNumberFormat="1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9" fontId="8" fillId="2" borderId="1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vertical="top" wrapText="1"/>
    </xf>
    <xf numFmtId="0" fontId="9" fillId="2" borderId="5" xfId="0" applyFont="1" applyFill="1" applyBorder="1" applyAlignment="1">
      <alignment horizontal="center" vertical="center" wrapText="1"/>
    </xf>
    <xf numFmtId="1" fontId="9" fillId="2" borderId="5" xfId="0" applyNumberFormat="1" applyFont="1" applyFill="1" applyBorder="1" applyAlignment="1">
      <alignment horizontal="center" vertical="center" wrapText="1"/>
    </xf>
    <xf numFmtId="2" fontId="9" fillId="4" borderId="5" xfId="0" applyNumberFormat="1" applyFont="1" applyFill="1" applyBorder="1" applyAlignment="1">
      <alignment horizontal="center" vertical="center" wrapText="1"/>
    </xf>
    <xf numFmtId="9" fontId="9" fillId="2" borderId="5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vertical="center" wrapText="1"/>
    </xf>
    <xf numFmtId="164" fontId="9" fillId="2" borderId="5" xfId="0" applyNumberFormat="1" applyFont="1" applyFill="1" applyBorder="1" applyAlignment="1">
      <alignment horizontal="center" vertical="center" wrapText="1"/>
    </xf>
    <xf numFmtId="9" fontId="9" fillId="2" borderId="1" xfId="0" applyNumberFormat="1" applyFont="1" applyFill="1" applyBorder="1" applyAlignment="1">
      <alignment horizontal="center" vertical="center" wrapText="1"/>
    </xf>
    <xf numFmtId="2" fontId="9" fillId="2" borderId="5" xfId="0" applyNumberFormat="1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65" fontId="9" fillId="2" borderId="5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center" vertical="center" wrapText="1"/>
    </xf>
    <xf numFmtId="1" fontId="9" fillId="0" borderId="5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9" fillId="2" borderId="5" xfId="0" applyNumberFormat="1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164" fontId="9" fillId="3" borderId="5" xfId="0" applyNumberFormat="1" applyFont="1" applyFill="1" applyBorder="1" applyAlignment="1">
      <alignment horizontal="center" vertical="center" wrapText="1"/>
    </xf>
    <xf numFmtId="9" fontId="9" fillId="2" borderId="5" xfId="0" applyNumberFormat="1" applyFont="1" applyFill="1" applyBorder="1" applyAlignment="1">
      <alignment horizontal="center" vertical="center"/>
    </xf>
    <xf numFmtId="2" fontId="9" fillId="4" borderId="5" xfId="0" applyNumberFormat="1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vertical="center" wrapText="1"/>
    </xf>
    <xf numFmtId="0" fontId="9" fillId="3" borderId="20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top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9" fontId="2" fillId="6" borderId="5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1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vertical="center" wrapText="1"/>
    </xf>
    <xf numFmtId="9" fontId="9" fillId="2" borderId="18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wrapText="1"/>
    </xf>
    <xf numFmtId="166" fontId="9" fillId="2" borderId="5" xfId="0" applyNumberFormat="1" applyFont="1" applyFill="1" applyBorder="1" applyAlignment="1">
      <alignment horizontal="center" vertical="center"/>
    </xf>
    <xf numFmtId="1" fontId="9" fillId="2" borderId="5" xfId="0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vertical="top" wrapText="1"/>
    </xf>
    <xf numFmtId="0" fontId="13" fillId="2" borderId="1" xfId="0" applyFont="1" applyFill="1" applyBorder="1" applyAlignment="1">
      <alignment horizontal="center" vertical="center" wrapText="1"/>
    </xf>
    <xf numFmtId="164" fontId="13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top" wrapText="1"/>
    </xf>
    <xf numFmtId="1" fontId="13" fillId="2" borderId="1" xfId="0" applyNumberFormat="1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164" fontId="2" fillId="6" borderId="32" xfId="0" applyNumberFormat="1" applyFont="1" applyFill="1" applyBorder="1" applyAlignment="1">
      <alignment horizontal="center" vertical="center" wrapText="1"/>
    </xf>
    <xf numFmtId="164" fontId="11" fillId="3" borderId="5" xfId="0" applyNumberFormat="1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5" fillId="2" borderId="35" xfId="0" applyFont="1" applyFill="1" applyBorder="1" applyAlignment="1">
      <alignment horizontal="left" vertical="center" wrapText="1"/>
    </xf>
    <xf numFmtId="0" fontId="15" fillId="2" borderId="5" xfId="0" applyFont="1" applyFill="1" applyBorder="1" applyAlignment="1">
      <alignment horizontal="left" vertical="center" wrapText="1"/>
    </xf>
    <xf numFmtId="0" fontId="9" fillId="2" borderId="35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 wrapText="1"/>
    </xf>
    <xf numFmtId="3" fontId="9" fillId="2" borderId="18" xfId="0" applyNumberFormat="1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left" vertical="center" wrapText="1"/>
    </xf>
    <xf numFmtId="0" fontId="9" fillId="2" borderId="35" xfId="0" applyFont="1" applyFill="1" applyBorder="1" applyAlignment="1">
      <alignment horizontal="center" vertical="center" wrapText="1"/>
    </xf>
    <xf numFmtId="1" fontId="9" fillId="2" borderId="35" xfId="0" applyNumberFormat="1" applyFont="1" applyFill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 wrapText="1"/>
    </xf>
    <xf numFmtId="9" fontId="9" fillId="2" borderId="35" xfId="0" applyNumberFormat="1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vertical="top" wrapText="1"/>
    </xf>
    <xf numFmtId="167" fontId="2" fillId="6" borderId="5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3" fillId="0" borderId="11" xfId="0" applyFont="1" applyBorder="1"/>
    <xf numFmtId="9" fontId="9" fillId="2" borderId="6" xfId="0" applyNumberFormat="1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164" fontId="9" fillId="0" borderId="6" xfId="0" applyNumberFormat="1" applyFont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/>
    </xf>
    <xf numFmtId="0" fontId="3" fillId="0" borderId="12" xfId="0" applyFont="1" applyBorder="1"/>
    <xf numFmtId="49" fontId="9" fillId="9" borderId="6" xfId="0" applyNumberFormat="1" applyFont="1" applyFill="1" applyBorder="1" applyAlignment="1">
      <alignment horizontal="center" vertical="center" wrapText="1"/>
    </xf>
    <xf numFmtId="0" fontId="3" fillId="10" borderId="14" xfId="0" applyFont="1" applyFill="1" applyBorder="1"/>
    <xf numFmtId="0" fontId="3" fillId="0" borderId="14" xfId="0" applyFont="1" applyBorder="1"/>
    <xf numFmtId="0" fontId="9" fillId="2" borderId="13" xfId="0" applyFont="1" applyFill="1" applyBorder="1" applyAlignment="1">
      <alignment horizontal="center" vertical="center" wrapText="1"/>
    </xf>
    <xf numFmtId="0" fontId="3" fillId="0" borderId="15" xfId="0" applyFont="1" applyBorder="1"/>
    <xf numFmtId="0" fontId="2" fillId="3" borderId="33" xfId="0" applyFont="1" applyFill="1" applyBorder="1" applyAlignment="1">
      <alignment horizontal="center" vertical="center"/>
    </xf>
    <xf numFmtId="0" fontId="3" fillId="0" borderId="25" xfId="0" applyFont="1" applyBorder="1"/>
    <xf numFmtId="0" fontId="3" fillId="0" borderId="26" xfId="0" applyFont="1" applyBorder="1"/>
    <xf numFmtId="0" fontId="5" fillId="3" borderId="2" xfId="0" applyFont="1" applyFill="1" applyBorder="1" applyAlignment="1">
      <alignment horizontal="center" wrapText="1"/>
    </xf>
    <xf numFmtId="0" fontId="3" fillId="0" borderId="3" xfId="0" applyFont="1" applyBorder="1"/>
    <xf numFmtId="0" fontId="3" fillId="0" borderId="4" xfId="0" applyFont="1" applyBorder="1"/>
    <xf numFmtId="0" fontId="2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3" fillId="10" borderId="11" xfId="0" applyFont="1" applyFill="1" applyBorder="1"/>
    <xf numFmtId="0" fontId="9" fillId="7" borderId="6" xfId="0" applyFont="1" applyFill="1" applyBorder="1" applyAlignment="1">
      <alignment horizontal="center" vertical="center" wrapText="1"/>
    </xf>
    <xf numFmtId="0" fontId="3" fillId="8" borderId="11" xfId="0" applyFont="1" applyFill="1" applyBorder="1"/>
    <xf numFmtId="49" fontId="9" fillId="7" borderId="6" xfId="0" applyNumberFormat="1" applyFont="1" applyFill="1" applyBorder="1" applyAlignment="1">
      <alignment horizontal="center" vertical="center" wrapText="1"/>
    </xf>
    <xf numFmtId="0" fontId="3" fillId="8" borderId="9" xfId="0" applyFont="1" applyFill="1" applyBorder="1"/>
    <xf numFmtId="0" fontId="3" fillId="0" borderId="10" xfId="0" applyFont="1" applyBorder="1"/>
    <xf numFmtId="0" fontId="9" fillId="2" borderId="6" xfId="0" applyFont="1" applyFill="1" applyBorder="1" applyAlignment="1">
      <alignment horizontal="left" vertical="center" wrapText="1"/>
    </xf>
    <xf numFmtId="0" fontId="3" fillId="10" borderId="9" xfId="0" applyFont="1" applyFill="1" applyBorder="1"/>
    <xf numFmtId="49" fontId="9" fillId="2" borderId="6" xfId="0" applyNumberFormat="1" applyFont="1" applyFill="1" applyBorder="1" applyAlignment="1">
      <alignment horizontal="center" vertical="center" wrapText="1"/>
    </xf>
    <xf numFmtId="9" fontId="9" fillId="2" borderId="6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2" fontId="9" fillId="5" borderId="7" xfId="0" applyNumberFormat="1" applyFont="1" applyFill="1" applyBorder="1" applyAlignment="1">
      <alignment horizontal="center" vertical="center" wrapText="1"/>
    </xf>
    <xf numFmtId="9" fontId="9" fillId="2" borderId="7" xfId="0" applyNumberFormat="1" applyFont="1" applyFill="1" applyBorder="1" applyAlignment="1">
      <alignment horizontal="center" vertical="center" wrapText="1"/>
    </xf>
    <xf numFmtId="164" fontId="9" fillId="2" borderId="7" xfId="0" applyNumberFormat="1" applyFont="1" applyFill="1" applyBorder="1" applyAlignment="1">
      <alignment horizontal="center" vertical="center" wrapText="1"/>
    </xf>
    <xf numFmtId="10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2" fontId="9" fillId="5" borderId="6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10" fontId="9" fillId="2" borderId="6" xfId="0" applyNumberFormat="1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3" fillId="0" borderId="17" xfId="0" applyFont="1" applyBorder="1"/>
    <xf numFmtId="0" fontId="9" fillId="3" borderId="2" xfId="0" applyFont="1" applyFill="1" applyBorder="1" applyAlignment="1">
      <alignment horizontal="center" vertical="center" wrapText="1"/>
    </xf>
    <xf numFmtId="10" fontId="9" fillId="2" borderId="6" xfId="0" applyNumberFormat="1" applyFont="1" applyFill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3" fillId="0" borderId="22" xfId="0" applyFont="1" applyBorder="1"/>
    <xf numFmtId="0" fontId="3" fillId="0" borderId="23" xfId="0" applyFont="1" applyBorder="1"/>
    <xf numFmtId="0" fontId="9" fillId="3" borderId="21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2" fillId="3" borderId="24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3" fillId="0" borderId="30" xfId="0" applyFont="1" applyBorder="1"/>
    <xf numFmtId="0" fontId="3" fillId="0" borderId="31" xfId="0" applyFont="1" applyBorder="1"/>
    <xf numFmtId="0" fontId="9" fillId="2" borderId="2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49" fontId="9" fillId="2" borderId="7" xfId="0" applyNumberFormat="1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9" fontId="9" fillId="2" borderId="1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0</xdr:row>
      <xdr:rowOff>85725</xdr:rowOff>
    </xdr:from>
    <xdr:ext cx="1238250" cy="11334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38100</xdr:rowOff>
    </xdr:from>
    <xdr:ext cx="1333500" cy="1228725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38100</xdr:rowOff>
    </xdr:from>
    <xdr:ext cx="1333500" cy="1228725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0</xdr:row>
      <xdr:rowOff>276225</xdr:rowOff>
    </xdr:from>
    <xdr:ext cx="1323975" cy="12192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180975</xdr:colOff>
      <xdr:row>0</xdr:row>
      <xdr:rowOff>85725</xdr:rowOff>
    </xdr:from>
    <xdr:ext cx="1333500" cy="1438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152400</xdr:rowOff>
    </xdr:from>
    <xdr:ext cx="1371600" cy="1266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usuario\Downloads\MATRIZ%20ESTRATEGICA%20GUATAPE%2018042024%20FINAL%20(1).xlsx" TargetMode="External"/><Relationship Id="rId1" Type="http://schemas.openxmlformats.org/officeDocument/2006/relationships/externalLinkPath" Target="file:///F:\usuario\Downloads\MATRIZ%20ESTRATEGICA%20GUATAPE%2018042024%20FINAL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TICULACIÓN"/>
      <sheetName val="INDICATIVO - RESULTADOS"/>
      <sheetName val="PLAN DE ACCIÓN"/>
      <sheetName val="PLAN INDICATIVO"/>
      <sheetName val="F.PLAN INDICATIVO 2024-2027"/>
      <sheetName val="CONTROL SECTORIAL"/>
      <sheetName val="Listas"/>
      <sheetName val="ListasPDET"/>
      <sheetName val="Iniciativas"/>
      <sheetName val="Catálogo"/>
      <sheetName val="Paz"/>
      <sheetName val="Víctimas"/>
      <sheetName val="ODS"/>
      <sheetName val="PI_Ej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AG1000"/>
  <sheetViews>
    <sheetView showGridLines="0" workbookViewId="0">
      <pane xSplit="1" ySplit="3" topLeftCell="E58" activePane="bottomRight" state="frozen"/>
      <selection pane="topRight" activeCell="B1" sqref="B1"/>
      <selection pane="bottomLeft" activeCell="A4" sqref="A4"/>
      <selection pane="bottomRight" activeCell="A58" sqref="A58:A61"/>
    </sheetView>
  </sheetViews>
  <sheetFormatPr baseColWidth="10" defaultColWidth="14.42578125" defaultRowHeight="15" customHeight="1" x14ac:dyDescent="0.25"/>
  <cols>
    <col min="1" max="2" width="36.140625" customWidth="1"/>
    <col min="3" max="3" width="50.42578125" customWidth="1"/>
    <col min="4" max="4" width="65.7109375" customWidth="1"/>
    <col min="5" max="5" width="27.42578125" customWidth="1"/>
    <col min="6" max="6" width="99.140625" customWidth="1"/>
    <col min="7" max="7" width="47.42578125" customWidth="1"/>
    <col min="8" max="11" width="27.42578125" customWidth="1"/>
    <col min="12" max="12" width="46.85546875" customWidth="1"/>
    <col min="13" max="15" width="55.85546875" customWidth="1"/>
    <col min="16" max="16" width="83" customWidth="1"/>
    <col min="17" max="17" width="67" customWidth="1"/>
    <col min="18" max="19" width="55.85546875" customWidth="1"/>
    <col min="20" max="20" width="56.42578125" customWidth="1"/>
    <col min="21" max="22" width="21.85546875" customWidth="1"/>
    <col min="23" max="23" width="22.140625" customWidth="1"/>
    <col min="24" max="24" width="25.28515625" customWidth="1"/>
    <col min="25" max="25" width="30.7109375" customWidth="1"/>
    <col min="26" max="32" width="33.5703125" customWidth="1"/>
    <col min="33" max="33" width="27.42578125" customWidth="1"/>
  </cols>
  <sheetData>
    <row r="1" spans="1:33" ht="40.5" customHeight="1" x14ac:dyDescent="0.25">
      <c r="A1" s="1"/>
      <c r="B1" s="123" t="s">
        <v>0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8"/>
      <c r="AG1" s="1"/>
    </row>
    <row r="2" spans="1:33" ht="66" customHeight="1" x14ac:dyDescent="0.25">
      <c r="A2" s="2"/>
      <c r="B2" s="100" t="s">
        <v>1</v>
      </c>
      <c r="C2" s="97"/>
      <c r="D2" s="97"/>
      <c r="E2" s="97"/>
      <c r="F2" s="97"/>
      <c r="G2" s="97"/>
      <c r="H2" s="97"/>
      <c r="I2" s="97"/>
      <c r="J2" s="97"/>
      <c r="K2" s="97"/>
      <c r="L2" s="98"/>
      <c r="M2" s="124" t="s">
        <v>2</v>
      </c>
      <c r="N2" s="97"/>
      <c r="O2" s="97"/>
      <c r="P2" s="97"/>
      <c r="Q2" s="97"/>
      <c r="R2" s="97"/>
      <c r="S2" s="98"/>
      <c r="T2" s="100" t="s">
        <v>3</v>
      </c>
      <c r="U2" s="97"/>
      <c r="V2" s="97"/>
      <c r="W2" s="97"/>
      <c r="X2" s="97"/>
      <c r="Y2" s="97"/>
      <c r="Z2" s="97"/>
      <c r="AA2" s="98"/>
      <c r="AB2" s="101" t="s">
        <v>4</v>
      </c>
      <c r="AC2" s="97"/>
      <c r="AD2" s="97"/>
      <c r="AE2" s="97"/>
      <c r="AF2" s="98"/>
      <c r="AG2" s="2"/>
    </row>
    <row r="3" spans="1:33" ht="61.5" customHeight="1" x14ac:dyDescent="0.25">
      <c r="A3" s="3" t="s">
        <v>5</v>
      </c>
      <c r="B3" s="3" t="s">
        <v>6</v>
      </c>
      <c r="C3" s="3" t="s">
        <v>7</v>
      </c>
      <c r="D3" s="3" t="s">
        <v>8</v>
      </c>
      <c r="E3" s="4" t="s">
        <v>9</v>
      </c>
      <c r="F3" s="3" t="s">
        <v>10</v>
      </c>
      <c r="G3" s="3" t="s">
        <v>11</v>
      </c>
      <c r="H3" s="3" t="s">
        <v>12</v>
      </c>
      <c r="I3" s="5" t="s">
        <v>13</v>
      </c>
      <c r="J3" s="3" t="s">
        <v>14</v>
      </c>
      <c r="K3" s="3" t="s">
        <v>15</v>
      </c>
      <c r="L3" s="3" t="s">
        <v>16</v>
      </c>
      <c r="M3" s="6" t="s">
        <v>17</v>
      </c>
      <c r="N3" s="7" t="s">
        <v>18</v>
      </c>
      <c r="O3" s="7" t="s">
        <v>19</v>
      </c>
      <c r="P3" s="3" t="s">
        <v>20</v>
      </c>
      <c r="Q3" s="3" t="s">
        <v>21</v>
      </c>
      <c r="R3" s="8" t="s">
        <v>22</v>
      </c>
      <c r="S3" s="8" t="s">
        <v>23</v>
      </c>
      <c r="T3" s="3" t="s">
        <v>7</v>
      </c>
      <c r="U3" s="3" t="s">
        <v>24</v>
      </c>
      <c r="V3" s="3" t="s">
        <v>25</v>
      </c>
      <c r="W3" s="3" t="s">
        <v>14</v>
      </c>
      <c r="X3" s="3" t="s">
        <v>15</v>
      </c>
      <c r="Y3" s="3" t="s">
        <v>26</v>
      </c>
      <c r="Z3" s="3" t="s">
        <v>27</v>
      </c>
      <c r="AA3" s="3" t="s">
        <v>13</v>
      </c>
      <c r="AB3" s="9" t="s">
        <v>28</v>
      </c>
      <c r="AC3" s="3" t="s">
        <v>29</v>
      </c>
      <c r="AD3" s="4" t="s">
        <v>30</v>
      </c>
      <c r="AE3" s="3" t="s">
        <v>31</v>
      </c>
      <c r="AF3" s="3" t="s">
        <v>32</v>
      </c>
      <c r="AG3" s="10"/>
    </row>
    <row r="4" spans="1:33" ht="55.5" customHeight="1" x14ac:dyDescent="0.25">
      <c r="A4" s="81" t="s">
        <v>33</v>
      </c>
      <c r="B4" s="113" t="s">
        <v>34</v>
      </c>
      <c r="C4" s="120" t="s">
        <v>35</v>
      </c>
      <c r="D4" s="121" t="s">
        <v>36</v>
      </c>
      <c r="E4" s="102">
        <v>400000000</v>
      </c>
      <c r="F4" s="11" t="s">
        <v>37</v>
      </c>
      <c r="G4" s="12" t="s">
        <v>38</v>
      </c>
      <c r="H4" s="12">
        <v>0</v>
      </c>
      <c r="I4" s="13">
        <v>3</v>
      </c>
      <c r="J4" s="12" t="s">
        <v>39</v>
      </c>
      <c r="K4" s="12" t="s">
        <v>40</v>
      </c>
      <c r="L4" s="81" t="s">
        <v>41</v>
      </c>
      <c r="M4" s="14">
        <v>0</v>
      </c>
      <c r="N4" s="15">
        <f t="shared" ref="N4:N45" si="0">IF((M4/I4)&gt;1,1,M4/I4)</f>
        <v>0</v>
      </c>
      <c r="O4" s="83">
        <f>AVERAGE(N4:N7)</f>
        <v>0</v>
      </c>
      <c r="P4" s="16"/>
      <c r="Q4" s="17">
        <f t="shared" ref="Q4:Q45" si="1">0</f>
        <v>0</v>
      </c>
      <c r="R4" s="83"/>
      <c r="S4" s="81"/>
      <c r="T4" s="81" t="s">
        <v>42</v>
      </c>
      <c r="U4" s="81">
        <v>450104800</v>
      </c>
      <c r="V4" s="81" t="s">
        <v>43</v>
      </c>
      <c r="W4" s="81" t="s">
        <v>39</v>
      </c>
      <c r="X4" s="81" t="s">
        <v>40</v>
      </c>
      <c r="Y4" s="81">
        <v>0</v>
      </c>
      <c r="Z4" s="115">
        <v>1</v>
      </c>
      <c r="AA4" s="115">
        <v>0.25</v>
      </c>
      <c r="AB4" s="116">
        <v>0</v>
      </c>
      <c r="AC4" s="117">
        <f>IF((AB4/Z4)&gt;1,1,AB4/Z4)</f>
        <v>0</v>
      </c>
      <c r="AD4" s="118">
        <f>+E4</f>
        <v>400000000</v>
      </c>
      <c r="AE4" s="118">
        <f>SUM(Q4:Q7)</f>
        <v>0</v>
      </c>
      <c r="AF4" s="119">
        <f>IF((AE4/AD4)&gt;1,1,AE4/AD4)</f>
        <v>0</v>
      </c>
      <c r="AG4" s="18"/>
    </row>
    <row r="5" spans="1:33" ht="44.25" customHeight="1" x14ac:dyDescent="0.25">
      <c r="A5" s="104"/>
      <c r="B5" s="104"/>
      <c r="C5" s="104"/>
      <c r="D5" s="110"/>
      <c r="E5" s="104"/>
      <c r="F5" s="11" t="s">
        <v>44</v>
      </c>
      <c r="G5" s="12" t="s">
        <v>38</v>
      </c>
      <c r="H5" s="12">
        <v>0</v>
      </c>
      <c r="I5" s="13">
        <v>2</v>
      </c>
      <c r="J5" s="12" t="s">
        <v>39</v>
      </c>
      <c r="K5" s="12" t="s">
        <v>40</v>
      </c>
      <c r="L5" s="104"/>
      <c r="M5" s="14">
        <v>0</v>
      </c>
      <c r="N5" s="15">
        <f t="shared" si="0"/>
        <v>0</v>
      </c>
      <c r="O5" s="104"/>
      <c r="P5" s="16"/>
      <c r="Q5" s="17">
        <f t="shared" si="1"/>
        <v>0</v>
      </c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8"/>
    </row>
    <row r="6" spans="1:33" ht="44.25" customHeight="1" x14ac:dyDescent="0.25">
      <c r="A6" s="104"/>
      <c r="B6" s="104"/>
      <c r="C6" s="104"/>
      <c r="D6" s="110"/>
      <c r="E6" s="104"/>
      <c r="F6" s="11" t="s">
        <v>45</v>
      </c>
      <c r="G6" s="12" t="s">
        <v>38</v>
      </c>
      <c r="H6" s="12">
        <v>0</v>
      </c>
      <c r="I6" s="13">
        <v>1</v>
      </c>
      <c r="J6" s="12" t="s">
        <v>39</v>
      </c>
      <c r="K6" s="12" t="s">
        <v>40</v>
      </c>
      <c r="L6" s="104"/>
      <c r="M6" s="14">
        <v>0</v>
      </c>
      <c r="N6" s="15">
        <f t="shared" si="0"/>
        <v>0</v>
      </c>
      <c r="O6" s="104"/>
      <c r="P6" s="16"/>
      <c r="Q6" s="17">
        <f t="shared" si="1"/>
        <v>0</v>
      </c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8"/>
    </row>
    <row r="7" spans="1:33" ht="44.25" customHeight="1" x14ac:dyDescent="0.25">
      <c r="A7" s="104"/>
      <c r="B7" s="82"/>
      <c r="C7" s="82"/>
      <c r="D7" s="87"/>
      <c r="E7" s="82"/>
      <c r="F7" s="11" t="s">
        <v>46</v>
      </c>
      <c r="G7" s="12" t="s">
        <v>47</v>
      </c>
      <c r="H7" s="12">
        <v>0</v>
      </c>
      <c r="I7" s="19">
        <v>0.25</v>
      </c>
      <c r="J7" s="12" t="s">
        <v>39</v>
      </c>
      <c r="K7" s="12" t="s">
        <v>48</v>
      </c>
      <c r="L7" s="82"/>
      <c r="M7" s="14">
        <v>0</v>
      </c>
      <c r="N7" s="15">
        <f t="shared" si="0"/>
        <v>0</v>
      </c>
      <c r="O7" s="82"/>
      <c r="P7" s="16"/>
      <c r="Q7" s="17">
        <f t="shared" si="1"/>
        <v>0</v>
      </c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18"/>
    </row>
    <row r="8" spans="1:33" ht="44.25" customHeight="1" x14ac:dyDescent="0.25">
      <c r="A8" s="104"/>
      <c r="B8" s="113" t="s">
        <v>49</v>
      </c>
      <c r="C8" s="81" t="s">
        <v>50</v>
      </c>
      <c r="D8" s="91" t="s">
        <v>51</v>
      </c>
      <c r="E8" s="102">
        <v>450000000</v>
      </c>
      <c r="F8" s="11" t="s">
        <v>52</v>
      </c>
      <c r="G8" s="12" t="s">
        <v>53</v>
      </c>
      <c r="H8" s="12">
        <v>0</v>
      </c>
      <c r="I8" s="13">
        <v>5</v>
      </c>
      <c r="J8" s="12" t="s">
        <v>39</v>
      </c>
      <c r="K8" s="12" t="s">
        <v>40</v>
      </c>
      <c r="L8" s="81" t="s">
        <v>41</v>
      </c>
      <c r="M8" s="14">
        <v>0</v>
      </c>
      <c r="N8" s="15">
        <f t="shared" si="0"/>
        <v>0</v>
      </c>
      <c r="O8" s="83">
        <f>AVERAGE(N8:N11)</f>
        <v>0</v>
      </c>
      <c r="P8" s="16"/>
      <c r="Q8" s="17">
        <f t="shared" si="1"/>
        <v>0</v>
      </c>
      <c r="R8" s="83"/>
      <c r="S8" s="81"/>
      <c r="T8" s="81" t="s">
        <v>54</v>
      </c>
      <c r="U8" s="81">
        <v>450102800</v>
      </c>
      <c r="V8" s="81" t="s">
        <v>55</v>
      </c>
      <c r="W8" s="81" t="s">
        <v>39</v>
      </c>
      <c r="X8" s="81" t="s">
        <v>40</v>
      </c>
      <c r="Y8" s="81">
        <v>0</v>
      </c>
      <c r="Z8" s="115">
        <v>10</v>
      </c>
      <c r="AA8" s="115">
        <v>3</v>
      </c>
      <c r="AB8" s="122">
        <v>0</v>
      </c>
      <c r="AC8" s="83">
        <f>IF((AB8/Z8)&gt;1,1,AB8/Z8)</f>
        <v>0</v>
      </c>
      <c r="AD8" s="118">
        <f>+E8</f>
        <v>450000000</v>
      </c>
      <c r="AE8" s="118">
        <f>SUM(Q8:Q11)</f>
        <v>0</v>
      </c>
      <c r="AF8" s="125">
        <f>IF((AE8/AD8)&gt;1,1,AE8/AD8)</f>
        <v>0</v>
      </c>
      <c r="AG8" s="18"/>
    </row>
    <row r="9" spans="1:33" ht="44.25" customHeight="1" x14ac:dyDescent="0.25">
      <c r="A9" s="104"/>
      <c r="B9" s="104"/>
      <c r="C9" s="104"/>
      <c r="D9" s="110"/>
      <c r="E9" s="104"/>
      <c r="F9" s="11" t="s">
        <v>56</v>
      </c>
      <c r="G9" s="12" t="s">
        <v>57</v>
      </c>
      <c r="H9" s="12">
        <v>0</v>
      </c>
      <c r="I9" s="13">
        <v>20</v>
      </c>
      <c r="J9" s="12" t="s">
        <v>39</v>
      </c>
      <c r="K9" s="12" t="s">
        <v>40</v>
      </c>
      <c r="L9" s="104"/>
      <c r="M9" s="14">
        <v>0</v>
      </c>
      <c r="N9" s="15">
        <f t="shared" si="0"/>
        <v>0</v>
      </c>
      <c r="O9" s="104"/>
      <c r="P9" s="16"/>
      <c r="Q9" s="17">
        <f t="shared" si="1"/>
        <v>0</v>
      </c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8"/>
    </row>
    <row r="10" spans="1:33" ht="44.25" customHeight="1" x14ac:dyDescent="0.25">
      <c r="A10" s="104"/>
      <c r="B10" s="104"/>
      <c r="C10" s="104"/>
      <c r="D10" s="110"/>
      <c r="E10" s="104"/>
      <c r="F10" s="11" t="s">
        <v>58</v>
      </c>
      <c r="G10" s="12" t="s">
        <v>59</v>
      </c>
      <c r="H10" s="12">
        <v>0</v>
      </c>
      <c r="I10" s="13">
        <v>1</v>
      </c>
      <c r="J10" s="12" t="s">
        <v>39</v>
      </c>
      <c r="K10" s="12" t="s">
        <v>40</v>
      </c>
      <c r="L10" s="104"/>
      <c r="M10" s="14">
        <v>0</v>
      </c>
      <c r="N10" s="15">
        <f t="shared" si="0"/>
        <v>0</v>
      </c>
      <c r="O10" s="104"/>
      <c r="P10" s="16"/>
      <c r="Q10" s="17">
        <f t="shared" si="1"/>
        <v>0</v>
      </c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8"/>
    </row>
    <row r="11" spans="1:33" ht="44.25" customHeight="1" x14ac:dyDescent="0.25">
      <c r="A11" s="104"/>
      <c r="B11" s="82"/>
      <c r="C11" s="82"/>
      <c r="D11" s="87"/>
      <c r="E11" s="82"/>
      <c r="F11" s="11" t="s">
        <v>60</v>
      </c>
      <c r="G11" s="12" t="s">
        <v>61</v>
      </c>
      <c r="H11" s="12">
        <v>0</v>
      </c>
      <c r="I11" s="13">
        <v>1</v>
      </c>
      <c r="J11" s="20" t="s">
        <v>62</v>
      </c>
      <c r="K11" s="12" t="s">
        <v>40</v>
      </c>
      <c r="L11" s="82"/>
      <c r="M11" s="14">
        <v>0</v>
      </c>
      <c r="N11" s="15">
        <f t="shared" si="0"/>
        <v>0</v>
      </c>
      <c r="O11" s="82"/>
      <c r="P11" s="16"/>
      <c r="Q11" s="17">
        <f t="shared" si="1"/>
        <v>0</v>
      </c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18"/>
    </row>
    <row r="12" spans="1:33" ht="69.75" customHeight="1" x14ac:dyDescent="0.25">
      <c r="A12" s="104"/>
      <c r="B12" s="113" t="s">
        <v>63</v>
      </c>
      <c r="C12" s="81" t="s">
        <v>64</v>
      </c>
      <c r="D12" s="91" t="s">
        <v>65</v>
      </c>
      <c r="E12" s="102">
        <v>30000000</v>
      </c>
      <c r="F12" s="11" t="s">
        <v>66</v>
      </c>
      <c r="G12" s="12" t="s">
        <v>67</v>
      </c>
      <c r="H12" s="12">
        <v>0</v>
      </c>
      <c r="I12" s="13">
        <v>1</v>
      </c>
      <c r="J12" s="12" t="s">
        <v>39</v>
      </c>
      <c r="K12" s="12" t="s">
        <v>40</v>
      </c>
      <c r="L12" s="81" t="s">
        <v>41</v>
      </c>
      <c r="M12" s="14">
        <v>0</v>
      </c>
      <c r="N12" s="15">
        <f t="shared" si="0"/>
        <v>0</v>
      </c>
      <c r="O12" s="83">
        <f>AVERAGE(N12:N13)</f>
        <v>0</v>
      </c>
      <c r="P12" s="16"/>
      <c r="Q12" s="17">
        <f t="shared" si="1"/>
        <v>0</v>
      </c>
      <c r="R12" s="81"/>
      <c r="S12" s="81"/>
      <c r="T12" s="81" t="s">
        <v>68</v>
      </c>
      <c r="U12" s="81" t="s">
        <v>69</v>
      </c>
      <c r="V12" s="81" t="s">
        <v>70</v>
      </c>
      <c r="W12" s="81" t="s">
        <v>39</v>
      </c>
      <c r="X12" s="81" t="s">
        <v>40</v>
      </c>
      <c r="Y12" s="81">
        <v>0</v>
      </c>
      <c r="Z12" s="81">
        <v>1</v>
      </c>
      <c r="AA12" s="81">
        <v>0.25</v>
      </c>
      <c r="AB12" s="122">
        <v>0</v>
      </c>
      <c r="AC12" s="83">
        <f>IF((AB12/Z12)&gt;1,1,AB12/Z12)</f>
        <v>0</v>
      </c>
      <c r="AD12" s="102">
        <f>+E12</f>
        <v>30000000</v>
      </c>
      <c r="AE12" s="102">
        <f>SUM(Q12:Q13)</f>
        <v>0</v>
      </c>
      <c r="AF12" s="125">
        <f>IF((AE12/AD12)&gt;1,1,AE12/AD12)</f>
        <v>0</v>
      </c>
      <c r="AG12" s="18"/>
    </row>
    <row r="13" spans="1:33" ht="45.75" customHeight="1" x14ac:dyDescent="0.25">
      <c r="A13" s="82"/>
      <c r="B13" s="82"/>
      <c r="C13" s="82"/>
      <c r="D13" s="87"/>
      <c r="E13" s="82"/>
      <c r="F13" s="11" t="s">
        <v>71</v>
      </c>
      <c r="G13" s="12" t="s">
        <v>72</v>
      </c>
      <c r="H13" s="12">
        <v>0</v>
      </c>
      <c r="I13" s="13">
        <v>1</v>
      </c>
      <c r="J13" s="12" t="s">
        <v>39</v>
      </c>
      <c r="K13" s="12" t="s">
        <v>40</v>
      </c>
      <c r="L13" s="82"/>
      <c r="M13" s="14">
        <v>0</v>
      </c>
      <c r="N13" s="15">
        <f t="shared" si="0"/>
        <v>0</v>
      </c>
      <c r="O13" s="82"/>
      <c r="P13" s="16"/>
      <c r="Q13" s="17">
        <f t="shared" si="1"/>
        <v>0</v>
      </c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90"/>
      <c r="AD13" s="82"/>
      <c r="AE13" s="90"/>
      <c r="AF13" s="90"/>
      <c r="AG13" s="18"/>
    </row>
    <row r="14" spans="1:33" ht="54" customHeight="1" x14ac:dyDescent="0.25">
      <c r="A14" s="81" t="s">
        <v>73</v>
      </c>
      <c r="B14" s="81" t="s">
        <v>74</v>
      </c>
      <c r="C14" s="81" t="s">
        <v>75</v>
      </c>
      <c r="D14" s="91" t="s">
        <v>76</v>
      </c>
      <c r="E14" s="102">
        <v>10000000</v>
      </c>
      <c r="F14" s="11" t="s">
        <v>77</v>
      </c>
      <c r="G14" s="12" t="s">
        <v>78</v>
      </c>
      <c r="H14" s="12">
        <v>0</v>
      </c>
      <c r="I14" s="19">
        <v>0.25</v>
      </c>
      <c r="J14" s="12" t="s">
        <v>39</v>
      </c>
      <c r="K14" s="12" t="s">
        <v>48</v>
      </c>
      <c r="L14" s="81" t="s">
        <v>41</v>
      </c>
      <c r="M14" s="14">
        <v>0</v>
      </c>
      <c r="N14" s="15">
        <f t="shared" si="0"/>
        <v>0</v>
      </c>
      <c r="O14" s="83">
        <f>AVERAGE(N14:N15)</f>
        <v>0</v>
      </c>
      <c r="P14" s="16"/>
      <c r="Q14" s="17">
        <f t="shared" si="1"/>
        <v>0</v>
      </c>
      <c r="R14" s="81"/>
      <c r="S14" s="81"/>
      <c r="T14" s="81" t="s">
        <v>79</v>
      </c>
      <c r="U14" s="81">
        <v>450102600</v>
      </c>
      <c r="V14" s="81" t="s">
        <v>80</v>
      </c>
      <c r="W14" s="81" t="s">
        <v>39</v>
      </c>
      <c r="X14" s="81" t="s">
        <v>40</v>
      </c>
      <c r="Y14" s="81">
        <v>0</v>
      </c>
      <c r="Z14" s="115">
        <v>1</v>
      </c>
      <c r="AA14" s="115">
        <v>0.25</v>
      </c>
      <c r="AB14" s="122">
        <v>0</v>
      </c>
      <c r="AC14" s="83">
        <f>IF((AB14/Z14)&gt;1,1,AB14/Z14)</f>
        <v>0</v>
      </c>
      <c r="AD14" s="102">
        <f>+E14</f>
        <v>10000000</v>
      </c>
      <c r="AE14" s="102">
        <f>SUM(Q14:Q15)</f>
        <v>0</v>
      </c>
      <c r="AF14" s="125">
        <f>IF((AE14/AD14)&gt;1,1,AE14/AD14)</f>
        <v>0</v>
      </c>
      <c r="AG14" s="18"/>
    </row>
    <row r="15" spans="1:33" ht="75.75" customHeight="1" x14ac:dyDescent="0.25">
      <c r="A15" s="104"/>
      <c r="B15" s="82"/>
      <c r="C15" s="82"/>
      <c r="D15" s="87"/>
      <c r="E15" s="82"/>
      <c r="F15" s="11" t="s">
        <v>81</v>
      </c>
      <c r="G15" s="12" t="s">
        <v>82</v>
      </c>
      <c r="H15" s="12">
        <v>0</v>
      </c>
      <c r="I15" s="19">
        <v>0.25</v>
      </c>
      <c r="J15" s="12" t="s">
        <v>39</v>
      </c>
      <c r="K15" s="12" t="s">
        <v>40</v>
      </c>
      <c r="L15" s="82"/>
      <c r="M15" s="14">
        <v>0</v>
      </c>
      <c r="N15" s="15">
        <f t="shared" si="0"/>
        <v>0</v>
      </c>
      <c r="O15" s="82"/>
      <c r="P15" s="16"/>
      <c r="Q15" s="17">
        <f t="shared" si="1"/>
        <v>0</v>
      </c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90"/>
      <c r="AD15" s="82"/>
      <c r="AE15" s="90"/>
      <c r="AF15" s="90"/>
      <c r="AG15" s="18"/>
    </row>
    <row r="16" spans="1:33" ht="44.25" customHeight="1" x14ac:dyDescent="0.25">
      <c r="A16" s="104"/>
      <c r="B16" s="81" t="s">
        <v>83</v>
      </c>
      <c r="C16" s="81" t="s">
        <v>84</v>
      </c>
      <c r="D16" s="91" t="s">
        <v>85</v>
      </c>
      <c r="E16" s="85">
        <v>120000000</v>
      </c>
      <c r="F16" s="11" t="s">
        <v>86</v>
      </c>
      <c r="G16" s="12" t="s">
        <v>87</v>
      </c>
      <c r="H16" s="12">
        <v>0</v>
      </c>
      <c r="I16" s="19">
        <v>0.25</v>
      </c>
      <c r="J16" s="12" t="s">
        <v>88</v>
      </c>
      <c r="K16" s="12" t="s">
        <v>89</v>
      </c>
      <c r="L16" s="81" t="s">
        <v>90</v>
      </c>
      <c r="M16" s="14">
        <v>0</v>
      </c>
      <c r="N16" s="15">
        <f t="shared" si="0"/>
        <v>0</v>
      </c>
      <c r="O16" s="83">
        <f>AVERAGE(N16:N17)</f>
        <v>0</v>
      </c>
      <c r="P16" s="16"/>
      <c r="Q16" s="17">
        <f t="shared" si="1"/>
        <v>0</v>
      </c>
      <c r="R16" s="81"/>
      <c r="S16" s="81"/>
      <c r="T16" s="81" t="s">
        <v>91</v>
      </c>
      <c r="U16" s="81">
        <v>240204112</v>
      </c>
      <c r="V16" s="81" t="s">
        <v>87</v>
      </c>
      <c r="W16" s="81" t="s">
        <v>39</v>
      </c>
      <c r="X16" s="81" t="s">
        <v>92</v>
      </c>
      <c r="Y16" s="81">
        <v>0</v>
      </c>
      <c r="Z16" s="115">
        <v>4</v>
      </c>
      <c r="AA16" s="115">
        <v>1</v>
      </c>
      <c r="AB16" s="122">
        <v>0</v>
      </c>
      <c r="AC16" s="83">
        <f>IF((AB16/Z16)&gt;1,1,AB16/Z16)</f>
        <v>0</v>
      </c>
      <c r="AD16" s="102">
        <f>+E16</f>
        <v>120000000</v>
      </c>
      <c r="AE16" s="102">
        <f>SUM(Q16:Q17)</f>
        <v>0</v>
      </c>
      <c r="AF16" s="125">
        <f>IF((AE16/AD16)&gt;1,1,AE16/AD16)</f>
        <v>0</v>
      </c>
      <c r="AG16" s="18"/>
    </row>
    <row r="17" spans="1:33" ht="44.25" customHeight="1" x14ac:dyDescent="0.25">
      <c r="A17" s="104"/>
      <c r="B17" s="82"/>
      <c r="C17" s="82"/>
      <c r="D17" s="87"/>
      <c r="E17" s="82"/>
      <c r="F17" s="11" t="s">
        <v>93</v>
      </c>
      <c r="G17" s="12" t="s">
        <v>94</v>
      </c>
      <c r="H17" s="12">
        <v>0</v>
      </c>
      <c r="I17" s="13">
        <v>1.853</v>
      </c>
      <c r="J17" s="12" t="s">
        <v>88</v>
      </c>
      <c r="K17" s="12" t="s">
        <v>89</v>
      </c>
      <c r="L17" s="82"/>
      <c r="M17" s="14">
        <v>0</v>
      </c>
      <c r="N17" s="15">
        <f t="shared" si="0"/>
        <v>0</v>
      </c>
      <c r="O17" s="82"/>
      <c r="P17" s="16"/>
      <c r="Q17" s="17">
        <f t="shared" si="1"/>
        <v>0</v>
      </c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90"/>
      <c r="AD17" s="82"/>
      <c r="AE17" s="90"/>
      <c r="AF17" s="90"/>
      <c r="AG17" s="18"/>
    </row>
    <row r="18" spans="1:33" ht="44.25" customHeight="1" x14ac:dyDescent="0.25">
      <c r="A18" s="104"/>
      <c r="B18" s="113" t="s">
        <v>95</v>
      </c>
      <c r="C18" s="81" t="s">
        <v>96</v>
      </c>
      <c r="D18" s="91" t="s">
        <v>97</v>
      </c>
      <c r="E18" s="102">
        <v>520000000</v>
      </c>
      <c r="F18" s="11" t="s">
        <v>98</v>
      </c>
      <c r="G18" s="12" t="s">
        <v>99</v>
      </c>
      <c r="H18" s="12">
        <v>0</v>
      </c>
      <c r="I18" s="13">
        <v>1</v>
      </c>
      <c r="J18" s="12" t="s">
        <v>39</v>
      </c>
      <c r="K18" s="12" t="s">
        <v>40</v>
      </c>
      <c r="L18" s="81" t="s">
        <v>41</v>
      </c>
      <c r="M18" s="14">
        <v>0</v>
      </c>
      <c r="N18" s="15">
        <f t="shared" si="0"/>
        <v>0</v>
      </c>
      <c r="O18" s="83">
        <f>AVERAGE(N18:N20)</f>
        <v>0</v>
      </c>
      <c r="P18" s="16"/>
      <c r="Q18" s="17">
        <f t="shared" si="1"/>
        <v>0</v>
      </c>
      <c r="R18" s="81"/>
      <c r="S18" s="81"/>
      <c r="T18" s="81" t="s">
        <v>100</v>
      </c>
      <c r="U18" s="81">
        <v>240900900</v>
      </c>
      <c r="V18" s="81" t="s">
        <v>43</v>
      </c>
      <c r="W18" s="81" t="s">
        <v>39</v>
      </c>
      <c r="X18" s="81" t="s">
        <v>40</v>
      </c>
      <c r="Y18" s="81">
        <v>0</v>
      </c>
      <c r="Z18" s="115">
        <v>1</v>
      </c>
      <c r="AA18" s="115">
        <v>0.25</v>
      </c>
      <c r="AB18" s="122">
        <v>0</v>
      </c>
      <c r="AC18" s="83">
        <f>IF((AB18/Z18)&gt;1,1,AB18/Z18)</f>
        <v>0</v>
      </c>
      <c r="AD18" s="102">
        <f>+E18</f>
        <v>520000000</v>
      </c>
      <c r="AE18" s="102">
        <f>SUM(Q18:Q20)</f>
        <v>0</v>
      </c>
      <c r="AF18" s="125">
        <f>IF((AE18/AD18)&gt;1,1,AE18/AD18)</f>
        <v>0</v>
      </c>
      <c r="AG18" s="18"/>
    </row>
    <row r="19" spans="1:33" ht="44.25" customHeight="1" x14ac:dyDescent="0.25">
      <c r="A19" s="104"/>
      <c r="B19" s="104"/>
      <c r="C19" s="104"/>
      <c r="D19" s="110"/>
      <c r="E19" s="104"/>
      <c r="F19" s="11" t="s">
        <v>101</v>
      </c>
      <c r="G19" s="12" t="s">
        <v>102</v>
      </c>
      <c r="H19" s="12">
        <v>0</v>
      </c>
      <c r="I19" s="13">
        <v>20</v>
      </c>
      <c r="J19" s="20" t="s">
        <v>62</v>
      </c>
      <c r="K19" s="12" t="s">
        <v>40</v>
      </c>
      <c r="L19" s="104"/>
      <c r="M19" s="14">
        <v>0</v>
      </c>
      <c r="N19" s="15">
        <f t="shared" si="0"/>
        <v>0</v>
      </c>
      <c r="O19" s="104"/>
      <c r="P19" s="16"/>
      <c r="Q19" s="17">
        <f t="shared" si="1"/>
        <v>0</v>
      </c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8"/>
    </row>
    <row r="20" spans="1:33" ht="44.25" customHeight="1" x14ac:dyDescent="0.25">
      <c r="A20" s="104"/>
      <c r="B20" s="82"/>
      <c r="C20" s="82"/>
      <c r="D20" s="87"/>
      <c r="E20" s="82"/>
      <c r="F20" s="11" t="s">
        <v>103</v>
      </c>
      <c r="G20" s="12" t="s">
        <v>104</v>
      </c>
      <c r="H20" s="12">
        <v>0</v>
      </c>
      <c r="I20" s="13">
        <v>2</v>
      </c>
      <c r="J20" s="12" t="s">
        <v>39</v>
      </c>
      <c r="K20" s="12" t="s">
        <v>40</v>
      </c>
      <c r="L20" s="82"/>
      <c r="M20" s="14">
        <v>0</v>
      </c>
      <c r="N20" s="15">
        <f t="shared" si="0"/>
        <v>0</v>
      </c>
      <c r="O20" s="82"/>
      <c r="P20" s="16"/>
      <c r="Q20" s="17">
        <f t="shared" si="1"/>
        <v>0</v>
      </c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90"/>
      <c r="AF20" s="82"/>
      <c r="AG20" s="18"/>
    </row>
    <row r="21" spans="1:33" ht="44.25" customHeight="1" x14ac:dyDescent="0.25">
      <c r="A21" s="104"/>
      <c r="B21" s="113" t="s">
        <v>105</v>
      </c>
      <c r="C21" s="81" t="s">
        <v>106</v>
      </c>
      <c r="D21" s="91" t="s">
        <v>107</v>
      </c>
      <c r="E21" s="102">
        <v>50000000</v>
      </c>
      <c r="F21" s="11" t="s">
        <v>108</v>
      </c>
      <c r="G21" s="12" t="s">
        <v>109</v>
      </c>
      <c r="H21" s="12">
        <v>0</v>
      </c>
      <c r="I21" s="13">
        <v>10</v>
      </c>
      <c r="J21" s="20" t="s">
        <v>62</v>
      </c>
      <c r="K21" s="12" t="s">
        <v>40</v>
      </c>
      <c r="L21" s="81" t="s">
        <v>41</v>
      </c>
      <c r="M21" s="14">
        <v>0</v>
      </c>
      <c r="N21" s="15">
        <f t="shared" si="0"/>
        <v>0</v>
      </c>
      <c r="O21" s="83">
        <f>AVERAGE(N21:N22)</f>
        <v>0</v>
      </c>
      <c r="P21" s="16"/>
      <c r="Q21" s="17">
        <f t="shared" si="1"/>
        <v>0</v>
      </c>
      <c r="R21" s="81"/>
      <c r="S21" s="81"/>
      <c r="T21" s="81" t="s">
        <v>110</v>
      </c>
      <c r="U21" s="81" t="s">
        <v>111</v>
      </c>
      <c r="V21" s="81" t="s">
        <v>112</v>
      </c>
      <c r="W21" s="81" t="s">
        <v>39</v>
      </c>
      <c r="X21" s="81" t="s">
        <v>40</v>
      </c>
      <c r="Y21" s="81">
        <v>0</v>
      </c>
      <c r="Z21" s="115">
        <v>10</v>
      </c>
      <c r="AA21" s="115">
        <v>5</v>
      </c>
      <c r="AB21" s="122">
        <v>0</v>
      </c>
      <c r="AC21" s="83">
        <f>IF((AB21/Z21)&gt;1,1,AB21/Z21)</f>
        <v>0</v>
      </c>
      <c r="AD21" s="102">
        <f>+E21</f>
        <v>50000000</v>
      </c>
      <c r="AE21" s="102">
        <f>SUM(Q21:Q22)</f>
        <v>0</v>
      </c>
      <c r="AF21" s="125">
        <f>IF((AE21/AD21)&gt;1,1,AE21/AD21)</f>
        <v>0</v>
      </c>
      <c r="AG21" s="18"/>
    </row>
    <row r="22" spans="1:33" ht="75.75" customHeight="1" x14ac:dyDescent="0.25">
      <c r="A22" s="82"/>
      <c r="B22" s="82"/>
      <c r="C22" s="82"/>
      <c r="D22" s="87"/>
      <c r="E22" s="82"/>
      <c r="F22" s="11" t="s">
        <v>113</v>
      </c>
      <c r="G22" s="12" t="s">
        <v>114</v>
      </c>
      <c r="H22" s="12">
        <v>0</v>
      </c>
      <c r="I22" s="13">
        <v>5</v>
      </c>
      <c r="J22" s="12" t="s">
        <v>39</v>
      </c>
      <c r="K22" s="12" t="s">
        <v>40</v>
      </c>
      <c r="L22" s="82"/>
      <c r="M22" s="14">
        <v>0</v>
      </c>
      <c r="N22" s="15">
        <f t="shared" si="0"/>
        <v>0</v>
      </c>
      <c r="O22" s="90"/>
      <c r="P22" s="16"/>
      <c r="Q22" s="17">
        <f t="shared" si="1"/>
        <v>0</v>
      </c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90"/>
      <c r="AF22" s="82"/>
      <c r="AG22" s="18"/>
    </row>
    <row r="23" spans="1:33" ht="44.25" customHeight="1" x14ac:dyDescent="0.25">
      <c r="A23" s="81" t="s">
        <v>115</v>
      </c>
      <c r="B23" s="81" t="s">
        <v>116</v>
      </c>
      <c r="C23" s="81" t="s">
        <v>117</v>
      </c>
      <c r="D23" s="91" t="s">
        <v>118</v>
      </c>
      <c r="E23" s="102">
        <v>450000000</v>
      </c>
      <c r="F23" s="11" t="s">
        <v>119</v>
      </c>
      <c r="G23" s="12" t="s">
        <v>120</v>
      </c>
      <c r="H23" s="12">
        <v>0</v>
      </c>
      <c r="I23" s="13">
        <v>4</v>
      </c>
      <c r="J23" s="12" t="s">
        <v>39</v>
      </c>
      <c r="K23" s="12" t="s">
        <v>121</v>
      </c>
      <c r="L23" s="81" t="s">
        <v>41</v>
      </c>
      <c r="M23" s="14">
        <v>0</v>
      </c>
      <c r="N23" s="15">
        <f t="shared" si="0"/>
        <v>0</v>
      </c>
      <c r="O23" s="83">
        <f>AVERAGE(N23:N24)</f>
        <v>0</v>
      </c>
      <c r="P23" s="16"/>
      <c r="Q23" s="17">
        <f t="shared" si="1"/>
        <v>0</v>
      </c>
      <c r="R23" s="81"/>
      <c r="S23" s="81"/>
      <c r="T23" s="81" t="s">
        <v>122</v>
      </c>
      <c r="U23" s="81">
        <v>459901900</v>
      </c>
      <c r="V23" s="81" t="s">
        <v>123</v>
      </c>
      <c r="W23" s="81" t="s">
        <v>39</v>
      </c>
      <c r="X23" s="81" t="s">
        <v>40</v>
      </c>
      <c r="Y23" s="81">
        <v>0</v>
      </c>
      <c r="Z23" s="115">
        <v>1</v>
      </c>
      <c r="AA23" s="115">
        <v>0.2</v>
      </c>
      <c r="AB23" s="122">
        <v>0</v>
      </c>
      <c r="AC23" s="83">
        <f>IF((AB23/Z23)&gt;1,1,AB23/Z23)</f>
        <v>0</v>
      </c>
      <c r="AD23" s="102">
        <f>+E23</f>
        <v>450000000</v>
      </c>
      <c r="AE23" s="102">
        <f>SUM(Q23:Q24)</f>
        <v>0</v>
      </c>
      <c r="AF23" s="125">
        <f>IF((AE23/AD23)&gt;1,1,AE23/AD23)</f>
        <v>0</v>
      </c>
      <c r="AG23" s="18"/>
    </row>
    <row r="24" spans="1:33" ht="67.5" customHeight="1" x14ac:dyDescent="0.25">
      <c r="A24" s="104"/>
      <c r="B24" s="82"/>
      <c r="C24" s="90"/>
      <c r="D24" s="92"/>
      <c r="E24" s="82"/>
      <c r="F24" s="11" t="s">
        <v>124</v>
      </c>
      <c r="G24" s="12" t="s">
        <v>125</v>
      </c>
      <c r="H24" s="12">
        <v>0</v>
      </c>
      <c r="I24" s="21">
        <v>0.2</v>
      </c>
      <c r="J24" s="12" t="s">
        <v>39</v>
      </c>
      <c r="K24" s="12" t="s">
        <v>48</v>
      </c>
      <c r="L24" s="82"/>
      <c r="M24" s="14">
        <v>0</v>
      </c>
      <c r="N24" s="15">
        <f t="shared" si="0"/>
        <v>0</v>
      </c>
      <c r="O24" s="90"/>
      <c r="P24" s="16"/>
      <c r="Q24" s="17">
        <f t="shared" si="1"/>
        <v>0</v>
      </c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90"/>
      <c r="AF24" s="82"/>
      <c r="AG24" s="18"/>
    </row>
    <row r="25" spans="1:33" ht="74.25" customHeight="1" x14ac:dyDescent="0.25">
      <c r="A25" s="104"/>
      <c r="B25" s="113" t="s">
        <v>126</v>
      </c>
      <c r="C25" s="81" t="s">
        <v>127</v>
      </c>
      <c r="D25" s="91" t="s">
        <v>128</v>
      </c>
      <c r="E25" s="102">
        <v>150000000</v>
      </c>
      <c r="F25" s="11" t="s">
        <v>129</v>
      </c>
      <c r="G25" s="12" t="s">
        <v>130</v>
      </c>
      <c r="H25" s="12">
        <v>0</v>
      </c>
      <c r="I25" s="13">
        <v>2</v>
      </c>
      <c r="J25" s="12" t="s">
        <v>39</v>
      </c>
      <c r="K25" s="12" t="s">
        <v>40</v>
      </c>
      <c r="L25" s="81" t="s">
        <v>131</v>
      </c>
      <c r="M25" s="14">
        <v>0</v>
      </c>
      <c r="N25" s="15">
        <f t="shared" si="0"/>
        <v>0</v>
      </c>
      <c r="O25" s="83">
        <f>AVERAGE(N25:N26)</f>
        <v>0</v>
      </c>
      <c r="P25" s="16"/>
      <c r="Q25" s="17">
        <f t="shared" si="1"/>
        <v>0</v>
      </c>
      <c r="R25" s="81"/>
      <c r="S25" s="81"/>
      <c r="T25" s="81" t="s">
        <v>132</v>
      </c>
      <c r="U25" s="81" t="s">
        <v>133</v>
      </c>
      <c r="V25" s="81" t="s">
        <v>134</v>
      </c>
      <c r="W25" s="81" t="s">
        <v>39</v>
      </c>
      <c r="X25" s="81" t="s">
        <v>40</v>
      </c>
      <c r="Y25" s="81">
        <v>0</v>
      </c>
      <c r="Z25" s="115">
        <v>7</v>
      </c>
      <c r="AA25" s="115">
        <v>2</v>
      </c>
      <c r="AB25" s="122">
        <v>0</v>
      </c>
      <c r="AC25" s="83">
        <f>IF((AB25/Z25)&gt;1,1,AB25/Z25)</f>
        <v>0</v>
      </c>
      <c r="AD25" s="102">
        <f>+E25</f>
        <v>150000000</v>
      </c>
      <c r="AE25" s="102">
        <f>SUM(Q25:Q26)</f>
        <v>0</v>
      </c>
      <c r="AF25" s="125">
        <f>IF((AE25/AD25)&gt;1,1,AE25/AD25)</f>
        <v>0</v>
      </c>
      <c r="AG25" s="18"/>
    </row>
    <row r="26" spans="1:33" ht="78.75" customHeight="1" x14ac:dyDescent="0.25">
      <c r="A26" s="104"/>
      <c r="B26" s="82"/>
      <c r="C26" s="82"/>
      <c r="D26" s="87"/>
      <c r="E26" s="82"/>
      <c r="F26" s="11" t="s">
        <v>135</v>
      </c>
      <c r="G26" s="12" t="s">
        <v>136</v>
      </c>
      <c r="H26" s="12">
        <v>52.7</v>
      </c>
      <c r="I26" s="13">
        <v>58.7</v>
      </c>
      <c r="J26" s="12" t="s">
        <v>39</v>
      </c>
      <c r="K26" s="12" t="s">
        <v>40</v>
      </c>
      <c r="L26" s="82"/>
      <c r="M26" s="14">
        <v>0</v>
      </c>
      <c r="N26" s="15">
        <f t="shared" si="0"/>
        <v>0</v>
      </c>
      <c r="O26" s="90"/>
      <c r="P26" s="16"/>
      <c r="Q26" s="17">
        <f t="shared" si="1"/>
        <v>0</v>
      </c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90"/>
      <c r="AF26" s="82"/>
      <c r="AG26" s="18"/>
    </row>
    <row r="27" spans="1:33" ht="44.25" customHeight="1" x14ac:dyDescent="0.25">
      <c r="A27" s="104"/>
      <c r="B27" s="113" t="s">
        <v>137</v>
      </c>
      <c r="C27" s="81" t="s">
        <v>138</v>
      </c>
      <c r="D27" s="91" t="s">
        <v>139</v>
      </c>
      <c r="E27" s="102">
        <v>10000000</v>
      </c>
      <c r="F27" s="11" t="s">
        <v>140</v>
      </c>
      <c r="G27" s="12" t="s">
        <v>141</v>
      </c>
      <c r="H27" s="12">
        <v>0</v>
      </c>
      <c r="I27" s="13">
        <v>1</v>
      </c>
      <c r="J27" s="12" t="s">
        <v>39</v>
      </c>
      <c r="K27" s="12" t="s">
        <v>40</v>
      </c>
      <c r="L27" s="81" t="s">
        <v>41</v>
      </c>
      <c r="M27" s="14">
        <v>0</v>
      </c>
      <c r="N27" s="15">
        <f t="shared" si="0"/>
        <v>0</v>
      </c>
      <c r="O27" s="83">
        <f>AVERAGE(N27:N29)</f>
        <v>0</v>
      </c>
      <c r="P27" s="16"/>
      <c r="Q27" s="17">
        <f t="shared" si="1"/>
        <v>0</v>
      </c>
      <c r="R27" s="81"/>
      <c r="S27" s="81"/>
      <c r="T27" s="81" t="s">
        <v>142</v>
      </c>
      <c r="U27" s="81" t="s">
        <v>143</v>
      </c>
      <c r="V27" s="81" t="s">
        <v>144</v>
      </c>
      <c r="W27" s="81" t="s">
        <v>39</v>
      </c>
      <c r="X27" s="81" t="s">
        <v>40</v>
      </c>
      <c r="Y27" s="81">
        <v>0</v>
      </c>
      <c r="Z27" s="115">
        <v>5</v>
      </c>
      <c r="AA27" s="115">
        <v>2</v>
      </c>
      <c r="AB27" s="122">
        <v>0</v>
      </c>
      <c r="AC27" s="83">
        <f>IF((AB27/Z27)&gt;1,1,AB27/Z27)</f>
        <v>0</v>
      </c>
      <c r="AD27" s="102">
        <f>+E27</f>
        <v>10000000</v>
      </c>
      <c r="AE27" s="102">
        <f>SUM(Q27:Q29)</f>
        <v>0</v>
      </c>
      <c r="AF27" s="125">
        <f>IF((AE27/AD27)&gt;1,1,AE27/AD27)</f>
        <v>0</v>
      </c>
      <c r="AG27" s="18"/>
    </row>
    <row r="28" spans="1:33" ht="44.25" customHeight="1" x14ac:dyDescent="0.25">
      <c r="A28" s="104"/>
      <c r="B28" s="104"/>
      <c r="C28" s="104"/>
      <c r="D28" s="110"/>
      <c r="E28" s="104"/>
      <c r="F28" s="11" t="s">
        <v>145</v>
      </c>
      <c r="G28" s="12" t="s">
        <v>146</v>
      </c>
      <c r="H28" s="12">
        <v>0</v>
      </c>
      <c r="I28" s="13">
        <v>1</v>
      </c>
      <c r="J28" s="12" t="s">
        <v>39</v>
      </c>
      <c r="K28" s="12" t="s">
        <v>40</v>
      </c>
      <c r="L28" s="104"/>
      <c r="M28" s="14">
        <v>0</v>
      </c>
      <c r="N28" s="15">
        <f t="shared" si="0"/>
        <v>0</v>
      </c>
      <c r="O28" s="104"/>
      <c r="P28" s="16"/>
      <c r="Q28" s="17">
        <f t="shared" si="1"/>
        <v>0</v>
      </c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8"/>
    </row>
    <row r="29" spans="1:33" ht="44.25" customHeight="1" x14ac:dyDescent="0.25">
      <c r="A29" s="104"/>
      <c r="B29" s="82"/>
      <c r="C29" s="82"/>
      <c r="D29" s="87"/>
      <c r="E29" s="82"/>
      <c r="F29" s="11" t="s">
        <v>147</v>
      </c>
      <c r="G29" s="12" t="s">
        <v>148</v>
      </c>
      <c r="H29" s="12">
        <v>0</v>
      </c>
      <c r="I29" s="13">
        <v>0.6</v>
      </c>
      <c r="J29" s="12" t="s">
        <v>39</v>
      </c>
      <c r="K29" s="12" t="s">
        <v>40</v>
      </c>
      <c r="L29" s="82"/>
      <c r="M29" s="14">
        <v>0</v>
      </c>
      <c r="N29" s="15">
        <f t="shared" si="0"/>
        <v>0</v>
      </c>
      <c r="O29" s="82"/>
      <c r="P29" s="16"/>
      <c r="Q29" s="17">
        <f t="shared" si="1"/>
        <v>0</v>
      </c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90"/>
      <c r="AF29" s="82"/>
      <c r="AG29" s="22"/>
    </row>
    <row r="30" spans="1:33" ht="44.25" customHeight="1" x14ac:dyDescent="0.25">
      <c r="A30" s="104"/>
      <c r="B30" s="113" t="s">
        <v>149</v>
      </c>
      <c r="C30" s="81" t="s">
        <v>150</v>
      </c>
      <c r="D30" s="91" t="s">
        <v>151</v>
      </c>
      <c r="E30" s="102">
        <v>70000000</v>
      </c>
      <c r="F30" s="11" t="s">
        <v>152</v>
      </c>
      <c r="G30" s="12" t="s">
        <v>153</v>
      </c>
      <c r="H30" s="12">
        <v>0</v>
      </c>
      <c r="I30" s="13">
        <v>5</v>
      </c>
      <c r="J30" s="12" t="s">
        <v>39</v>
      </c>
      <c r="K30" s="12" t="s">
        <v>40</v>
      </c>
      <c r="L30" s="81" t="s">
        <v>41</v>
      </c>
      <c r="M30" s="14">
        <v>0</v>
      </c>
      <c r="N30" s="15">
        <f t="shared" si="0"/>
        <v>0</v>
      </c>
      <c r="O30" s="83">
        <f>AVERAGE(N30:N31)</f>
        <v>0</v>
      </c>
      <c r="P30" s="16"/>
      <c r="Q30" s="17">
        <f t="shared" si="1"/>
        <v>0</v>
      </c>
      <c r="R30" s="81"/>
      <c r="S30" s="81"/>
      <c r="T30" s="81" t="s">
        <v>154</v>
      </c>
      <c r="U30" s="81">
        <v>360401301</v>
      </c>
      <c r="V30" s="81" t="s">
        <v>155</v>
      </c>
      <c r="W30" s="81" t="s">
        <v>39</v>
      </c>
      <c r="X30" s="81" t="s">
        <v>40</v>
      </c>
      <c r="Y30" s="81">
        <v>0</v>
      </c>
      <c r="Z30" s="115">
        <v>19</v>
      </c>
      <c r="AA30" s="115">
        <v>5</v>
      </c>
      <c r="AB30" s="122">
        <v>0</v>
      </c>
      <c r="AC30" s="83">
        <f>IF((AB30/Z30)&gt;1,1,AB30/Z30)</f>
        <v>0</v>
      </c>
      <c r="AD30" s="102">
        <f>+E30</f>
        <v>70000000</v>
      </c>
      <c r="AE30" s="102">
        <f>SUM(Q30:Q31)</f>
        <v>0</v>
      </c>
      <c r="AF30" s="125">
        <f>IF((AE30/AD30)&gt;1,1,AE30/AD30)</f>
        <v>0</v>
      </c>
      <c r="AG30" s="22"/>
    </row>
    <row r="31" spans="1:33" ht="52.5" customHeight="1" x14ac:dyDescent="0.25">
      <c r="A31" s="104"/>
      <c r="B31" s="82"/>
      <c r="C31" s="82"/>
      <c r="D31" s="87"/>
      <c r="E31" s="82"/>
      <c r="F31" s="11" t="s">
        <v>156</v>
      </c>
      <c r="G31" s="12" t="s">
        <v>157</v>
      </c>
      <c r="H31" s="12">
        <v>0</v>
      </c>
      <c r="I31" s="13">
        <v>5</v>
      </c>
      <c r="J31" s="12" t="s">
        <v>39</v>
      </c>
      <c r="K31" s="12" t="s">
        <v>40</v>
      </c>
      <c r="L31" s="82"/>
      <c r="M31" s="14">
        <v>0</v>
      </c>
      <c r="N31" s="15">
        <f t="shared" si="0"/>
        <v>0</v>
      </c>
      <c r="O31" s="90"/>
      <c r="P31" s="16"/>
      <c r="Q31" s="17">
        <f t="shared" si="1"/>
        <v>0</v>
      </c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90"/>
      <c r="AF31" s="90"/>
      <c r="AG31" s="22"/>
    </row>
    <row r="32" spans="1:33" ht="44.25" customHeight="1" x14ac:dyDescent="0.25">
      <c r="A32" s="104"/>
      <c r="B32" s="113" t="s">
        <v>158</v>
      </c>
      <c r="C32" s="81" t="s">
        <v>159</v>
      </c>
      <c r="D32" s="91" t="s">
        <v>160</v>
      </c>
      <c r="E32" s="102">
        <v>20000000</v>
      </c>
      <c r="F32" s="11" t="s">
        <v>161</v>
      </c>
      <c r="G32" s="12" t="s">
        <v>162</v>
      </c>
      <c r="H32" s="12">
        <v>0</v>
      </c>
      <c r="I32" s="13">
        <v>1</v>
      </c>
      <c r="J32" s="12" t="s">
        <v>39</v>
      </c>
      <c r="K32" s="12" t="s">
        <v>40</v>
      </c>
      <c r="L32" s="81" t="s">
        <v>41</v>
      </c>
      <c r="M32" s="14">
        <v>0</v>
      </c>
      <c r="N32" s="15">
        <f t="shared" si="0"/>
        <v>0</v>
      </c>
      <c r="O32" s="83">
        <f>AVERAGE(N32:N33)</f>
        <v>0</v>
      </c>
      <c r="P32" s="16"/>
      <c r="Q32" s="17">
        <f t="shared" si="1"/>
        <v>0</v>
      </c>
      <c r="R32" s="81"/>
      <c r="S32" s="81"/>
      <c r="T32" s="81" t="s">
        <v>163</v>
      </c>
      <c r="U32" s="81">
        <v>459901700</v>
      </c>
      <c r="V32" s="81" t="s">
        <v>164</v>
      </c>
      <c r="W32" s="81" t="s">
        <v>88</v>
      </c>
      <c r="X32" s="81" t="s">
        <v>40</v>
      </c>
      <c r="Y32" s="81">
        <v>0</v>
      </c>
      <c r="Z32" s="115">
        <v>1</v>
      </c>
      <c r="AA32" s="115">
        <v>0.25</v>
      </c>
      <c r="AB32" s="122">
        <v>0</v>
      </c>
      <c r="AC32" s="83">
        <f>IF((AB32/Z32)&gt;1,1,AB32/Z32)</f>
        <v>0</v>
      </c>
      <c r="AD32" s="102">
        <f>+E32</f>
        <v>20000000</v>
      </c>
      <c r="AE32" s="102">
        <f>SUM(Q32:Q33)</f>
        <v>0</v>
      </c>
      <c r="AF32" s="125">
        <f>IF((AE32/AD32)&gt;1,1,AE32/AD32)</f>
        <v>0</v>
      </c>
      <c r="AG32" s="22"/>
    </row>
    <row r="33" spans="1:33" ht="80.25" customHeight="1" x14ac:dyDescent="0.25">
      <c r="A33" s="104"/>
      <c r="B33" s="82"/>
      <c r="C33" s="82"/>
      <c r="D33" s="87"/>
      <c r="E33" s="82"/>
      <c r="F33" s="11" t="s">
        <v>165</v>
      </c>
      <c r="G33" s="12" t="s">
        <v>166</v>
      </c>
      <c r="H33" s="12">
        <v>0</v>
      </c>
      <c r="I33" s="13">
        <v>1</v>
      </c>
      <c r="J33" s="12" t="s">
        <v>39</v>
      </c>
      <c r="K33" s="12" t="s">
        <v>40</v>
      </c>
      <c r="L33" s="82"/>
      <c r="M33" s="14">
        <v>0</v>
      </c>
      <c r="N33" s="15">
        <f t="shared" si="0"/>
        <v>0</v>
      </c>
      <c r="O33" s="90"/>
      <c r="P33" s="16"/>
      <c r="Q33" s="17">
        <f t="shared" si="1"/>
        <v>0</v>
      </c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90"/>
      <c r="AF33" s="90"/>
      <c r="AG33" s="22"/>
    </row>
    <row r="34" spans="1:33" ht="44.25" customHeight="1" x14ac:dyDescent="0.25">
      <c r="A34" s="104"/>
      <c r="B34" s="113" t="s">
        <v>167</v>
      </c>
      <c r="C34" s="81" t="s">
        <v>168</v>
      </c>
      <c r="D34" s="91" t="s">
        <v>169</v>
      </c>
      <c r="E34" s="102">
        <v>55105567</v>
      </c>
      <c r="F34" s="11" t="s">
        <v>170</v>
      </c>
      <c r="G34" s="12" t="s">
        <v>99</v>
      </c>
      <c r="H34" s="12">
        <v>0</v>
      </c>
      <c r="I34" s="13">
        <v>1</v>
      </c>
      <c r="J34" s="12" t="s">
        <v>39</v>
      </c>
      <c r="K34" s="12" t="s">
        <v>40</v>
      </c>
      <c r="L34" s="81" t="s">
        <v>171</v>
      </c>
      <c r="M34" s="14">
        <v>0</v>
      </c>
      <c r="N34" s="15">
        <f t="shared" si="0"/>
        <v>0</v>
      </c>
      <c r="O34" s="83">
        <f>AVERAGE(N34:N35)</f>
        <v>0</v>
      </c>
      <c r="P34" s="16"/>
      <c r="Q34" s="17">
        <f t="shared" si="1"/>
        <v>0</v>
      </c>
      <c r="R34" s="81"/>
      <c r="S34" s="81"/>
      <c r="T34" s="81" t="s">
        <v>172</v>
      </c>
      <c r="U34" s="81" t="s">
        <v>173</v>
      </c>
      <c r="V34" s="81" t="s">
        <v>174</v>
      </c>
      <c r="W34" s="81" t="s">
        <v>39</v>
      </c>
      <c r="X34" s="81" t="s">
        <v>40</v>
      </c>
      <c r="Y34" s="81">
        <v>0</v>
      </c>
      <c r="Z34" s="115">
        <v>1</v>
      </c>
      <c r="AA34" s="115">
        <v>0.25</v>
      </c>
      <c r="AB34" s="122">
        <v>0</v>
      </c>
      <c r="AC34" s="83">
        <f>IF((AB34/Z34)&gt;1,1,AB34/Z34)</f>
        <v>0</v>
      </c>
      <c r="AD34" s="102">
        <f>+E34</f>
        <v>55105567</v>
      </c>
      <c r="AE34" s="102">
        <f>SUM(Q34:Q35)</f>
        <v>0</v>
      </c>
      <c r="AF34" s="125">
        <f>IF((AE34/AD34)&gt;1,1,AE34/AD34)</f>
        <v>0</v>
      </c>
      <c r="AG34" s="22"/>
    </row>
    <row r="35" spans="1:33" ht="44.25" customHeight="1" x14ac:dyDescent="0.25">
      <c r="A35" s="104"/>
      <c r="B35" s="82"/>
      <c r="C35" s="82"/>
      <c r="D35" s="87"/>
      <c r="E35" s="82"/>
      <c r="F35" s="11" t="s">
        <v>175</v>
      </c>
      <c r="G35" s="12" t="s">
        <v>174</v>
      </c>
      <c r="H35" s="12">
        <v>0</v>
      </c>
      <c r="I35" s="19">
        <v>0.25</v>
      </c>
      <c r="J35" s="12" t="s">
        <v>39</v>
      </c>
      <c r="K35" s="12" t="s">
        <v>40</v>
      </c>
      <c r="L35" s="82"/>
      <c r="M35" s="14">
        <v>0</v>
      </c>
      <c r="N35" s="15">
        <f t="shared" si="0"/>
        <v>0</v>
      </c>
      <c r="O35" s="90"/>
      <c r="P35" s="16"/>
      <c r="Q35" s="17">
        <f t="shared" si="1"/>
        <v>0</v>
      </c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90"/>
      <c r="AF35" s="90"/>
      <c r="AG35" s="22"/>
    </row>
    <row r="36" spans="1:33" ht="97.5" customHeight="1" x14ac:dyDescent="0.25">
      <c r="A36" s="104"/>
      <c r="B36" s="113" t="s">
        <v>176</v>
      </c>
      <c r="C36" s="81" t="s">
        <v>177</v>
      </c>
      <c r="D36" s="91" t="s">
        <v>178</v>
      </c>
      <c r="E36" s="85">
        <v>256860000</v>
      </c>
      <c r="F36" s="11" t="s">
        <v>179</v>
      </c>
      <c r="G36" s="12" t="s">
        <v>180</v>
      </c>
      <c r="H36" s="12">
        <v>0</v>
      </c>
      <c r="I36" s="19">
        <v>0.25</v>
      </c>
      <c r="J36" s="12" t="s">
        <v>39</v>
      </c>
      <c r="K36" s="12" t="s">
        <v>48</v>
      </c>
      <c r="L36" s="81" t="s">
        <v>181</v>
      </c>
      <c r="M36" s="14">
        <v>0</v>
      </c>
      <c r="N36" s="15">
        <f t="shared" si="0"/>
        <v>0</v>
      </c>
      <c r="O36" s="83">
        <f>AVERAGE(N36:N39)</f>
        <v>0</v>
      </c>
      <c r="P36" s="16"/>
      <c r="Q36" s="17">
        <f t="shared" si="1"/>
        <v>0</v>
      </c>
      <c r="R36" s="81"/>
      <c r="S36" s="81"/>
      <c r="T36" s="81" t="s">
        <v>182</v>
      </c>
      <c r="U36" s="81">
        <v>459900200</v>
      </c>
      <c r="V36" s="81" t="s">
        <v>183</v>
      </c>
      <c r="W36" s="81" t="s">
        <v>39</v>
      </c>
      <c r="X36" s="81" t="s">
        <v>184</v>
      </c>
      <c r="Y36" s="81">
        <v>0</v>
      </c>
      <c r="Z36" s="115">
        <v>1</v>
      </c>
      <c r="AA36" s="114">
        <v>0.25</v>
      </c>
      <c r="AB36" s="122">
        <v>0</v>
      </c>
      <c r="AC36" s="83">
        <f>IF((AB36/Z36)&gt;1,1,AB36/Z36)</f>
        <v>0</v>
      </c>
      <c r="AD36" s="102">
        <f>+E36</f>
        <v>256860000</v>
      </c>
      <c r="AE36" s="102">
        <f>SUM(Q36:Q39)</f>
        <v>0</v>
      </c>
      <c r="AF36" s="125">
        <f>IF((AE36/AD36)&gt;1,1,AE36/AD36)</f>
        <v>0</v>
      </c>
      <c r="AG36" s="22"/>
    </row>
    <row r="37" spans="1:33" ht="61.5" customHeight="1" x14ac:dyDescent="0.25">
      <c r="A37" s="104"/>
      <c r="B37" s="104"/>
      <c r="C37" s="104"/>
      <c r="D37" s="110"/>
      <c r="E37" s="104"/>
      <c r="F37" s="11" t="s">
        <v>185</v>
      </c>
      <c r="G37" s="12" t="s">
        <v>186</v>
      </c>
      <c r="H37" s="12">
        <v>0</v>
      </c>
      <c r="I37" s="13">
        <v>2</v>
      </c>
      <c r="J37" s="12" t="s">
        <v>39</v>
      </c>
      <c r="K37" s="12" t="s">
        <v>40</v>
      </c>
      <c r="L37" s="104"/>
      <c r="M37" s="14">
        <v>0</v>
      </c>
      <c r="N37" s="15">
        <f t="shared" si="0"/>
        <v>0</v>
      </c>
      <c r="O37" s="104"/>
      <c r="P37" s="16"/>
      <c r="Q37" s="17">
        <f t="shared" si="1"/>
        <v>0</v>
      </c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22"/>
    </row>
    <row r="38" spans="1:33" ht="49.5" customHeight="1" x14ac:dyDescent="0.25">
      <c r="A38" s="104"/>
      <c r="B38" s="104"/>
      <c r="C38" s="104"/>
      <c r="D38" s="110"/>
      <c r="E38" s="104"/>
      <c r="F38" s="11" t="s">
        <v>187</v>
      </c>
      <c r="G38" s="12" t="s">
        <v>188</v>
      </c>
      <c r="H38" s="12">
        <v>0</v>
      </c>
      <c r="I38" s="13">
        <v>1</v>
      </c>
      <c r="J38" s="12" t="s">
        <v>39</v>
      </c>
      <c r="K38" s="12" t="s">
        <v>40</v>
      </c>
      <c r="L38" s="104"/>
      <c r="M38" s="14">
        <v>0</v>
      </c>
      <c r="N38" s="15">
        <f t="shared" si="0"/>
        <v>0</v>
      </c>
      <c r="O38" s="104"/>
      <c r="P38" s="16"/>
      <c r="Q38" s="17">
        <f t="shared" si="1"/>
        <v>0</v>
      </c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22"/>
    </row>
    <row r="39" spans="1:33" ht="45.75" customHeight="1" x14ac:dyDescent="0.25">
      <c r="A39" s="104"/>
      <c r="B39" s="82"/>
      <c r="C39" s="82"/>
      <c r="D39" s="87"/>
      <c r="E39" s="82"/>
      <c r="F39" s="11" t="s">
        <v>189</v>
      </c>
      <c r="G39" s="12" t="s">
        <v>190</v>
      </c>
      <c r="H39" s="12">
        <v>0</v>
      </c>
      <c r="I39" s="19">
        <v>0.25</v>
      </c>
      <c r="J39" s="12" t="s">
        <v>39</v>
      </c>
      <c r="K39" s="12" t="s">
        <v>48</v>
      </c>
      <c r="L39" s="82"/>
      <c r="M39" s="14">
        <v>0</v>
      </c>
      <c r="N39" s="15">
        <f t="shared" si="0"/>
        <v>0</v>
      </c>
      <c r="O39" s="82"/>
      <c r="P39" s="16"/>
      <c r="Q39" s="17">
        <f t="shared" si="1"/>
        <v>0</v>
      </c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90"/>
      <c r="AD39" s="82"/>
      <c r="AE39" s="82"/>
      <c r="AF39" s="82"/>
      <c r="AG39" s="22"/>
    </row>
    <row r="40" spans="1:33" ht="54" customHeight="1" x14ac:dyDescent="0.25">
      <c r="A40" s="104"/>
      <c r="B40" s="131" t="s">
        <v>191</v>
      </c>
      <c r="C40" s="126" t="s">
        <v>192</v>
      </c>
      <c r="D40" s="127" t="s">
        <v>193</v>
      </c>
      <c r="E40" s="85">
        <v>416897500</v>
      </c>
      <c r="F40" s="23" t="s">
        <v>194</v>
      </c>
      <c r="G40" s="24" t="s">
        <v>195</v>
      </c>
      <c r="H40" s="24">
        <v>0</v>
      </c>
      <c r="I40" s="25">
        <v>1</v>
      </c>
      <c r="J40" s="24" t="s">
        <v>39</v>
      </c>
      <c r="K40" s="24" t="s">
        <v>40</v>
      </c>
      <c r="L40" s="126" t="s">
        <v>131</v>
      </c>
      <c r="M40" s="14">
        <v>0</v>
      </c>
      <c r="N40" s="15">
        <f t="shared" si="0"/>
        <v>0</v>
      </c>
      <c r="O40" s="83">
        <f>AVERAGE(N40:N41)</f>
        <v>0</v>
      </c>
      <c r="P40" s="16"/>
      <c r="Q40" s="17">
        <f t="shared" si="1"/>
        <v>0</v>
      </c>
      <c r="R40" s="81"/>
      <c r="S40" s="81"/>
      <c r="T40" s="81" t="s">
        <v>196</v>
      </c>
      <c r="U40" s="81">
        <v>459901900</v>
      </c>
      <c r="V40" s="81" t="s">
        <v>123</v>
      </c>
      <c r="W40" s="81" t="s">
        <v>39</v>
      </c>
      <c r="X40" s="81" t="s">
        <v>40</v>
      </c>
      <c r="Y40" s="81">
        <v>0</v>
      </c>
      <c r="Z40" s="81">
        <v>1</v>
      </c>
      <c r="AA40" s="81">
        <v>0</v>
      </c>
      <c r="AB40" s="122">
        <v>0</v>
      </c>
      <c r="AC40" s="83">
        <f>IF((AB40/Z40)&gt;1,1,AB40/Z40)</f>
        <v>0</v>
      </c>
      <c r="AD40" s="102">
        <f>+E40</f>
        <v>416897500</v>
      </c>
      <c r="AE40" s="102">
        <f>SUM(Q40:Q41)</f>
        <v>0</v>
      </c>
      <c r="AF40" s="125">
        <f>IF((AE40/AD40)&gt;1,1,AE40/AD40)</f>
        <v>0</v>
      </c>
      <c r="AG40" s="26"/>
    </row>
    <row r="41" spans="1:33" ht="33" customHeight="1" x14ac:dyDescent="0.25">
      <c r="A41" s="104"/>
      <c r="B41" s="82"/>
      <c r="C41" s="82"/>
      <c r="D41" s="128"/>
      <c r="E41" s="82"/>
      <c r="F41" s="23" t="s">
        <v>197</v>
      </c>
      <c r="G41" s="24" t="s">
        <v>198</v>
      </c>
      <c r="H41" s="24">
        <v>0</v>
      </c>
      <c r="I41" s="25">
        <v>1</v>
      </c>
      <c r="J41" s="24" t="s">
        <v>39</v>
      </c>
      <c r="K41" s="24" t="s">
        <v>40</v>
      </c>
      <c r="L41" s="82"/>
      <c r="M41" s="14">
        <v>0</v>
      </c>
      <c r="N41" s="15">
        <f t="shared" si="0"/>
        <v>0</v>
      </c>
      <c r="O41" s="82"/>
      <c r="P41" s="16"/>
      <c r="Q41" s="17">
        <f t="shared" si="1"/>
        <v>0</v>
      </c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90"/>
      <c r="AD41" s="82"/>
      <c r="AE41" s="90"/>
      <c r="AF41" s="90"/>
      <c r="AG41" s="26"/>
    </row>
    <row r="42" spans="1:33" ht="44.25" customHeight="1" x14ac:dyDescent="0.25">
      <c r="A42" s="104"/>
      <c r="B42" s="113" t="s">
        <v>199</v>
      </c>
      <c r="C42" s="81" t="s">
        <v>200</v>
      </c>
      <c r="D42" s="91" t="s">
        <v>201</v>
      </c>
      <c r="E42" s="102">
        <v>20000000</v>
      </c>
      <c r="F42" s="11" t="s">
        <v>202</v>
      </c>
      <c r="G42" s="12" t="s">
        <v>203</v>
      </c>
      <c r="H42" s="12">
        <v>0</v>
      </c>
      <c r="I42" s="13">
        <v>1</v>
      </c>
      <c r="J42" s="12" t="s">
        <v>39</v>
      </c>
      <c r="K42" s="12" t="s">
        <v>40</v>
      </c>
      <c r="L42" s="81" t="s">
        <v>131</v>
      </c>
      <c r="M42" s="14">
        <v>0</v>
      </c>
      <c r="N42" s="15">
        <f t="shared" si="0"/>
        <v>0</v>
      </c>
      <c r="O42" s="83">
        <f>AVERAGE(N42:N43)</f>
        <v>0</v>
      </c>
      <c r="P42" s="16"/>
      <c r="Q42" s="17">
        <f t="shared" si="1"/>
        <v>0</v>
      </c>
      <c r="R42" s="81"/>
      <c r="S42" s="81"/>
      <c r="T42" s="81" t="s">
        <v>204</v>
      </c>
      <c r="U42" s="81">
        <v>459901900</v>
      </c>
      <c r="V42" s="81" t="s">
        <v>123</v>
      </c>
      <c r="W42" s="81" t="s">
        <v>39</v>
      </c>
      <c r="X42" s="81" t="s">
        <v>40</v>
      </c>
      <c r="Y42" s="81">
        <v>0</v>
      </c>
      <c r="Z42" s="81">
        <v>2</v>
      </c>
      <c r="AA42" s="81">
        <v>1</v>
      </c>
      <c r="AB42" s="122">
        <v>0</v>
      </c>
      <c r="AC42" s="83">
        <f>IF((AB42/Z42)&gt;1,1,AB42/Z42)</f>
        <v>0</v>
      </c>
      <c r="AD42" s="102">
        <f>+E42</f>
        <v>20000000</v>
      </c>
      <c r="AE42" s="102">
        <f>SUM(Q42:Q43)</f>
        <v>0</v>
      </c>
      <c r="AF42" s="125">
        <f>IF((AE42/AD42)&gt;1,1,AE42/AD42)</f>
        <v>0</v>
      </c>
      <c r="AG42" s="22"/>
    </row>
    <row r="43" spans="1:33" ht="44.25" customHeight="1" x14ac:dyDescent="0.25">
      <c r="A43" s="104"/>
      <c r="B43" s="82"/>
      <c r="C43" s="82"/>
      <c r="D43" s="87"/>
      <c r="E43" s="82"/>
      <c r="F43" s="11" t="s">
        <v>205</v>
      </c>
      <c r="G43" s="12" t="s">
        <v>206</v>
      </c>
      <c r="H43" s="12">
        <v>0</v>
      </c>
      <c r="I43" s="13">
        <v>0.5</v>
      </c>
      <c r="J43" s="12" t="s">
        <v>39</v>
      </c>
      <c r="K43" s="15" t="s">
        <v>48</v>
      </c>
      <c r="L43" s="82"/>
      <c r="M43" s="14">
        <v>0</v>
      </c>
      <c r="N43" s="15">
        <f t="shared" si="0"/>
        <v>0</v>
      </c>
      <c r="O43" s="82"/>
      <c r="P43" s="16"/>
      <c r="Q43" s="17">
        <f t="shared" si="1"/>
        <v>0</v>
      </c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90"/>
      <c r="AD43" s="82"/>
      <c r="AE43" s="90"/>
      <c r="AF43" s="90"/>
      <c r="AG43" s="22"/>
    </row>
    <row r="44" spans="1:33" ht="72.75" customHeight="1" x14ac:dyDescent="0.25">
      <c r="A44" s="104"/>
      <c r="B44" s="113" t="s">
        <v>207</v>
      </c>
      <c r="C44" s="81" t="s">
        <v>208</v>
      </c>
      <c r="D44" s="81" t="s">
        <v>209</v>
      </c>
      <c r="E44" s="102">
        <v>200000000</v>
      </c>
      <c r="F44" s="11" t="s">
        <v>210</v>
      </c>
      <c r="G44" s="12" t="s">
        <v>211</v>
      </c>
      <c r="H44" s="12">
        <v>0</v>
      </c>
      <c r="I44" s="13">
        <v>1</v>
      </c>
      <c r="J44" s="12" t="s">
        <v>39</v>
      </c>
      <c r="K44" s="12" t="s">
        <v>40</v>
      </c>
      <c r="L44" s="81" t="s">
        <v>41</v>
      </c>
      <c r="M44" s="14">
        <v>0</v>
      </c>
      <c r="N44" s="15">
        <f t="shared" si="0"/>
        <v>0</v>
      </c>
      <c r="O44" s="83">
        <f>AVERAGE(N44:N45)</f>
        <v>0</v>
      </c>
      <c r="P44" s="16"/>
      <c r="Q44" s="17">
        <f t="shared" si="1"/>
        <v>0</v>
      </c>
      <c r="R44" s="81"/>
      <c r="S44" s="81"/>
      <c r="T44" s="81" t="s">
        <v>212</v>
      </c>
      <c r="U44" s="81" t="s">
        <v>213</v>
      </c>
      <c r="V44" s="81" t="s">
        <v>211</v>
      </c>
      <c r="W44" s="81" t="s">
        <v>39</v>
      </c>
      <c r="X44" s="81" t="s">
        <v>40</v>
      </c>
      <c r="Y44" s="81">
        <v>0</v>
      </c>
      <c r="Z44" s="115">
        <v>1</v>
      </c>
      <c r="AA44" s="115">
        <v>0</v>
      </c>
      <c r="AB44" s="122">
        <v>0</v>
      </c>
      <c r="AC44" s="83">
        <f>IF((AB44/Z44)&gt;1,1,AB44/Z44)</f>
        <v>0</v>
      </c>
      <c r="AD44" s="102">
        <f>+E44</f>
        <v>200000000</v>
      </c>
      <c r="AE44" s="102">
        <f>SUM(Q44:Q45)</f>
        <v>0</v>
      </c>
      <c r="AF44" s="125">
        <f>IF((AE44/AD44)&gt;1,1,AE44/AD44)</f>
        <v>0</v>
      </c>
      <c r="AG44" s="22"/>
    </row>
    <row r="45" spans="1:33" ht="54.75" customHeight="1" x14ac:dyDescent="0.25">
      <c r="A45" s="104"/>
      <c r="B45" s="82"/>
      <c r="C45" s="82"/>
      <c r="D45" s="82"/>
      <c r="E45" s="82"/>
      <c r="F45" s="11" t="s">
        <v>214</v>
      </c>
      <c r="G45" s="12" t="s">
        <v>215</v>
      </c>
      <c r="H45" s="12">
        <v>0</v>
      </c>
      <c r="I45" s="19">
        <v>0.25</v>
      </c>
      <c r="J45" s="12" t="s">
        <v>39</v>
      </c>
      <c r="K45" s="12" t="s">
        <v>40</v>
      </c>
      <c r="L45" s="82"/>
      <c r="M45" s="14">
        <v>0</v>
      </c>
      <c r="N45" s="15">
        <f t="shared" si="0"/>
        <v>0</v>
      </c>
      <c r="O45" s="82"/>
      <c r="P45" s="16"/>
      <c r="Q45" s="17">
        <f t="shared" si="1"/>
        <v>0</v>
      </c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90"/>
      <c r="AD45" s="82"/>
      <c r="AE45" s="90"/>
      <c r="AF45" s="90"/>
      <c r="AG45" s="22"/>
    </row>
    <row r="46" spans="1:33" ht="111" customHeight="1" x14ac:dyDescent="0.25">
      <c r="A46" s="104"/>
      <c r="B46" s="27" t="s">
        <v>216</v>
      </c>
      <c r="C46" s="12" t="s">
        <v>217</v>
      </c>
      <c r="D46" s="28" t="s">
        <v>218</v>
      </c>
      <c r="E46" s="17">
        <v>20000000</v>
      </c>
      <c r="F46" s="129" t="s">
        <v>219</v>
      </c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8"/>
      <c r="T46" s="12" t="s">
        <v>220</v>
      </c>
      <c r="U46" s="12" t="s">
        <v>221</v>
      </c>
      <c r="V46" s="12" t="s">
        <v>222</v>
      </c>
      <c r="W46" s="12" t="s">
        <v>88</v>
      </c>
      <c r="X46" s="12" t="s">
        <v>40</v>
      </c>
      <c r="Y46" s="12">
        <v>0</v>
      </c>
      <c r="Z46" s="12">
        <v>4</v>
      </c>
      <c r="AA46" s="12">
        <v>1</v>
      </c>
      <c r="AB46" s="129" t="s">
        <v>219</v>
      </c>
      <c r="AC46" s="98"/>
      <c r="AD46" s="29">
        <f t="shared" ref="AD46:AD48" si="2">+E46</f>
        <v>20000000</v>
      </c>
      <c r="AE46" s="129" t="s">
        <v>219</v>
      </c>
      <c r="AF46" s="98"/>
      <c r="AG46" s="22"/>
    </row>
    <row r="47" spans="1:33" ht="68.25" customHeight="1" x14ac:dyDescent="0.25">
      <c r="A47" s="82"/>
      <c r="B47" s="27" t="s">
        <v>223</v>
      </c>
      <c r="C47" s="12" t="s">
        <v>224</v>
      </c>
      <c r="D47" s="28" t="s">
        <v>225</v>
      </c>
      <c r="E47" s="17">
        <v>20000000</v>
      </c>
      <c r="F47" s="129" t="s">
        <v>219</v>
      </c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8"/>
      <c r="T47" s="12" t="s">
        <v>226</v>
      </c>
      <c r="U47" s="12" t="s">
        <v>227</v>
      </c>
      <c r="V47" s="12" t="s">
        <v>228</v>
      </c>
      <c r="W47" s="12" t="s">
        <v>88</v>
      </c>
      <c r="X47" s="12" t="s">
        <v>40</v>
      </c>
      <c r="Y47" s="12">
        <v>0</v>
      </c>
      <c r="Z47" s="12">
        <v>1</v>
      </c>
      <c r="AA47" s="12" t="s">
        <v>229</v>
      </c>
      <c r="AB47" s="129" t="s">
        <v>219</v>
      </c>
      <c r="AC47" s="98"/>
      <c r="AD47" s="29">
        <f t="shared" si="2"/>
        <v>20000000</v>
      </c>
      <c r="AE47" s="129" t="s">
        <v>219</v>
      </c>
      <c r="AF47" s="98"/>
      <c r="AG47" s="22"/>
    </row>
    <row r="48" spans="1:33" ht="51" customHeight="1" x14ac:dyDescent="0.25">
      <c r="A48" s="81" t="s">
        <v>230</v>
      </c>
      <c r="B48" s="113" t="s">
        <v>231</v>
      </c>
      <c r="C48" s="81" t="s">
        <v>232</v>
      </c>
      <c r="D48" s="91" t="s">
        <v>233</v>
      </c>
      <c r="E48" s="102">
        <v>8000000</v>
      </c>
      <c r="F48" s="11" t="s">
        <v>234</v>
      </c>
      <c r="G48" s="12" t="s">
        <v>235</v>
      </c>
      <c r="H48" s="12">
        <v>0</v>
      </c>
      <c r="I48" s="13">
        <v>1</v>
      </c>
      <c r="J48" s="20" t="s">
        <v>62</v>
      </c>
      <c r="K48" s="12" t="s">
        <v>40</v>
      </c>
      <c r="L48" s="81" t="s">
        <v>236</v>
      </c>
      <c r="M48" s="14">
        <v>0</v>
      </c>
      <c r="N48" s="30">
        <f t="shared" ref="N48:N60" si="3">IF((M48/I48)&gt;1,1,M48/I48)</f>
        <v>0</v>
      </c>
      <c r="O48" s="130">
        <f>AVERAGE(N48:N49)</f>
        <v>0</v>
      </c>
      <c r="P48" s="16"/>
      <c r="Q48" s="17">
        <f t="shared" ref="Q48:Q60" si="4">0</f>
        <v>0</v>
      </c>
      <c r="R48" s="81"/>
      <c r="S48" s="81"/>
      <c r="T48" s="81" t="s">
        <v>237</v>
      </c>
      <c r="U48" s="81">
        <v>190501500</v>
      </c>
      <c r="V48" s="81" t="s">
        <v>238</v>
      </c>
      <c r="W48" s="81" t="s">
        <v>39</v>
      </c>
      <c r="X48" s="81" t="s">
        <v>40</v>
      </c>
      <c r="Y48" s="81">
        <v>0</v>
      </c>
      <c r="Z48" s="81">
        <v>1</v>
      </c>
      <c r="AA48" s="81">
        <v>0.25</v>
      </c>
      <c r="AB48" s="116">
        <v>0</v>
      </c>
      <c r="AC48" s="117">
        <f>IF((AB48/Z48)&gt;1,1,AB48/Z48)</f>
        <v>0</v>
      </c>
      <c r="AD48" s="102">
        <f t="shared" si="2"/>
        <v>8000000</v>
      </c>
      <c r="AE48" s="102">
        <f>SUM(Q48:Q49)</f>
        <v>0</v>
      </c>
      <c r="AF48" s="125">
        <f>IF((AE48/AD48)&gt;1,1,AE48/AD48)</f>
        <v>0</v>
      </c>
      <c r="AG48" s="22"/>
    </row>
    <row r="49" spans="1:33" ht="44.25" customHeight="1" x14ac:dyDescent="0.25">
      <c r="A49" s="104"/>
      <c r="B49" s="82"/>
      <c r="C49" s="82"/>
      <c r="D49" s="87"/>
      <c r="E49" s="82"/>
      <c r="F49" s="11" t="s">
        <v>239</v>
      </c>
      <c r="G49" s="12" t="s">
        <v>240</v>
      </c>
      <c r="H49" s="12">
        <v>0</v>
      </c>
      <c r="I49" s="13">
        <v>1</v>
      </c>
      <c r="J49" s="12" t="s">
        <v>39</v>
      </c>
      <c r="K49" s="12" t="s">
        <v>48</v>
      </c>
      <c r="L49" s="82"/>
      <c r="M49" s="14">
        <v>0</v>
      </c>
      <c r="N49" s="30">
        <f t="shared" si="3"/>
        <v>0</v>
      </c>
      <c r="O49" s="82"/>
      <c r="P49" s="16"/>
      <c r="Q49" s="17">
        <f t="shared" si="4"/>
        <v>0</v>
      </c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90"/>
      <c r="AF49" s="90"/>
      <c r="AG49" s="22"/>
    </row>
    <row r="50" spans="1:33" ht="58.5" customHeight="1" x14ac:dyDescent="0.25">
      <c r="A50" s="104"/>
      <c r="B50" s="113" t="s">
        <v>241</v>
      </c>
      <c r="C50" s="81" t="s">
        <v>242</v>
      </c>
      <c r="D50" s="91" t="s">
        <v>243</v>
      </c>
      <c r="E50" s="102">
        <v>7185257078</v>
      </c>
      <c r="F50" s="11" t="s">
        <v>244</v>
      </c>
      <c r="G50" s="12" t="s">
        <v>157</v>
      </c>
      <c r="H50" s="12">
        <v>0</v>
      </c>
      <c r="I50" s="13">
        <v>4</v>
      </c>
      <c r="J50" s="12" t="s">
        <v>39</v>
      </c>
      <c r="K50" s="12" t="s">
        <v>40</v>
      </c>
      <c r="L50" s="81" t="s">
        <v>236</v>
      </c>
      <c r="M50" s="14">
        <v>0</v>
      </c>
      <c r="N50" s="30">
        <f t="shared" si="3"/>
        <v>0</v>
      </c>
      <c r="O50" s="130">
        <f>AVERAGE(N50:N52)</f>
        <v>0</v>
      </c>
      <c r="P50" s="16"/>
      <c r="Q50" s="17">
        <f t="shared" si="4"/>
        <v>0</v>
      </c>
      <c r="R50" s="81"/>
      <c r="S50" s="81"/>
      <c r="T50" s="81" t="s">
        <v>245</v>
      </c>
      <c r="U50" s="81">
        <v>190501505</v>
      </c>
      <c r="V50" s="81" t="s">
        <v>80</v>
      </c>
      <c r="W50" s="81" t="s">
        <v>39</v>
      </c>
      <c r="X50" s="81" t="s">
        <v>40</v>
      </c>
      <c r="Y50" s="81">
        <v>0</v>
      </c>
      <c r="Z50" s="81">
        <v>1</v>
      </c>
      <c r="AA50" s="81">
        <v>0.25</v>
      </c>
      <c r="AB50" s="122">
        <v>0</v>
      </c>
      <c r="AC50" s="83">
        <f>IF((AB50/Z50)&gt;1,1,AB50/Z50)</f>
        <v>0</v>
      </c>
      <c r="AD50" s="102">
        <f>+E50</f>
        <v>7185257078</v>
      </c>
      <c r="AE50" s="102">
        <f>SUM(Q50:Q52)</f>
        <v>0</v>
      </c>
      <c r="AF50" s="125">
        <f>IF((AE50/AD50)&gt;1,1,AE50/AD50)</f>
        <v>0</v>
      </c>
      <c r="AG50" s="22"/>
    </row>
    <row r="51" spans="1:33" ht="44.25" customHeight="1" x14ac:dyDescent="0.25">
      <c r="A51" s="104"/>
      <c r="B51" s="104"/>
      <c r="C51" s="104"/>
      <c r="D51" s="110"/>
      <c r="E51" s="104"/>
      <c r="F51" s="11" t="s">
        <v>246</v>
      </c>
      <c r="G51" s="12" t="s">
        <v>247</v>
      </c>
      <c r="H51" s="12">
        <v>0</v>
      </c>
      <c r="I51" s="13">
        <v>1</v>
      </c>
      <c r="J51" s="12" t="s">
        <v>39</v>
      </c>
      <c r="K51" s="12" t="s">
        <v>48</v>
      </c>
      <c r="L51" s="104"/>
      <c r="M51" s="14">
        <v>0</v>
      </c>
      <c r="N51" s="30">
        <f t="shared" si="3"/>
        <v>0</v>
      </c>
      <c r="O51" s="104"/>
      <c r="P51" s="16"/>
      <c r="Q51" s="17">
        <f t="shared" si="4"/>
        <v>0</v>
      </c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22"/>
    </row>
    <row r="52" spans="1:33" ht="58.5" customHeight="1" x14ac:dyDescent="0.25">
      <c r="A52" s="104"/>
      <c r="B52" s="82"/>
      <c r="C52" s="82"/>
      <c r="D52" s="87"/>
      <c r="E52" s="82"/>
      <c r="F52" s="11" t="s">
        <v>248</v>
      </c>
      <c r="G52" s="12" t="s">
        <v>157</v>
      </c>
      <c r="H52" s="12">
        <v>0</v>
      </c>
      <c r="I52" s="13">
        <v>3</v>
      </c>
      <c r="J52" s="12" t="s">
        <v>39</v>
      </c>
      <c r="K52" s="12" t="s">
        <v>40</v>
      </c>
      <c r="L52" s="82"/>
      <c r="M52" s="14">
        <v>0</v>
      </c>
      <c r="N52" s="30">
        <f t="shared" si="3"/>
        <v>0</v>
      </c>
      <c r="O52" s="82"/>
      <c r="P52" s="16"/>
      <c r="Q52" s="17">
        <f t="shared" si="4"/>
        <v>0</v>
      </c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90"/>
      <c r="AD52" s="82"/>
      <c r="AE52" s="82"/>
      <c r="AF52" s="82"/>
      <c r="AG52" s="22"/>
    </row>
    <row r="53" spans="1:33" ht="44.25" customHeight="1" x14ac:dyDescent="0.25">
      <c r="A53" s="104"/>
      <c r="B53" s="113" t="s">
        <v>249</v>
      </c>
      <c r="C53" s="81" t="s">
        <v>250</v>
      </c>
      <c r="D53" s="91" t="s">
        <v>251</v>
      </c>
      <c r="E53" s="102">
        <v>316381933</v>
      </c>
      <c r="F53" s="11" t="s">
        <v>252</v>
      </c>
      <c r="G53" s="12" t="s">
        <v>157</v>
      </c>
      <c r="H53" s="12">
        <v>0</v>
      </c>
      <c r="I53" s="13">
        <v>3</v>
      </c>
      <c r="J53" s="12" t="s">
        <v>39</v>
      </c>
      <c r="K53" s="12" t="s">
        <v>40</v>
      </c>
      <c r="L53" s="81" t="s">
        <v>236</v>
      </c>
      <c r="M53" s="31">
        <v>0</v>
      </c>
      <c r="N53" s="30">
        <f t="shared" si="3"/>
        <v>0</v>
      </c>
      <c r="O53" s="130">
        <f>AVERAGE(N53:N55)</f>
        <v>0</v>
      </c>
      <c r="P53" s="16"/>
      <c r="Q53" s="17">
        <f t="shared" si="4"/>
        <v>0</v>
      </c>
      <c r="R53" s="81"/>
      <c r="S53" s="81"/>
      <c r="T53" s="81" t="s">
        <v>253</v>
      </c>
      <c r="U53" s="81" t="s">
        <v>254</v>
      </c>
      <c r="V53" s="81" t="s">
        <v>80</v>
      </c>
      <c r="W53" s="81" t="s">
        <v>39</v>
      </c>
      <c r="X53" s="81" t="s">
        <v>40</v>
      </c>
      <c r="Y53" s="81">
        <v>0</v>
      </c>
      <c r="Z53" s="115">
        <v>1</v>
      </c>
      <c r="AA53" s="115">
        <v>0.25</v>
      </c>
      <c r="AB53" s="122">
        <v>0</v>
      </c>
      <c r="AC53" s="83">
        <f>IF((AB53/Z53)&gt;1,1,AB53/Z53)</f>
        <v>0</v>
      </c>
      <c r="AD53" s="102">
        <f>+E53</f>
        <v>316381933</v>
      </c>
      <c r="AE53" s="102">
        <f>SUM(Q53:Q55)</f>
        <v>0</v>
      </c>
      <c r="AF53" s="125">
        <f>IF((AE53/AD53)&gt;1,1,AE53/AD53)</f>
        <v>0</v>
      </c>
      <c r="AG53" s="22"/>
    </row>
    <row r="54" spans="1:33" ht="44.25" customHeight="1" x14ac:dyDescent="0.25">
      <c r="A54" s="104"/>
      <c r="B54" s="104"/>
      <c r="C54" s="104"/>
      <c r="D54" s="110"/>
      <c r="E54" s="104"/>
      <c r="F54" s="11" t="s">
        <v>255</v>
      </c>
      <c r="G54" s="12" t="s">
        <v>256</v>
      </c>
      <c r="H54" s="12">
        <v>0</v>
      </c>
      <c r="I54" s="13">
        <v>1</v>
      </c>
      <c r="J54" s="12" t="s">
        <v>39</v>
      </c>
      <c r="K54" s="12" t="s">
        <v>40</v>
      </c>
      <c r="L54" s="104"/>
      <c r="M54" s="31">
        <v>0</v>
      </c>
      <c r="N54" s="30">
        <f t="shared" si="3"/>
        <v>0</v>
      </c>
      <c r="O54" s="104"/>
      <c r="P54" s="16"/>
      <c r="Q54" s="17">
        <f t="shared" si="4"/>
        <v>0</v>
      </c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22"/>
    </row>
    <row r="55" spans="1:33" ht="57.75" customHeight="1" x14ac:dyDescent="0.25">
      <c r="A55" s="104"/>
      <c r="B55" s="82"/>
      <c r="C55" s="82"/>
      <c r="D55" s="87"/>
      <c r="E55" s="82"/>
      <c r="F55" s="11" t="s">
        <v>257</v>
      </c>
      <c r="G55" s="12" t="s">
        <v>256</v>
      </c>
      <c r="H55" s="12">
        <v>0</v>
      </c>
      <c r="I55" s="13">
        <v>1</v>
      </c>
      <c r="J55" s="20" t="s">
        <v>62</v>
      </c>
      <c r="K55" s="12" t="s">
        <v>40</v>
      </c>
      <c r="L55" s="82"/>
      <c r="M55" s="31">
        <v>0</v>
      </c>
      <c r="N55" s="30">
        <f t="shared" si="3"/>
        <v>0</v>
      </c>
      <c r="O55" s="82"/>
      <c r="P55" s="16"/>
      <c r="Q55" s="17">
        <f t="shared" si="4"/>
        <v>0</v>
      </c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90"/>
      <c r="AD55" s="82"/>
      <c r="AE55" s="82"/>
      <c r="AF55" s="82"/>
      <c r="AG55" s="22"/>
    </row>
    <row r="56" spans="1:33" ht="44.25" customHeight="1" x14ac:dyDescent="0.25">
      <c r="A56" s="104"/>
      <c r="B56" s="113" t="s">
        <v>258</v>
      </c>
      <c r="C56" s="81" t="s">
        <v>259</v>
      </c>
      <c r="D56" s="91" t="s">
        <v>260</v>
      </c>
      <c r="E56" s="102">
        <v>150000000</v>
      </c>
      <c r="F56" s="11" t="s">
        <v>261</v>
      </c>
      <c r="G56" s="12" t="s">
        <v>235</v>
      </c>
      <c r="H56" s="12">
        <v>0</v>
      </c>
      <c r="I56" s="13">
        <v>1</v>
      </c>
      <c r="J56" s="12" t="s">
        <v>39</v>
      </c>
      <c r="K56" s="12" t="s">
        <v>40</v>
      </c>
      <c r="L56" s="81" t="s">
        <v>236</v>
      </c>
      <c r="M56" s="31">
        <v>0</v>
      </c>
      <c r="N56" s="15">
        <f t="shared" si="3"/>
        <v>0</v>
      </c>
      <c r="O56" s="130">
        <f>AVERAGE(N56:N57)</f>
        <v>0</v>
      </c>
      <c r="P56" s="16"/>
      <c r="Q56" s="17">
        <f t="shared" si="4"/>
        <v>0</v>
      </c>
      <c r="R56" s="81"/>
      <c r="S56" s="81"/>
      <c r="T56" s="81" t="s">
        <v>262</v>
      </c>
      <c r="U56" s="81">
        <v>190600600</v>
      </c>
      <c r="V56" s="81" t="s">
        <v>263</v>
      </c>
      <c r="W56" s="81" t="s">
        <v>39</v>
      </c>
      <c r="X56" s="81" t="s">
        <v>40</v>
      </c>
      <c r="Y56" s="81">
        <v>0</v>
      </c>
      <c r="Z56" s="115">
        <v>1</v>
      </c>
      <c r="AA56" s="115">
        <v>0.25</v>
      </c>
      <c r="AB56" s="122">
        <v>0</v>
      </c>
      <c r="AC56" s="83">
        <f>IF((AB56/Z56)&gt;1,1,AB56/Z56)</f>
        <v>0</v>
      </c>
      <c r="AD56" s="102">
        <f>+E56</f>
        <v>150000000</v>
      </c>
      <c r="AE56" s="102">
        <f>SUM(Q56:Q57)</f>
        <v>0</v>
      </c>
      <c r="AF56" s="125">
        <f>IF((AE56/AD56)&gt;1,1,AE56/AD56)</f>
        <v>0</v>
      </c>
      <c r="AG56" s="22"/>
    </row>
    <row r="57" spans="1:33" ht="60" customHeight="1" x14ac:dyDescent="0.25">
      <c r="A57" s="82"/>
      <c r="B57" s="82"/>
      <c r="C57" s="82"/>
      <c r="D57" s="87"/>
      <c r="E57" s="82"/>
      <c r="F57" s="11" t="s">
        <v>264</v>
      </c>
      <c r="G57" s="12" t="s">
        <v>265</v>
      </c>
      <c r="H57" s="12">
        <v>0</v>
      </c>
      <c r="I57" s="13">
        <v>1</v>
      </c>
      <c r="J57" s="12" t="s">
        <v>39</v>
      </c>
      <c r="K57" s="12" t="s">
        <v>48</v>
      </c>
      <c r="L57" s="82"/>
      <c r="M57" s="31">
        <v>0</v>
      </c>
      <c r="N57" s="15">
        <f t="shared" si="3"/>
        <v>0</v>
      </c>
      <c r="O57" s="90"/>
      <c r="P57" s="16"/>
      <c r="Q57" s="17">
        <f t="shared" si="4"/>
        <v>0</v>
      </c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90"/>
      <c r="AD57" s="82"/>
      <c r="AE57" s="90"/>
      <c r="AF57" s="90"/>
      <c r="AG57" s="22"/>
    </row>
    <row r="58" spans="1:33" ht="44.25" customHeight="1" x14ac:dyDescent="0.25">
      <c r="A58" s="81" t="s">
        <v>266</v>
      </c>
      <c r="B58" s="113" t="s">
        <v>267</v>
      </c>
      <c r="C58" s="81" t="s">
        <v>268</v>
      </c>
      <c r="D58" s="81" t="s">
        <v>269</v>
      </c>
      <c r="E58" s="102">
        <v>280000000</v>
      </c>
      <c r="F58" s="11" t="s">
        <v>270</v>
      </c>
      <c r="G58" s="12" t="s">
        <v>157</v>
      </c>
      <c r="H58" s="12">
        <v>0</v>
      </c>
      <c r="I58" s="13">
        <v>2</v>
      </c>
      <c r="J58" s="12" t="s">
        <v>39</v>
      </c>
      <c r="K58" s="12" t="s">
        <v>40</v>
      </c>
      <c r="L58" s="12" t="s">
        <v>271</v>
      </c>
      <c r="M58" s="14">
        <v>0</v>
      </c>
      <c r="N58" s="15">
        <f t="shared" si="3"/>
        <v>0</v>
      </c>
      <c r="O58" s="130">
        <f>AVERAGE(N58:N60)</f>
        <v>0</v>
      </c>
      <c r="P58" s="16"/>
      <c r="Q58" s="17">
        <f t="shared" si="4"/>
        <v>0</v>
      </c>
      <c r="R58" s="81"/>
      <c r="S58" s="81"/>
      <c r="T58" s="81" t="s">
        <v>272</v>
      </c>
      <c r="U58" s="81">
        <v>450200113</v>
      </c>
      <c r="V58" s="81" t="s">
        <v>273</v>
      </c>
      <c r="W58" s="81" t="s">
        <v>39</v>
      </c>
      <c r="X58" s="81" t="s">
        <v>40</v>
      </c>
      <c r="Y58" s="81">
        <v>0</v>
      </c>
      <c r="Z58" s="81">
        <v>4</v>
      </c>
      <c r="AA58" s="81">
        <v>1</v>
      </c>
      <c r="AB58" s="122">
        <v>0</v>
      </c>
      <c r="AC58" s="83">
        <f>IF((AB58/Z58)&gt;1,1,AB58/Z58)</f>
        <v>0</v>
      </c>
      <c r="AD58" s="102">
        <f>+E58</f>
        <v>280000000</v>
      </c>
      <c r="AE58" s="102">
        <f>SUM(Q58:Q60)</f>
        <v>0</v>
      </c>
      <c r="AF58" s="125">
        <f>IF((AE58/AD58)&gt;1,1,AE58/AD58)</f>
        <v>0</v>
      </c>
      <c r="AG58" s="22"/>
    </row>
    <row r="59" spans="1:33" ht="44.25" customHeight="1" x14ac:dyDescent="0.25">
      <c r="A59" s="104"/>
      <c r="B59" s="104"/>
      <c r="C59" s="104"/>
      <c r="D59" s="104"/>
      <c r="E59" s="104"/>
      <c r="F59" s="11" t="s">
        <v>274</v>
      </c>
      <c r="G59" s="12" t="s">
        <v>275</v>
      </c>
      <c r="H59" s="12">
        <v>0</v>
      </c>
      <c r="I59" s="13">
        <v>1</v>
      </c>
      <c r="J59" s="12" t="s">
        <v>39</v>
      </c>
      <c r="K59" s="12" t="s">
        <v>40</v>
      </c>
      <c r="L59" s="12" t="s">
        <v>41</v>
      </c>
      <c r="M59" s="14">
        <v>0</v>
      </c>
      <c r="N59" s="15">
        <f t="shared" si="3"/>
        <v>0</v>
      </c>
      <c r="O59" s="104"/>
      <c r="P59" s="16"/>
      <c r="Q59" s="17">
        <f t="shared" si="4"/>
        <v>0</v>
      </c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22"/>
    </row>
    <row r="60" spans="1:33" ht="44.25" customHeight="1" x14ac:dyDescent="0.25">
      <c r="A60" s="104"/>
      <c r="B60" s="82"/>
      <c r="C60" s="82"/>
      <c r="D60" s="82"/>
      <c r="E60" s="82"/>
      <c r="F60" s="11" t="s">
        <v>276</v>
      </c>
      <c r="G60" s="12" t="s">
        <v>277</v>
      </c>
      <c r="H60" s="12">
        <v>0</v>
      </c>
      <c r="I60" s="13">
        <v>3</v>
      </c>
      <c r="J60" s="12" t="s">
        <v>39</v>
      </c>
      <c r="K60" s="12" t="s">
        <v>40</v>
      </c>
      <c r="L60" s="12" t="s">
        <v>278</v>
      </c>
      <c r="M60" s="14">
        <v>0</v>
      </c>
      <c r="N60" s="15">
        <f t="shared" si="3"/>
        <v>0</v>
      </c>
      <c r="O60" s="82"/>
      <c r="P60" s="16"/>
      <c r="Q60" s="17">
        <f t="shared" si="4"/>
        <v>0</v>
      </c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22"/>
    </row>
    <row r="61" spans="1:33" ht="72.75" customHeight="1" x14ac:dyDescent="0.25">
      <c r="A61" s="82"/>
      <c r="B61" s="27" t="s">
        <v>279</v>
      </c>
      <c r="C61" s="12" t="s">
        <v>280</v>
      </c>
      <c r="D61" s="28" t="s">
        <v>225</v>
      </c>
      <c r="E61" s="17">
        <v>75000000</v>
      </c>
      <c r="F61" s="129" t="s">
        <v>219</v>
      </c>
      <c r="G61" s="98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3"/>
      <c r="T61" s="12" t="s">
        <v>280</v>
      </c>
      <c r="U61" s="12">
        <v>40010012</v>
      </c>
      <c r="V61" s="12" t="s">
        <v>281</v>
      </c>
      <c r="W61" s="12" t="s">
        <v>39</v>
      </c>
      <c r="X61" s="12" t="s">
        <v>40</v>
      </c>
      <c r="Y61" s="12">
        <v>0</v>
      </c>
      <c r="Z61" s="12">
        <v>2</v>
      </c>
      <c r="AA61" s="12">
        <v>1</v>
      </c>
      <c r="AB61" s="129" t="s">
        <v>219</v>
      </c>
      <c r="AC61" s="98"/>
      <c r="AD61" s="17">
        <f>+E61</f>
        <v>75000000</v>
      </c>
      <c r="AE61" s="129" t="s">
        <v>219</v>
      </c>
      <c r="AF61" s="98"/>
      <c r="AG61" s="22"/>
    </row>
    <row r="62" spans="1:33" ht="77.25" customHeight="1" x14ac:dyDescent="0.25">
      <c r="A62" s="34"/>
      <c r="B62" s="34"/>
      <c r="C62" s="34"/>
      <c r="D62" s="34"/>
      <c r="E62" s="35"/>
      <c r="F62" s="36"/>
      <c r="G62" s="34"/>
      <c r="H62" s="34"/>
      <c r="I62" s="37"/>
      <c r="J62" s="34"/>
      <c r="K62" s="34"/>
      <c r="L62" s="34"/>
      <c r="M62" s="38" t="s">
        <v>282</v>
      </c>
      <c r="N62" s="39">
        <f t="shared" ref="N62:O62" si="5">AVERAGE(N4:N61)</f>
        <v>0</v>
      </c>
      <c r="O62" s="39">
        <f t="shared" si="5"/>
        <v>0</v>
      </c>
      <c r="P62" s="38" t="s">
        <v>282</v>
      </c>
      <c r="Q62" s="40">
        <f>SUM(Q4:Q60)</f>
        <v>0</v>
      </c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8" t="s">
        <v>282</v>
      </c>
      <c r="AC62" s="39">
        <f>AVERAGE(AC4:AC61)</f>
        <v>0</v>
      </c>
      <c r="AD62" s="41" t="s">
        <v>282</v>
      </c>
      <c r="AE62" s="40">
        <f>SUM(AE4:AE61)</f>
        <v>0</v>
      </c>
      <c r="AF62" s="39">
        <f>AVERAGE(AF4:AF61)</f>
        <v>0</v>
      </c>
      <c r="AG62" s="34"/>
    </row>
    <row r="63" spans="1:33" ht="44.25" customHeight="1" x14ac:dyDescent="0.25">
      <c r="A63" s="1"/>
      <c r="B63" s="1"/>
      <c r="C63" s="1"/>
      <c r="D63" s="1"/>
      <c r="E63" s="42"/>
      <c r="F63" s="43"/>
      <c r="G63" s="1"/>
      <c r="H63" s="1"/>
      <c r="I63" s="44"/>
      <c r="J63" s="1"/>
      <c r="K63" s="1"/>
      <c r="L63" s="1"/>
      <c r="M63" s="1"/>
      <c r="N63" s="1"/>
      <c r="O63" s="1"/>
      <c r="P63" s="132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45"/>
      <c r="AD63" s="42"/>
      <c r="AE63" s="43"/>
      <c r="AF63" s="43"/>
      <c r="AG63" s="1"/>
    </row>
    <row r="64" spans="1:33" ht="44.25" customHeight="1" x14ac:dyDescent="0.25">
      <c r="A64" s="1"/>
      <c r="B64" s="1"/>
      <c r="C64" s="1"/>
      <c r="D64" s="1"/>
      <c r="E64" s="42"/>
      <c r="F64" s="43"/>
      <c r="G64" s="46"/>
      <c r="H64" s="1"/>
      <c r="I64" s="44"/>
      <c r="J64" s="1"/>
      <c r="K64" s="1"/>
      <c r="L64" s="1"/>
      <c r="M64" s="1"/>
      <c r="N64" s="1"/>
      <c r="O64" s="1"/>
      <c r="P64" s="133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45"/>
      <c r="AD64" s="42"/>
      <c r="AE64" s="43"/>
      <c r="AF64" s="43"/>
      <c r="AG64" s="1"/>
    </row>
    <row r="65" spans="1:33" ht="44.25" customHeight="1" x14ac:dyDescent="0.25">
      <c r="A65" s="1"/>
      <c r="B65" s="1"/>
      <c r="C65" s="1"/>
      <c r="D65" s="1"/>
      <c r="E65" s="42"/>
      <c r="F65" s="43"/>
      <c r="G65" s="46"/>
      <c r="H65" s="1"/>
      <c r="I65" s="44"/>
      <c r="J65" s="1"/>
      <c r="K65" s="1"/>
      <c r="L65" s="1"/>
      <c r="M65" s="1"/>
      <c r="N65" s="1"/>
      <c r="O65" s="1"/>
      <c r="P65" s="133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45"/>
      <c r="AD65" s="42"/>
      <c r="AE65" s="43"/>
      <c r="AF65" s="43"/>
      <c r="AG65" s="1"/>
    </row>
    <row r="66" spans="1:33" ht="44.25" customHeight="1" x14ac:dyDescent="0.25">
      <c r="A66" s="1"/>
      <c r="B66" s="1"/>
      <c r="C66" s="1"/>
      <c r="D66" s="1"/>
      <c r="E66" s="42"/>
      <c r="F66" s="43"/>
      <c r="G66" s="1"/>
      <c r="H66" s="1"/>
      <c r="I66" s="44"/>
      <c r="J66" s="1"/>
      <c r="K66" s="1"/>
      <c r="L66" s="1"/>
      <c r="M66" s="1"/>
      <c r="N66" s="1"/>
      <c r="O66" s="1"/>
      <c r="P66" s="134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45"/>
      <c r="AD66" s="42"/>
      <c r="AE66" s="43"/>
      <c r="AF66" s="43"/>
      <c r="AG66" s="1"/>
    </row>
    <row r="67" spans="1:33" ht="44.25" customHeight="1" x14ac:dyDescent="0.25">
      <c r="A67" s="1"/>
      <c r="B67" s="1"/>
      <c r="C67" s="1"/>
      <c r="D67" s="1"/>
      <c r="E67" s="42"/>
      <c r="F67" s="43"/>
      <c r="G67" s="1"/>
      <c r="H67" s="1"/>
      <c r="I67" s="44"/>
      <c r="J67" s="1"/>
      <c r="K67" s="1"/>
      <c r="L67" s="1"/>
      <c r="M67" s="1"/>
      <c r="N67" s="1"/>
      <c r="O67" s="1"/>
      <c r="P67" s="132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45"/>
      <c r="AD67" s="42"/>
      <c r="AE67" s="43"/>
      <c r="AF67" s="43"/>
      <c r="AG67" s="1"/>
    </row>
    <row r="68" spans="1:33" ht="44.25" customHeight="1" x14ac:dyDescent="0.25">
      <c r="A68" s="1"/>
      <c r="B68" s="1"/>
      <c r="C68" s="1"/>
      <c r="D68" s="1"/>
      <c r="E68" s="42"/>
      <c r="F68" s="43"/>
      <c r="G68" s="1"/>
      <c r="H68" s="1"/>
      <c r="I68" s="44"/>
      <c r="J68" s="1"/>
      <c r="K68" s="1"/>
      <c r="L68" s="1"/>
      <c r="M68" s="1"/>
      <c r="N68" s="1"/>
      <c r="O68" s="1"/>
      <c r="P68" s="133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45"/>
      <c r="AD68" s="42"/>
      <c r="AE68" s="43"/>
      <c r="AF68" s="43"/>
      <c r="AG68" s="1"/>
    </row>
    <row r="69" spans="1:33" ht="44.25" customHeight="1" x14ac:dyDescent="0.25">
      <c r="A69" s="1"/>
      <c r="B69" s="1"/>
      <c r="C69" s="1"/>
      <c r="D69" s="1"/>
      <c r="E69" s="42"/>
      <c r="F69" s="43"/>
      <c r="G69" s="1"/>
      <c r="H69" s="1"/>
      <c r="I69" s="44"/>
      <c r="J69" s="1"/>
      <c r="K69" s="1"/>
      <c r="L69" s="1"/>
      <c r="M69" s="1"/>
      <c r="N69" s="1"/>
      <c r="O69" s="1"/>
      <c r="P69" s="133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45"/>
      <c r="AD69" s="42"/>
      <c r="AE69" s="43"/>
      <c r="AF69" s="43"/>
      <c r="AG69" s="1"/>
    </row>
    <row r="70" spans="1:33" ht="44.25" customHeight="1" x14ac:dyDescent="0.25">
      <c r="A70" s="1"/>
      <c r="B70" s="1"/>
      <c r="C70" s="1"/>
      <c r="D70" s="1"/>
      <c r="E70" s="42"/>
      <c r="F70" s="43"/>
      <c r="G70" s="1"/>
      <c r="H70" s="1"/>
      <c r="I70" s="44"/>
      <c r="J70" s="1"/>
      <c r="K70" s="1"/>
      <c r="L70" s="1"/>
      <c r="M70" s="1"/>
      <c r="N70" s="1"/>
      <c r="O70" s="1"/>
      <c r="P70" s="134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45"/>
      <c r="AD70" s="42"/>
      <c r="AE70" s="43"/>
      <c r="AF70" s="43"/>
      <c r="AG70" s="1"/>
    </row>
    <row r="71" spans="1:33" ht="44.25" customHeight="1" x14ac:dyDescent="0.25">
      <c r="A71" s="1"/>
      <c r="B71" s="1"/>
      <c r="C71" s="1"/>
      <c r="D71" s="1"/>
      <c r="E71" s="42"/>
      <c r="F71" s="43"/>
      <c r="G71" s="1"/>
      <c r="H71" s="1"/>
      <c r="I71" s="44"/>
      <c r="J71" s="1"/>
      <c r="K71" s="1"/>
      <c r="L71" s="1"/>
      <c r="M71" s="1"/>
      <c r="N71" s="1"/>
      <c r="O71" s="1"/>
      <c r="P71" s="132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45"/>
      <c r="AD71" s="42"/>
      <c r="AE71" s="43"/>
      <c r="AF71" s="43"/>
      <c r="AG71" s="1"/>
    </row>
    <row r="72" spans="1:33" ht="44.25" customHeight="1" x14ac:dyDescent="0.25">
      <c r="A72" s="1"/>
      <c r="B72" s="1"/>
      <c r="C72" s="1"/>
      <c r="D72" s="1"/>
      <c r="E72" s="42"/>
      <c r="F72" s="43"/>
      <c r="G72" s="1"/>
      <c r="H72" s="1"/>
      <c r="I72" s="44"/>
      <c r="J72" s="1"/>
      <c r="K72" s="1"/>
      <c r="L72" s="1"/>
      <c r="M72" s="1"/>
      <c r="N72" s="1"/>
      <c r="O72" s="1"/>
      <c r="P72" s="133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45"/>
      <c r="AD72" s="42"/>
      <c r="AE72" s="43"/>
      <c r="AF72" s="43"/>
      <c r="AG72" s="1"/>
    </row>
    <row r="73" spans="1:33" ht="44.25" customHeight="1" x14ac:dyDescent="0.25">
      <c r="A73" s="1"/>
      <c r="B73" s="1"/>
      <c r="C73" s="1"/>
      <c r="D73" s="1"/>
      <c r="E73" s="42"/>
      <c r="F73" s="43"/>
      <c r="G73" s="1"/>
      <c r="H73" s="1"/>
      <c r="I73" s="44"/>
      <c r="J73" s="1"/>
      <c r="K73" s="1"/>
      <c r="L73" s="1"/>
      <c r="M73" s="1"/>
      <c r="N73" s="1"/>
      <c r="O73" s="1"/>
      <c r="P73" s="133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45"/>
      <c r="AD73" s="42"/>
      <c r="AE73" s="43"/>
      <c r="AF73" s="43"/>
      <c r="AG73" s="1"/>
    </row>
    <row r="74" spans="1:33" ht="44.25" customHeight="1" x14ac:dyDescent="0.25">
      <c r="A74" s="1"/>
      <c r="B74" s="1"/>
      <c r="C74" s="1"/>
      <c r="D74" s="1"/>
      <c r="E74" s="42"/>
      <c r="F74" s="43"/>
      <c r="G74" s="1"/>
      <c r="H74" s="1"/>
      <c r="I74" s="44"/>
      <c r="J74" s="1"/>
      <c r="K74" s="1"/>
      <c r="L74" s="1"/>
      <c r="M74" s="1"/>
      <c r="N74" s="1"/>
      <c r="O74" s="1"/>
      <c r="P74" s="134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45"/>
      <c r="AD74" s="42"/>
      <c r="AE74" s="43"/>
      <c r="AF74" s="43"/>
      <c r="AG74" s="1"/>
    </row>
    <row r="75" spans="1:33" ht="44.25" customHeight="1" x14ac:dyDescent="0.25">
      <c r="A75" s="1"/>
      <c r="B75" s="1"/>
      <c r="C75" s="1"/>
      <c r="D75" s="1"/>
      <c r="E75" s="42"/>
      <c r="F75" s="43"/>
      <c r="G75" s="1"/>
      <c r="H75" s="1"/>
      <c r="I75" s="4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45"/>
      <c r="AD75" s="42"/>
      <c r="AE75" s="43"/>
      <c r="AF75" s="43"/>
      <c r="AG75" s="1"/>
    </row>
    <row r="76" spans="1:33" ht="44.25" customHeight="1" x14ac:dyDescent="0.25">
      <c r="A76" s="1"/>
      <c r="B76" s="1"/>
      <c r="C76" s="1"/>
      <c r="D76" s="1"/>
      <c r="E76" s="42"/>
      <c r="F76" s="43"/>
      <c r="G76" s="1"/>
      <c r="H76" s="1"/>
      <c r="I76" s="4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42"/>
      <c r="AE76" s="43"/>
      <c r="AF76" s="43"/>
      <c r="AG76" s="1"/>
    </row>
    <row r="77" spans="1:33" ht="44.25" customHeight="1" x14ac:dyDescent="0.25">
      <c r="A77" s="1"/>
      <c r="B77" s="1"/>
      <c r="C77" s="1"/>
      <c r="D77" s="1"/>
      <c r="E77" s="42"/>
      <c r="F77" s="43"/>
      <c r="G77" s="1"/>
      <c r="H77" s="1"/>
      <c r="I77" s="4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42"/>
      <c r="AE77" s="43"/>
      <c r="AF77" s="43"/>
      <c r="AG77" s="1"/>
    </row>
    <row r="78" spans="1:33" ht="44.25" customHeight="1" x14ac:dyDescent="0.25">
      <c r="A78" s="1"/>
      <c r="B78" s="1"/>
      <c r="C78" s="1"/>
      <c r="D78" s="1"/>
      <c r="E78" s="42"/>
      <c r="F78" s="43"/>
      <c r="G78" s="1"/>
      <c r="H78" s="1"/>
      <c r="I78" s="4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42"/>
      <c r="AE78" s="43"/>
      <c r="AF78" s="43"/>
      <c r="AG78" s="1"/>
    </row>
    <row r="79" spans="1:33" ht="44.25" customHeight="1" x14ac:dyDescent="0.25">
      <c r="A79" s="1"/>
      <c r="B79" s="1"/>
      <c r="C79" s="1"/>
      <c r="D79" s="1"/>
      <c r="E79" s="42"/>
      <c r="F79" s="43"/>
      <c r="G79" s="1"/>
      <c r="H79" s="1"/>
      <c r="I79" s="4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42"/>
      <c r="AE79" s="43"/>
      <c r="AF79" s="43"/>
      <c r="AG79" s="1"/>
    </row>
    <row r="80" spans="1:33" ht="44.25" customHeight="1" x14ac:dyDescent="0.25">
      <c r="A80" s="1"/>
      <c r="B80" s="1"/>
      <c r="C80" s="1"/>
      <c r="D80" s="1"/>
      <c r="E80" s="42"/>
      <c r="F80" s="43"/>
      <c r="G80" s="1"/>
      <c r="H80" s="1"/>
      <c r="I80" s="4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42"/>
      <c r="AE80" s="43"/>
      <c r="AF80" s="43"/>
      <c r="AG80" s="1"/>
    </row>
    <row r="81" spans="1:33" ht="44.25" customHeight="1" x14ac:dyDescent="0.25">
      <c r="A81" s="1"/>
      <c r="B81" s="1"/>
      <c r="C81" s="1"/>
      <c r="D81" s="1"/>
      <c r="E81" s="42"/>
      <c r="F81" s="43"/>
      <c r="G81" s="1"/>
      <c r="H81" s="1"/>
      <c r="I81" s="4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42"/>
      <c r="AE81" s="43"/>
      <c r="AF81" s="43"/>
      <c r="AG81" s="1"/>
    </row>
    <row r="82" spans="1:33" ht="44.25" customHeight="1" x14ac:dyDescent="0.25">
      <c r="A82" s="1"/>
      <c r="B82" s="1"/>
      <c r="C82" s="1"/>
      <c r="D82" s="1"/>
      <c r="E82" s="42"/>
      <c r="F82" s="43"/>
      <c r="G82" s="1"/>
      <c r="H82" s="1"/>
      <c r="I82" s="4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42"/>
      <c r="AE82" s="43"/>
      <c r="AF82" s="43"/>
      <c r="AG82" s="1"/>
    </row>
    <row r="83" spans="1:33" ht="44.25" customHeight="1" x14ac:dyDescent="0.25">
      <c r="A83" s="1"/>
      <c r="B83" s="1"/>
      <c r="C83" s="1"/>
      <c r="D83" s="1"/>
      <c r="E83" s="42"/>
      <c r="F83" s="43"/>
      <c r="G83" s="1"/>
      <c r="H83" s="1"/>
      <c r="I83" s="4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42"/>
      <c r="AE83" s="43"/>
      <c r="AF83" s="43"/>
      <c r="AG83" s="1"/>
    </row>
    <row r="84" spans="1:33" ht="44.25" customHeight="1" x14ac:dyDescent="0.25">
      <c r="A84" s="1"/>
      <c r="B84" s="1"/>
      <c r="C84" s="1"/>
      <c r="D84" s="1"/>
      <c r="E84" s="42"/>
      <c r="F84" s="43"/>
      <c r="G84" s="1"/>
      <c r="H84" s="1"/>
      <c r="I84" s="4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42"/>
      <c r="AE84" s="43"/>
      <c r="AF84" s="43"/>
      <c r="AG84" s="1"/>
    </row>
    <row r="85" spans="1:33" ht="44.25" customHeight="1" x14ac:dyDescent="0.25">
      <c r="A85" s="1"/>
      <c r="B85" s="1"/>
      <c r="C85" s="1"/>
      <c r="D85" s="1"/>
      <c r="E85" s="42"/>
      <c r="F85" s="43"/>
      <c r="G85" s="1"/>
      <c r="H85" s="1"/>
      <c r="I85" s="4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42"/>
      <c r="AE85" s="43"/>
      <c r="AF85" s="43"/>
      <c r="AG85" s="1"/>
    </row>
    <row r="86" spans="1:33" ht="44.25" customHeight="1" x14ac:dyDescent="0.25">
      <c r="A86" s="1"/>
      <c r="B86" s="1"/>
      <c r="C86" s="1"/>
      <c r="D86" s="1"/>
      <c r="E86" s="42"/>
      <c r="F86" s="43"/>
      <c r="G86" s="1"/>
      <c r="H86" s="1"/>
      <c r="I86" s="4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42"/>
      <c r="AE86" s="43"/>
      <c r="AF86" s="43"/>
      <c r="AG86" s="1"/>
    </row>
    <row r="87" spans="1:33" ht="44.25" customHeight="1" x14ac:dyDescent="0.25">
      <c r="A87" s="1"/>
      <c r="B87" s="1"/>
      <c r="C87" s="1"/>
      <c r="D87" s="1"/>
      <c r="E87" s="42"/>
      <c r="F87" s="43"/>
      <c r="G87" s="1"/>
      <c r="H87" s="1"/>
      <c r="I87" s="4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42"/>
      <c r="AE87" s="43"/>
      <c r="AF87" s="43"/>
      <c r="AG87" s="1"/>
    </row>
    <row r="88" spans="1:33" ht="44.25" customHeight="1" x14ac:dyDescent="0.25">
      <c r="A88" s="1"/>
      <c r="B88" s="1"/>
      <c r="C88" s="1"/>
      <c r="D88" s="1"/>
      <c r="E88" s="42"/>
      <c r="F88" s="43"/>
      <c r="G88" s="1"/>
      <c r="H88" s="1"/>
      <c r="I88" s="4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42"/>
      <c r="AE88" s="43"/>
      <c r="AF88" s="43"/>
      <c r="AG88" s="1"/>
    </row>
    <row r="89" spans="1:33" ht="44.25" customHeight="1" x14ac:dyDescent="0.25">
      <c r="A89" s="1"/>
      <c r="B89" s="1"/>
      <c r="C89" s="1"/>
      <c r="D89" s="1"/>
      <c r="E89" s="42"/>
      <c r="F89" s="43"/>
      <c r="G89" s="1"/>
      <c r="H89" s="1"/>
      <c r="I89" s="4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42"/>
      <c r="AE89" s="43"/>
      <c r="AF89" s="43"/>
      <c r="AG89" s="1"/>
    </row>
    <row r="90" spans="1:33" ht="44.25" customHeight="1" x14ac:dyDescent="0.25">
      <c r="A90" s="1"/>
      <c r="B90" s="1"/>
      <c r="C90" s="1"/>
      <c r="D90" s="1"/>
      <c r="E90" s="42"/>
      <c r="F90" s="43"/>
      <c r="G90" s="1"/>
      <c r="H90" s="1"/>
      <c r="I90" s="4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42"/>
      <c r="AE90" s="43"/>
      <c r="AF90" s="43"/>
      <c r="AG90" s="1"/>
    </row>
    <row r="91" spans="1:33" ht="44.25" customHeight="1" x14ac:dyDescent="0.25">
      <c r="A91" s="1"/>
      <c r="B91" s="1"/>
      <c r="C91" s="1"/>
      <c r="D91" s="1"/>
      <c r="E91" s="42"/>
      <c r="F91" s="43"/>
      <c r="G91" s="1"/>
      <c r="H91" s="1"/>
      <c r="I91" s="4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42"/>
      <c r="AE91" s="43"/>
      <c r="AF91" s="43"/>
      <c r="AG91" s="1"/>
    </row>
    <row r="92" spans="1:33" ht="44.25" customHeight="1" x14ac:dyDescent="0.25">
      <c r="A92" s="1"/>
      <c r="B92" s="1"/>
      <c r="C92" s="1"/>
      <c r="D92" s="1"/>
      <c r="E92" s="42"/>
      <c r="F92" s="43"/>
      <c r="G92" s="1"/>
      <c r="H92" s="1"/>
      <c r="I92" s="4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42"/>
      <c r="AE92" s="43"/>
      <c r="AF92" s="43"/>
      <c r="AG92" s="1"/>
    </row>
    <row r="93" spans="1:33" ht="44.25" customHeight="1" x14ac:dyDescent="0.25">
      <c r="A93" s="1"/>
      <c r="B93" s="1"/>
      <c r="C93" s="1"/>
      <c r="D93" s="1"/>
      <c r="E93" s="42"/>
      <c r="F93" s="43"/>
      <c r="G93" s="1"/>
      <c r="H93" s="1"/>
      <c r="I93" s="4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42"/>
      <c r="AE93" s="43"/>
      <c r="AF93" s="43"/>
      <c r="AG93" s="1"/>
    </row>
    <row r="94" spans="1:33" ht="44.25" customHeight="1" x14ac:dyDescent="0.25">
      <c r="A94" s="1"/>
      <c r="B94" s="1"/>
      <c r="C94" s="1"/>
      <c r="D94" s="1"/>
      <c r="E94" s="42"/>
      <c r="F94" s="43"/>
      <c r="G94" s="1"/>
      <c r="H94" s="1"/>
      <c r="I94" s="4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42"/>
      <c r="AE94" s="43"/>
      <c r="AF94" s="43"/>
      <c r="AG94" s="1"/>
    </row>
    <row r="95" spans="1:33" ht="44.25" customHeight="1" x14ac:dyDescent="0.25">
      <c r="A95" s="1"/>
      <c r="B95" s="1"/>
      <c r="C95" s="1"/>
      <c r="D95" s="1"/>
      <c r="E95" s="42"/>
      <c r="F95" s="43"/>
      <c r="G95" s="1"/>
      <c r="H95" s="1"/>
      <c r="I95" s="4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42"/>
      <c r="AE95" s="43"/>
      <c r="AF95" s="43"/>
      <c r="AG95" s="1"/>
    </row>
    <row r="96" spans="1:33" ht="44.25" customHeight="1" x14ac:dyDescent="0.25">
      <c r="A96" s="1"/>
      <c r="B96" s="1"/>
      <c r="C96" s="1"/>
      <c r="D96" s="1"/>
      <c r="E96" s="42"/>
      <c r="F96" s="43"/>
      <c r="G96" s="1"/>
      <c r="H96" s="1"/>
      <c r="I96" s="4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42"/>
      <c r="AE96" s="43"/>
      <c r="AF96" s="43"/>
      <c r="AG96" s="1"/>
    </row>
    <row r="97" spans="1:33" ht="44.25" customHeight="1" x14ac:dyDescent="0.25">
      <c r="A97" s="1"/>
      <c r="B97" s="1"/>
      <c r="C97" s="1"/>
      <c r="D97" s="1"/>
      <c r="E97" s="42"/>
      <c r="F97" s="43"/>
      <c r="G97" s="1"/>
      <c r="H97" s="1"/>
      <c r="I97" s="4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42"/>
      <c r="AE97" s="43"/>
      <c r="AF97" s="43"/>
      <c r="AG97" s="1"/>
    </row>
    <row r="98" spans="1:33" ht="44.25" customHeight="1" x14ac:dyDescent="0.25">
      <c r="A98" s="1"/>
      <c r="B98" s="1"/>
      <c r="C98" s="1"/>
      <c r="D98" s="1"/>
      <c r="E98" s="42"/>
      <c r="F98" s="43"/>
      <c r="G98" s="1"/>
      <c r="H98" s="1"/>
      <c r="I98" s="4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42"/>
      <c r="AE98" s="43"/>
      <c r="AF98" s="43"/>
      <c r="AG98" s="1"/>
    </row>
    <row r="99" spans="1:33" ht="44.25" customHeight="1" x14ac:dyDescent="0.25">
      <c r="A99" s="1"/>
      <c r="B99" s="1"/>
      <c r="C99" s="1"/>
      <c r="D99" s="1"/>
      <c r="E99" s="42"/>
      <c r="F99" s="43"/>
      <c r="G99" s="1"/>
      <c r="H99" s="1"/>
      <c r="I99" s="4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42"/>
      <c r="AE99" s="43"/>
      <c r="AF99" s="43"/>
      <c r="AG99" s="1"/>
    </row>
    <row r="100" spans="1:33" ht="44.25" customHeight="1" x14ac:dyDescent="0.25">
      <c r="A100" s="1"/>
      <c r="B100" s="1"/>
      <c r="C100" s="1"/>
      <c r="D100" s="1"/>
      <c r="E100" s="42"/>
      <c r="F100" s="43"/>
      <c r="G100" s="1"/>
      <c r="H100" s="1"/>
      <c r="I100" s="4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42"/>
      <c r="AE100" s="43"/>
      <c r="AF100" s="43"/>
      <c r="AG100" s="1"/>
    </row>
    <row r="101" spans="1:33" ht="44.25" customHeight="1" x14ac:dyDescent="0.25">
      <c r="A101" s="1"/>
      <c r="B101" s="1"/>
      <c r="C101" s="1"/>
      <c r="D101" s="1"/>
      <c r="E101" s="42"/>
      <c r="F101" s="43"/>
      <c r="G101" s="1"/>
      <c r="H101" s="1"/>
      <c r="I101" s="4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42"/>
      <c r="AE101" s="43"/>
      <c r="AF101" s="43"/>
      <c r="AG101" s="1"/>
    </row>
    <row r="102" spans="1:33" ht="44.25" customHeight="1" x14ac:dyDescent="0.25">
      <c r="A102" s="1"/>
      <c r="B102" s="1"/>
      <c r="C102" s="1"/>
      <c r="D102" s="1"/>
      <c r="E102" s="42"/>
      <c r="F102" s="43"/>
      <c r="G102" s="1"/>
      <c r="H102" s="1"/>
      <c r="I102" s="4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42"/>
      <c r="AE102" s="43"/>
      <c r="AF102" s="43"/>
      <c r="AG102" s="1"/>
    </row>
    <row r="103" spans="1:33" ht="44.25" customHeight="1" x14ac:dyDescent="0.25">
      <c r="A103" s="1"/>
      <c r="B103" s="1"/>
      <c r="C103" s="1"/>
      <c r="D103" s="1"/>
      <c r="E103" s="42"/>
      <c r="F103" s="43"/>
      <c r="G103" s="1"/>
      <c r="H103" s="1"/>
      <c r="I103" s="4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42"/>
      <c r="AE103" s="43"/>
      <c r="AF103" s="43"/>
      <c r="AG103" s="1"/>
    </row>
    <row r="104" spans="1:33" ht="44.25" customHeight="1" x14ac:dyDescent="0.25">
      <c r="A104" s="1"/>
      <c r="B104" s="1"/>
      <c r="C104" s="1"/>
      <c r="D104" s="1"/>
      <c r="E104" s="42"/>
      <c r="F104" s="43"/>
      <c r="G104" s="1"/>
      <c r="H104" s="1"/>
      <c r="I104" s="4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42"/>
      <c r="AE104" s="43"/>
      <c r="AF104" s="43"/>
      <c r="AG104" s="1"/>
    </row>
    <row r="105" spans="1:33" ht="44.25" customHeight="1" x14ac:dyDescent="0.25">
      <c r="A105" s="1"/>
      <c r="B105" s="1"/>
      <c r="C105" s="1"/>
      <c r="D105" s="1"/>
      <c r="E105" s="42"/>
      <c r="F105" s="43"/>
      <c r="G105" s="1"/>
      <c r="H105" s="1"/>
      <c r="I105" s="4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42"/>
      <c r="AE105" s="43"/>
      <c r="AF105" s="43"/>
      <c r="AG105" s="1"/>
    </row>
    <row r="106" spans="1:33" ht="44.25" customHeight="1" x14ac:dyDescent="0.25">
      <c r="A106" s="1"/>
      <c r="B106" s="1"/>
      <c r="C106" s="1"/>
      <c r="D106" s="1"/>
      <c r="E106" s="42"/>
      <c r="F106" s="43"/>
      <c r="G106" s="1"/>
      <c r="H106" s="1"/>
      <c r="I106" s="4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42"/>
      <c r="AE106" s="43"/>
      <c r="AF106" s="43"/>
      <c r="AG106" s="1"/>
    </row>
    <row r="107" spans="1:33" ht="44.25" customHeight="1" x14ac:dyDescent="0.25">
      <c r="A107" s="1"/>
      <c r="B107" s="1"/>
      <c r="C107" s="1"/>
      <c r="D107" s="1"/>
      <c r="E107" s="42"/>
      <c r="F107" s="43"/>
      <c r="G107" s="1"/>
      <c r="H107" s="1"/>
      <c r="I107" s="44"/>
      <c r="J107" s="1"/>
      <c r="K107" s="1"/>
      <c r="L107" s="1"/>
      <c r="M107" s="1"/>
      <c r="N107" s="46"/>
      <c r="O107" s="46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42"/>
      <c r="AE107" s="43"/>
      <c r="AF107" s="43"/>
      <c r="AG107" s="1"/>
    </row>
    <row r="108" spans="1:33" ht="44.25" customHeight="1" x14ac:dyDescent="0.25">
      <c r="A108" s="1"/>
      <c r="B108" s="1"/>
      <c r="C108" s="1"/>
      <c r="D108" s="1"/>
      <c r="E108" s="42"/>
      <c r="F108" s="43"/>
      <c r="G108" s="1"/>
      <c r="H108" s="1"/>
      <c r="I108" s="44"/>
      <c r="J108" s="1"/>
      <c r="K108" s="1"/>
      <c r="L108" s="1"/>
      <c r="M108" s="1"/>
      <c r="N108" s="46"/>
      <c r="O108" s="46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42"/>
      <c r="AE108" s="43"/>
      <c r="AF108" s="43"/>
      <c r="AG108" s="1"/>
    </row>
    <row r="109" spans="1:33" ht="44.25" customHeight="1" x14ac:dyDescent="0.25">
      <c r="A109" s="1"/>
      <c r="B109" s="1"/>
      <c r="C109" s="1"/>
      <c r="D109" s="1"/>
      <c r="E109" s="42"/>
      <c r="F109" s="43"/>
      <c r="G109" s="1"/>
      <c r="H109" s="1"/>
      <c r="I109" s="4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2"/>
      <c r="AE109" s="43"/>
      <c r="AF109" s="43"/>
      <c r="AG109" s="1"/>
    </row>
    <row r="110" spans="1:33" ht="44.25" customHeight="1" x14ac:dyDescent="0.25">
      <c r="A110" s="1"/>
      <c r="B110" s="1"/>
      <c r="C110" s="1"/>
      <c r="D110" s="1"/>
      <c r="E110" s="42"/>
      <c r="F110" s="43"/>
      <c r="G110" s="1"/>
      <c r="H110" s="1"/>
      <c r="I110" s="4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42"/>
      <c r="AE110" s="43"/>
      <c r="AF110" s="43"/>
      <c r="AG110" s="1"/>
    </row>
    <row r="111" spans="1:33" ht="44.25" customHeight="1" x14ac:dyDescent="0.25">
      <c r="A111" s="1"/>
      <c r="B111" s="1"/>
      <c r="C111" s="1"/>
      <c r="D111" s="1"/>
      <c r="E111" s="42"/>
      <c r="F111" s="43"/>
      <c r="G111" s="1"/>
      <c r="H111" s="1"/>
      <c r="I111" s="4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42"/>
      <c r="AE111" s="43"/>
      <c r="AF111" s="43"/>
      <c r="AG111" s="1"/>
    </row>
    <row r="112" spans="1:33" ht="44.25" customHeight="1" x14ac:dyDescent="0.25">
      <c r="A112" s="1"/>
      <c r="B112" s="1"/>
      <c r="C112" s="1"/>
      <c r="D112" s="1"/>
      <c r="E112" s="42"/>
      <c r="F112" s="43"/>
      <c r="G112" s="1"/>
      <c r="H112" s="1"/>
      <c r="I112" s="4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42"/>
      <c r="AE112" s="43"/>
      <c r="AF112" s="43"/>
      <c r="AG112" s="1"/>
    </row>
    <row r="113" spans="1:33" ht="44.25" customHeight="1" x14ac:dyDescent="0.25">
      <c r="A113" s="1"/>
      <c r="B113" s="1"/>
      <c r="C113" s="1"/>
      <c r="D113" s="1"/>
      <c r="E113" s="42"/>
      <c r="F113" s="43"/>
      <c r="G113" s="1"/>
      <c r="H113" s="1"/>
      <c r="I113" s="4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42"/>
      <c r="AE113" s="43"/>
      <c r="AF113" s="43"/>
      <c r="AG113" s="1"/>
    </row>
    <row r="114" spans="1:33" ht="44.25" customHeight="1" x14ac:dyDescent="0.25">
      <c r="A114" s="1"/>
      <c r="B114" s="1"/>
      <c r="C114" s="1"/>
      <c r="D114" s="1"/>
      <c r="E114" s="42"/>
      <c r="F114" s="43"/>
      <c r="G114" s="1"/>
      <c r="H114" s="1"/>
      <c r="I114" s="4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42"/>
      <c r="AE114" s="43"/>
      <c r="AF114" s="43"/>
      <c r="AG114" s="1"/>
    </row>
    <row r="115" spans="1:33" ht="44.25" customHeight="1" x14ac:dyDescent="0.25">
      <c r="A115" s="1"/>
      <c r="B115" s="1"/>
      <c r="C115" s="1"/>
      <c r="D115" s="1"/>
      <c r="E115" s="42"/>
      <c r="F115" s="43"/>
      <c r="G115" s="1"/>
      <c r="H115" s="1"/>
      <c r="I115" s="4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2"/>
      <c r="AE115" s="43"/>
      <c r="AF115" s="43"/>
      <c r="AG115" s="1"/>
    </row>
    <row r="116" spans="1:33" ht="44.25" customHeight="1" x14ac:dyDescent="0.25">
      <c r="A116" s="1"/>
      <c r="B116" s="1"/>
      <c r="C116" s="1"/>
      <c r="D116" s="1"/>
      <c r="E116" s="42"/>
      <c r="F116" s="43"/>
      <c r="G116" s="1"/>
      <c r="H116" s="1"/>
      <c r="I116" s="4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42"/>
      <c r="AE116" s="43"/>
      <c r="AF116" s="43"/>
      <c r="AG116" s="1"/>
    </row>
    <row r="117" spans="1:33" ht="44.25" customHeight="1" x14ac:dyDescent="0.25">
      <c r="A117" s="1"/>
      <c r="B117" s="1"/>
      <c r="C117" s="1"/>
      <c r="D117" s="1"/>
      <c r="E117" s="42"/>
      <c r="F117" s="43"/>
      <c r="G117" s="1"/>
      <c r="H117" s="1"/>
      <c r="I117" s="4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42"/>
      <c r="AE117" s="43"/>
      <c r="AF117" s="43"/>
      <c r="AG117" s="1"/>
    </row>
    <row r="118" spans="1:33" ht="44.25" customHeight="1" x14ac:dyDescent="0.25">
      <c r="A118" s="1"/>
      <c r="B118" s="1"/>
      <c r="C118" s="1"/>
      <c r="D118" s="1"/>
      <c r="E118" s="42"/>
      <c r="F118" s="43"/>
      <c r="G118" s="1"/>
      <c r="H118" s="1"/>
      <c r="I118" s="4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42"/>
      <c r="AE118" s="43"/>
      <c r="AF118" s="43"/>
      <c r="AG118" s="1"/>
    </row>
    <row r="119" spans="1:33" ht="44.25" customHeight="1" x14ac:dyDescent="0.25">
      <c r="A119" s="1"/>
      <c r="B119" s="1"/>
      <c r="C119" s="1"/>
      <c r="D119" s="1"/>
      <c r="E119" s="42"/>
      <c r="F119" s="43"/>
      <c r="G119" s="1"/>
      <c r="H119" s="1"/>
      <c r="I119" s="4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42"/>
      <c r="AE119" s="43"/>
      <c r="AF119" s="43"/>
      <c r="AG119" s="1"/>
    </row>
    <row r="120" spans="1:33" ht="44.25" customHeight="1" x14ac:dyDescent="0.25">
      <c r="A120" s="1"/>
      <c r="B120" s="1"/>
      <c r="C120" s="1"/>
      <c r="D120" s="1"/>
      <c r="E120" s="42"/>
      <c r="F120" s="43"/>
      <c r="G120" s="1"/>
      <c r="H120" s="1"/>
      <c r="I120" s="4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42"/>
      <c r="AE120" s="43"/>
      <c r="AF120" s="43"/>
      <c r="AG120" s="1"/>
    </row>
    <row r="121" spans="1:33" ht="44.25" customHeight="1" x14ac:dyDescent="0.25">
      <c r="A121" s="1"/>
      <c r="B121" s="1"/>
      <c r="C121" s="1"/>
      <c r="D121" s="1"/>
      <c r="E121" s="42"/>
      <c r="F121" s="43"/>
      <c r="G121" s="1"/>
      <c r="H121" s="1"/>
      <c r="I121" s="4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42"/>
      <c r="AE121" s="43"/>
      <c r="AF121" s="43"/>
      <c r="AG121" s="1"/>
    </row>
    <row r="122" spans="1:33" ht="44.25" customHeight="1" x14ac:dyDescent="0.25">
      <c r="A122" s="1"/>
      <c r="B122" s="1"/>
      <c r="C122" s="1"/>
      <c r="D122" s="1"/>
      <c r="E122" s="42"/>
      <c r="F122" s="43"/>
      <c r="G122" s="1"/>
      <c r="H122" s="1"/>
      <c r="I122" s="4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42"/>
      <c r="AE122" s="43"/>
      <c r="AF122" s="43"/>
      <c r="AG122" s="1"/>
    </row>
    <row r="123" spans="1:33" ht="44.25" customHeight="1" x14ac:dyDescent="0.25">
      <c r="A123" s="1"/>
      <c r="B123" s="1"/>
      <c r="C123" s="1"/>
      <c r="D123" s="1"/>
      <c r="E123" s="42"/>
      <c r="F123" s="43"/>
      <c r="G123" s="1"/>
      <c r="H123" s="1"/>
      <c r="I123" s="4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42"/>
      <c r="AE123" s="43"/>
      <c r="AF123" s="43"/>
      <c r="AG123" s="1"/>
    </row>
    <row r="124" spans="1:33" ht="44.25" customHeight="1" x14ac:dyDescent="0.25">
      <c r="A124" s="1"/>
      <c r="B124" s="1"/>
      <c r="C124" s="1"/>
      <c r="D124" s="1"/>
      <c r="E124" s="42"/>
      <c r="F124" s="43"/>
      <c r="G124" s="1"/>
      <c r="H124" s="1"/>
      <c r="I124" s="4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42"/>
      <c r="AE124" s="43"/>
      <c r="AF124" s="43"/>
      <c r="AG124" s="1"/>
    </row>
    <row r="125" spans="1:33" ht="44.25" customHeight="1" x14ac:dyDescent="0.25">
      <c r="A125" s="1"/>
      <c r="B125" s="1"/>
      <c r="C125" s="1"/>
      <c r="D125" s="1"/>
      <c r="E125" s="42"/>
      <c r="F125" s="43"/>
      <c r="G125" s="1"/>
      <c r="H125" s="1"/>
      <c r="I125" s="4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42"/>
      <c r="AE125" s="43"/>
      <c r="AF125" s="43"/>
      <c r="AG125" s="1"/>
    </row>
    <row r="126" spans="1:33" ht="44.25" customHeight="1" x14ac:dyDescent="0.25">
      <c r="A126" s="1"/>
      <c r="B126" s="1"/>
      <c r="C126" s="1"/>
      <c r="D126" s="1"/>
      <c r="E126" s="42"/>
      <c r="F126" s="43"/>
      <c r="G126" s="1"/>
      <c r="H126" s="1"/>
      <c r="I126" s="4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42"/>
      <c r="AE126" s="43"/>
      <c r="AF126" s="43"/>
      <c r="AG126" s="1"/>
    </row>
    <row r="127" spans="1:33" ht="44.25" customHeight="1" x14ac:dyDescent="0.25">
      <c r="A127" s="1"/>
      <c r="B127" s="1"/>
      <c r="C127" s="1"/>
      <c r="D127" s="1"/>
      <c r="E127" s="42"/>
      <c r="F127" s="43"/>
      <c r="G127" s="1"/>
      <c r="H127" s="1"/>
      <c r="I127" s="4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42"/>
      <c r="AE127" s="43"/>
      <c r="AF127" s="43"/>
      <c r="AG127" s="1"/>
    </row>
    <row r="128" spans="1:33" ht="44.25" customHeight="1" x14ac:dyDescent="0.25">
      <c r="A128" s="1"/>
      <c r="B128" s="1"/>
      <c r="C128" s="1"/>
      <c r="D128" s="1"/>
      <c r="E128" s="42"/>
      <c r="F128" s="43"/>
      <c r="G128" s="1"/>
      <c r="H128" s="1"/>
      <c r="I128" s="4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42"/>
      <c r="AE128" s="43"/>
      <c r="AF128" s="43"/>
      <c r="AG128" s="1"/>
    </row>
    <row r="129" spans="1:33" ht="44.25" customHeight="1" x14ac:dyDescent="0.25">
      <c r="A129" s="1"/>
      <c r="B129" s="1"/>
      <c r="C129" s="1"/>
      <c r="D129" s="1"/>
      <c r="E129" s="42"/>
      <c r="F129" s="43"/>
      <c r="G129" s="1"/>
      <c r="H129" s="1"/>
      <c r="I129" s="4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42"/>
      <c r="AE129" s="43"/>
      <c r="AF129" s="43"/>
      <c r="AG129" s="1"/>
    </row>
    <row r="130" spans="1:33" ht="44.25" customHeight="1" x14ac:dyDescent="0.25">
      <c r="A130" s="1"/>
      <c r="B130" s="1"/>
      <c r="C130" s="1"/>
      <c r="D130" s="1"/>
      <c r="E130" s="42"/>
      <c r="F130" s="43"/>
      <c r="G130" s="1"/>
      <c r="H130" s="1"/>
      <c r="I130" s="4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42"/>
      <c r="AE130" s="43"/>
      <c r="AF130" s="43"/>
      <c r="AG130" s="1"/>
    </row>
    <row r="131" spans="1:33" ht="44.25" customHeight="1" x14ac:dyDescent="0.25">
      <c r="A131" s="1"/>
      <c r="B131" s="1"/>
      <c r="C131" s="1"/>
      <c r="D131" s="1"/>
      <c r="E131" s="42"/>
      <c r="F131" s="43"/>
      <c r="G131" s="1"/>
      <c r="H131" s="1"/>
      <c r="I131" s="4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42"/>
      <c r="AE131" s="43"/>
      <c r="AF131" s="43"/>
      <c r="AG131" s="1"/>
    </row>
    <row r="132" spans="1:33" ht="44.25" customHeight="1" x14ac:dyDescent="0.25">
      <c r="A132" s="1"/>
      <c r="B132" s="1"/>
      <c r="C132" s="1"/>
      <c r="D132" s="1"/>
      <c r="E132" s="42"/>
      <c r="F132" s="43"/>
      <c r="G132" s="1"/>
      <c r="H132" s="1"/>
      <c r="I132" s="4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42"/>
      <c r="AE132" s="43"/>
      <c r="AF132" s="43"/>
      <c r="AG132" s="1"/>
    </row>
    <row r="133" spans="1:33" ht="44.25" customHeight="1" x14ac:dyDescent="0.25">
      <c r="A133" s="1"/>
      <c r="B133" s="1"/>
      <c r="C133" s="1"/>
      <c r="D133" s="1"/>
      <c r="E133" s="42"/>
      <c r="F133" s="43"/>
      <c r="G133" s="1"/>
      <c r="H133" s="1"/>
      <c r="I133" s="4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42"/>
      <c r="AE133" s="43"/>
      <c r="AF133" s="43"/>
      <c r="AG133" s="1"/>
    </row>
    <row r="134" spans="1:33" ht="44.25" customHeight="1" x14ac:dyDescent="0.25">
      <c r="A134" s="1"/>
      <c r="B134" s="1"/>
      <c r="C134" s="1"/>
      <c r="D134" s="1"/>
      <c r="E134" s="42"/>
      <c r="F134" s="43"/>
      <c r="G134" s="1"/>
      <c r="H134" s="1"/>
      <c r="I134" s="4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42"/>
      <c r="AE134" s="43"/>
      <c r="AF134" s="43"/>
      <c r="AG134" s="1"/>
    </row>
    <row r="135" spans="1:33" ht="44.25" customHeight="1" x14ac:dyDescent="0.25">
      <c r="A135" s="1"/>
      <c r="B135" s="1"/>
      <c r="C135" s="1"/>
      <c r="D135" s="1"/>
      <c r="E135" s="42"/>
      <c r="F135" s="43"/>
      <c r="G135" s="1"/>
      <c r="H135" s="1"/>
      <c r="I135" s="4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42"/>
      <c r="AE135" s="43"/>
      <c r="AF135" s="43"/>
      <c r="AG135" s="1"/>
    </row>
    <row r="136" spans="1:33" ht="44.25" customHeight="1" x14ac:dyDescent="0.25">
      <c r="A136" s="1"/>
      <c r="B136" s="1"/>
      <c r="C136" s="1"/>
      <c r="D136" s="1"/>
      <c r="E136" s="42"/>
      <c r="F136" s="43"/>
      <c r="G136" s="1"/>
      <c r="H136" s="1"/>
      <c r="I136" s="4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42"/>
      <c r="AE136" s="43"/>
      <c r="AF136" s="43"/>
      <c r="AG136" s="1"/>
    </row>
    <row r="137" spans="1:33" ht="44.25" customHeight="1" x14ac:dyDescent="0.25">
      <c r="A137" s="1"/>
      <c r="B137" s="1"/>
      <c r="C137" s="1"/>
      <c r="D137" s="1"/>
      <c r="E137" s="42"/>
      <c r="F137" s="43"/>
      <c r="G137" s="1"/>
      <c r="H137" s="1"/>
      <c r="I137" s="4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42"/>
      <c r="AE137" s="43"/>
      <c r="AF137" s="43"/>
      <c r="AG137" s="1"/>
    </row>
    <row r="138" spans="1:33" ht="44.25" customHeight="1" x14ac:dyDescent="0.25">
      <c r="A138" s="1"/>
      <c r="B138" s="1"/>
      <c r="C138" s="1"/>
      <c r="D138" s="1"/>
      <c r="E138" s="42"/>
      <c r="F138" s="43"/>
      <c r="G138" s="1"/>
      <c r="H138" s="1"/>
      <c r="I138" s="4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42"/>
      <c r="AE138" s="43"/>
      <c r="AF138" s="43"/>
      <c r="AG138" s="1"/>
    </row>
    <row r="139" spans="1:33" ht="44.25" customHeight="1" x14ac:dyDescent="0.25">
      <c r="A139" s="1"/>
      <c r="B139" s="1"/>
      <c r="C139" s="1"/>
      <c r="D139" s="1"/>
      <c r="E139" s="42"/>
      <c r="F139" s="43"/>
      <c r="G139" s="1"/>
      <c r="H139" s="1"/>
      <c r="I139" s="4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42"/>
      <c r="AE139" s="43"/>
      <c r="AF139" s="43"/>
      <c r="AG139" s="1"/>
    </row>
    <row r="140" spans="1:33" ht="44.25" customHeight="1" x14ac:dyDescent="0.25">
      <c r="A140" s="1"/>
      <c r="B140" s="1"/>
      <c r="C140" s="1"/>
      <c r="D140" s="1"/>
      <c r="E140" s="42"/>
      <c r="F140" s="43"/>
      <c r="G140" s="1"/>
      <c r="H140" s="1"/>
      <c r="I140" s="4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42"/>
      <c r="AE140" s="43"/>
      <c r="AF140" s="43"/>
      <c r="AG140" s="1"/>
    </row>
    <row r="141" spans="1:33" ht="44.25" customHeight="1" x14ac:dyDescent="0.25">
      <c r="A141" s="1"/>
      <c r="B141" s="1"/>
      <c r="C141" s="1"/>
      <c r="D141" s="1"/>
      <c r="E141" s="42"/>
      <c r="F141" s="43"/>
      <c r="G141" s="1"/>
      <c r="H141" s="1"/>
      <c r="I141" s="4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42"/>
      <c r="AE141" s="43"/>
      <c r="AF141" s="43"/>
      <c r="AG141" s="1"/>
    </row>
    <row r="142" spans="1:33" ht="44.25" customHeight="1" x14ac:dyDescent="0.25">
      <c r="A142" s="1"/>
      <c r="B142" s="1"/>
      <c r="C142" s="1"/>
      <c r="D142" s="1"/>
      <c r="E142" s="42"/>
      <c r="F142" s="43"/>
      <c r="G142" s="1"/>
      <c r="H142" s="1"/>
      <c r="I142" s="4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42"/>
      <c r="AE142" s="43"/>
      <c r="AF142" s="43"/>
      <c r="AG142" s="1"/>
    </row>
    <row r="143" spans="1:33" ht="44.25" customHeight="1" x14ac:dyDescent="0.25">
      <c r="A143" s="1"/>
      <c r="B143" s="1"/>
      <c r="C143" s="1"/>
      <c r="D143" s="1"/>
      <c r="E143" s="42"/>
      <c r="F143" s="43"/>
      <c r="G143" s="1"/>
      <c r="H143" s="1"/>
      <c r="I143" s="4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42"/>
      <c r="AE143" s="43"/>
      <c r="AF143" s="43"/>
      <c r="AG143" s="1"/>
    </row>
    <row r="144" spans="1:33" ht="44.25" customHeight="1" x14ac:dyDescent="0.25">
      <c r="A144" s="1"/>
      <c r="B144" s="1"/>
      <c r="C144" s="1"/>
      <c r="D144" s="1"/>
      <c r="E144" s="42"/>
      <c r="F144" s="43"/>
      <c r="G144" s="1"/>
      <c r="H144" s="1"/>
      <c r="I144" s="4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42"/>
      <c r="AE144" s="43"/>
      <c r="AF144" s="43"/>
      <c r="AG144" s="1"/>
    </row>
    <row r="145" spans="1:33" ht="44.25" customHeight="1" x14ac:dyDescent="0.25">
      <c r="A145" s="1"/>
      <c r="B145" s="1"/>
      <c r="C145" s="1"/>
      <c r="D145" s="1"/>
      <c r="E145" s="42"/>
      <c r="F145" s="43"/>
      <c r="G145" s="1"/>
      <c r="H145" s="1"/>
      <c r="I145" s="4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42"/>
      <c r="AE145" s="43"/>
      <c r="AF145" s="43"/>
      <c r="AG145" s="1"/>
    </row>
    <row r="146" spans="1:33" ht="44.25" customHeight="1" x14ac:dyDescent="0.25">
      <c r="A146" s="1"/>
      <c r="B146" s="1"/>
      <c r="C146" s="1"/>
      <c r="D146" s="1"/>
      <c r="E146" s="42"/>
      <c r="F146" s="43"/>
      <c r="G146" s="1"/>
      <c r="H146" s="1"/>
      <c r="I146" s="4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42"/>
      <c r="AE146" s="43"/>
      <c r="AF146" s="43"/>
      <c r="AG146" s="1"/>
    </row>
    <row r="147" spans="1:33" ht="44.25" customHeight="1" x14ac:dyDescent="0.25">
      <c r="A147" s="1"/>
      <c r="B147" s="1"/>
      <c r="C147" s="1"/>
      <c r="D147" s="1"/>
      <c r="E147" s="42"/>
      <c r="F147" s="43"/>
      <c r="G147" s="1"/>
      <c r="H147" s="1"/>
      <c r="I147" s="4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42"/>
      <c r="AE147" s="43"/>
      <c r="AF147" s="43"/>
      <c r="AG147" s="1"/>
    </row>
    <row r="148" spans="1:33" ht="44.25" customHeight="1" x14ac:dyDescent="0.25">
      <c r="A148" s="1"/>
      <c r="B148" s="1"/>
      <c r="C148" s="1"/>
      <c r="D148" s="1"/>
      <c r="E148" s="42"/>
      <c r="F148" s="43"/>
      <c r="G148" s="1"/>
      <c r="H148" s="1"/>
      <c r="I148" s="4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42"/>
      <c r="AE148" s="43"/>
      <c r="AF148" s="43"/>
      <c r="AG148" s="1"/>
    </row>
    <row r="149" spans="1:33" ht="44.25" customHeight="1" x14ac:dyDescent="0.25">
      <c r="A149" s="1"/>
      <c r="B149" s="1"/>
      <c r="C149" s="1"/>
      <c r="D149" s="1"/>
      <c r="E149" s="42"/>
      <c r="F149" s="43"/>
      <c r="G149" s="1"/>
      <c r="H149" s="1"/>
      <c r="I149" s="4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42"/>
      <c r="AE149" s="43"/>
      <c r="AF149" s="43"/>
      <c r="AG149" s="1"/>
    </row>
    <row r="150" spans="1:33" ht="44.25" customHeight="1" x14ac:dyDescent="0.25">
      <c r="A150" s="1"/>
      <c r="B150" s="1"/>
      <c r="C150" s="1"/>
      <c r="D150" s="1"/>
      <c r="E150" s="42"/>
      <c r="F150" s="43"/>
      <c r="G150" s="1"/>
      <c r="H150" s="1"/>
      <c r="I150" s="4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42"/>
      <c r="AE150" s="43"/>
      <c r="AF150" s="43"/>
      <c r="AG150" s="1"/>
    </row>
    <row r="151" spans="1:33" ht="44.25" customHeight="1" x14ac:dyDescent="0.25">
      <c r="A151" s="1"/>
      <c r="B151" s="1"/>
      <c r="C151" s="1"/>
      <c r="D151" s="1"/>
      <c r="E151" s="42"/>
      <c r="F151" s="43"/>
      <c r="G151" s="1"/>
      <c r="H151" s="1"/>
      <c r="I151" s="4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42"/>
      <c r="AE151" s="43"/>
      <c r="AF151" s="43"/>
      <c r="AG151" s="1"/>
    </row>
    <row r="152" spans="1:33" ht="44.25" customHeight="1" x14ac:dyDescent="0.25">
      <c r="A152" s="1"/>
      <c r="B152" s="1"/>
      <c r="C152" s="1"/>
      <c r="D152" s="1"/>
      <c r="E152" s="42"/>
      <c r="F152" s="43"/>
      <c r="G152" s="1"/>
      <c r="H152" s="1"/>
      <c r="I152" s="4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42"/>
      <c r="AE152" s="43"/>
      <c r="AF152" s="43"/>
      <c r="AG152" s="1"/>
    </row>
    <row r="153" spans="1:33" ht="44.25" customHeight="1" x14ac:dyDescent="0.25">
      <c r="A153" s="1"/>
      <c r="B153" s="1"/>
      <c r="C153" s="1"/>
      <c r="D153" s="1"/>
      <c r="E153" s="42"/>
      <c r="F153" s="43"/>
      <c r="G153" s="1"/>
      <c r="H153" s="1"/>
      <c r="I153" s="4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42"/>
      <c r="AE153" s="43"/>
      <c r="AF153" s="43"/>
      <c r="AG153" s="1"/>
    </row>
    <row r="154" spans="1:33" ht="44.25" customHeight="1" x14ac:dyDescent="0.25">
      <c r="A154" s="1"/>
      <c r="B154" s="1"/>
      <c r="C154" s="1"/>
      <c r="D154" s="1"/>
      <c r="E154" s="42"/>
      <c r="F154" s="43"/>
      <c r="G154" s="1"/>
      <c r="H154" s="1"/>
      <c r="I154" s="4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42"/>
      <c r="AE154" s="43"/>
      <c r="AF154" s="43"/>
      <c r="AG154" s="1"/>
    </row>
    <row r="155" spans="1:33" ht="44.25" customHeight="1" x14ac:dyDescent="0.25">
      <c r="A155" s="1"/>
      <c r="B155" s="1"/>
      <c r="C155" s="1"/>
      <c r="D155" s="1"/>
      <c r="E155" s="42"/>
      <c r="F155" s="43"/>
      <c r="G155" s="1"/>
      <c r="H155" s="1"/>
      <c r="I155" s="4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42"/>
      <c r="AE155" s="43"/>
      <c r="AF155" s="43"/>
      <c r="AG155" s="1"/>
    </row>
    <row r="156" spans="1:33" ht="44.25" customHeight="1" x14ac:dyDescent="0.25">
      <c r="A156" s="1"/>
      <c r="B156" s="1"/>
      <c r="C156" s="1"/>
      <c r="D156" s="1"/>
      <c r="E156" s="42"/>
      <c r="F156" s="43"/>
      <c r="G156" s="1"/>
      <c r="H156" s="1"/>
      <c r="I156" s="4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42"/>
      <c r="AE156" s="43"/>
      <c r="AF156" s="43"/>
      <c r="AG156" s="1"/>
    </row>
    <row r="157" spans="1:33" ht="44.25" customHeight="1" x14ac:dyDescent="0.25">
      <c r="A157" s="1"/>
      <c r="B157" s="1"/>
      <c r="C157" s="1"/>
      <c r="D157" s="1"/>
      <c r="E157" s="42"/>
      <c r="F157" s="43"/>
      <c r="G157" s="1"/>
      <c r="H157" s="1"/>
      <c r="I157" s="4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42"/>
      <c r="AE157" s="43"/>
      <c r="AF157" s="43"/>
      <c r="AG157" s="1"/>
    </row>
    <row r="158" spans="1:33" ht="44.25" customHeight="1" x14ac:dyDescent="0.25">
      <c r="A158" s="1"/>
      <c r="B158" s="1"/>
      <c r="C158" s="1"/>
      <c r="D158" s="1"/>
      <c r="E158" s="42"/>
      <c r="F158" s="43"/>
      <c r="G158" s="1"/>
      <c r="H158" s="1"/>
      <c r="I158" s="4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42"/>
      <c r="AE158" s="43"/>
      <c r="AF158" s="43"/>
      <c r="AG158" s="1"/>
    </row>
    <row r="159" spans="1:33" ht="44.25" customHeight="1" x14ac:dyDescent="0.25">
      <c r="A159" s="1"/>
      <c r="B159" s="1"/>
      <c r="C159" s="1"/>
      <c r="D159" s="1"/>
      <c r="E159" s="42"/>
      <c r="F159" s="43"/>
      <c r="G159" s="1"/>
      <c r="H159" s="1"/>
      <c r="I159" s="4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42"/>
      <c r="AE159" s="43"/>
      <c r="AF159" s="43"/>
      <c r="AG159" s="1"/>
    </row>
    <row r="160" spans="1:33" ht="44.25" customHeight="1" x14ac:dyDescent="0.25">
      <c r="A160" s="1"/>
      <c r="B160" s="1"/>
      <c r="C160" s="1"/>
      <c r="D160" s="1"/>
      <c r="E160" s="42"/>
      <c r="F160" s="43"/>
      <c r="G160" s="1"/>
      <c r="H160" s="1"/>
      <c r="I160" s="4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42"/>
      <c r="AE160" s="43"/>
      <c r="AF160" s="43"/>
      <c r="AG160" s="1"/>
    </row>
    <row r="161" spans="1:33" ht="44.25" customHeight="1" x14ac:dyDescent="0.25">
      <c r="A161" s="1"/>
      <c r="B161" s="1"/>
      <c r="C161" s="1"/>
      <c r="D161" s="1"/>
      <c r="E161" s="42"/>
      <c r="F161" s="43"/>
      <c r="G161" s="1"/>
      <c r="H161" s="1"/>
      <c r="I161" s="4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42"/>
      <c r="AE161" s="43"/>
      <c r="AF161" s="43"/>
      <c r="AG161" s="1"/>
    </row>
    <row r="162" spans="1:33" ht="44.25" customHeight="1" x14ac:dyDescent="0.25">
      <c r="A162" s="1"/>
      <c r="B162" s="1"/>
      <c r="C162" s="1"/>
      <c r="D162" s="1"/>
      <c r="E162" s="42"/>
      <c r="F162" s="43"/>
      <c r="G162" s="1"/>
      <c r="H162" s="1"/>
      <c r="I162" s="4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42"/>
      <c r="AE162" s="43"/>
      <c r="AF162" s="43"/>
      <c r="AG162" s="1"/>
    </row>
    <row r="163" spans="1:33" ht="44.25" customHeight="1" x14ac:dyDescent="0.25">
      <c r="A163" s="1"/>
      <c r="B163" s="1"/>
      <c r="C163" s="1"/>
      <c r="D163" s="1"/>
      <c r="E163" s="42"/>
      <c r="F163" s="43"/>
      <c r="G163" s="1"/>
      <c r="H163" s="1"/>
      <c r="I163" s="4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42"/>
      <c r="AE163" s="43"/>
      <c r="AF163" s="43"/>
      <c r="AG163" s="1"/>
    </row>
    <row r="164" spans="1:33" ht="44.25" customHeight="1" x14ac:dyDescent="0.25">
      <c r="A164" s="1"/>
      <c r="B164" s="1"/>
      <c r="C164" s="1"/>
      <c r="D164" s="1"/>
      <c r="E164" s="42"/>
      <c r="F164" s="43"/>
      <c r="G164" s="1"/>
      <c r="H164" s="1"/>
      <c r="I164" s="4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42"/>
      <c r="AE164" s="43"/>
      <c r="AF164" s="43"/>
      <c r="AG164" s="1"/>
    </row>
    <row r="165" spans="1:33" ht="44.25" customHeight="1" x14ac:dyDescent="0.25">
      <c r="A165" s="1"/>
      <c r="B165" s="1"/>
      <c r="C165" s="1"/>
      <c r="D165" s="1"/>
      <c r="E165" s="42"/>
      <c r="F165" s="43"/>
      <c r="G165" s="1"/>
      <c r="H165" s="1"/>
      <c r="I165" s="4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42"/>
      <c r="AE165" s="43"/>
      <c r="AF165" s="43"/>
      <c r="AG165" s="1"/>
    </row>
    <row r="166" spans="1:33" ht="44.25" customHeight="1" x14ac:dyDescent="0.25">
      <c r="A166" s="1"/>
      <c r="B166" s="1"/>
      <c r="C166" s="1"/>
      <c r="D166" s="1"/>
      <c r="E166" s="42"/>
      <c r="F166" s="43"/>
      <c r="G166" s="1"/>
      <c r="H166" s="1"/>
      <c r="I166" s="4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42"/>
      <c r="AE166" s="43"/>
      <c r="AF166" s="43"/>
      <c r="AG166" s="1"/>
    </row>
    <row r="167" spans="1:33" ht="44.25" customHeight="1" x14ac:dyDescent="0.25">
      <c r="A167" s="1"/>
      <c r="B167" s="1"/>
      <c r="C167" s="1"/>
      <c r="D167" s="1"/>
      <c r="E167" s="42"/>
      <c r="F167" s="43"/>
      <c r="G167" s="1"/>
      <c r="H167" s="1"/>
      <c r="I167" s="4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42"/>
      <c r="AE167" s="43"/>
      <c r="AF167" s="43"/>
      <c r="AG167" s="1"/>
    </row>
    <row r="168" spans="1:33" ht="44.25" customHeight="1" x14ac:dyDescent="0.25">
      <c r="A168" s="1"/>
      <c r="B168" s="1"/>
      <c r="C168" s="1"/>
      <c r="D168" s="1"/>
      <c r="E168" s="42"/>
      <c r="F168" s="43"/>
      <c r="G168" s="1"/>
      <c r="H168" s="1"/>
      <c r="I168" s="4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42"/>
      <c r="AE168" s="43"/>
      <c r="AF168" s="43"/>
      <c r="AG168" s="1"/>
    </row>
    <row r="169" spans="1:33" ht="44.25" customHeight="1" x14ac:dyDescent="0.25">
      <c r="A169" s="1"/>
      <c r="B169" s="1"/>
      <c r="C169" s="1"/>
      <c r="D169" s="1"/>
      <c r="E169" s="42"/>
      <c r="F169" s="43"/>
      <c r="G169" s="1"/>
      <c r="H169" s="1"/>
      <c r="I169" s="4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42"/>
      <c r="AE169" s="43"/>
      <c r="AF169" s="43"/>
      <c r="AG169" s="1"/>
    </row>
    <row r="170" spans="1:33" ht="44.25" customHeight="1" x14ac:dyDescent="0.25">
      <c r="A170" s="1"/>
      <c r="B170" s="1"/>
      <c r="C170" s="1"/>
      <c r="D170" s="1"/>
      <c r="E170" s="42"/>
      <c r="F170" s="43"/>
      <c r="G170" s="1"/>
      <c r="H170" s="1"/>
      <c r="I170" s="4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42"/>
      <c r="AE170" s="43"/>
      <c r="AF170" s="43"/>
      <c r="AG170" s="1"/>
    </row>
    <row r="171" spans="1:33" ht="44.25" customHeight="1" x14ac:dyDescent="0.25">
      <c r="A171" s="1"/>
      <c r="B171" s="1"/>
      <c r="C171" s="1"/>
      <c r="D171" s="1"/>
      <c r="E171" s="42"/>
      <c r="F171" s="43"/>
      <c r="G171" s="1"/>
      <c r="H171" s="1"/>
      <c r="I171" s="4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42"/>
      <c r="AE171" s="43"/>
      <c r="AF171" s="43"/>
      <c r="AG171" s="1"/>
    </row>
    <row r="172" spans="1:33" ht="44.25" customHeight="1" x14ac:dyDescent="0.25">
      <c r="A172" s="1"/>
      <c r="B172" s="1"/>
      <c r="C172" s="1"/>
      <c r="D172" s="1"/>
      <c r="E172" s="42"/>
      <c r="F172" s="43"/>
      <c r="G172" s="1"/>
      <c r="H172" s="1"/>
      <c r="I172" s="4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42"/>
      <c r="AE172" s="43"/>
      <c r="AF172" s="43"/>
      <c r="AG172" s="1"/>
    </row>
    <row r="173" spans="1:33" ht="44.25" customHeight="1" x14ac:dyDescent="0.25">
      <c r="A173" s="1"/>
      <c r="B173" s="1"/>
      <c r="C173" s="1"/>
      <c r="D173" s="1"/>
      <c r="E173" s="42"/>
      <c r="F173" s="43"/>
      <c r="G173" s="1"/>
      <c r="H173" s="1"/>
      <c r="I173" s="4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42"/>
      <c r="AE173" s="43"/>
      <c r="AF173" s="43"/>
      <c r="AG173" s="1"/>
    </row>
    <row r="174" spans="1:33" ht="44.25" customHeight="1" x14ac:dyDescent="0.25">
      <c r="A174" s="1"/>
      <c r="B174" s="1"/>
      <c r="C174" s="1"/>
      <c r="D174" s="1"/>
      <c r="E174" s="42"/>
      <c r="F174" s="43"/>
      <c r="G174" s="1"/>
      <c r="H174" s="1"/>
      <c r="I174" s="4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42"/>
      <c r="AE174" s="43"/>
      <c r="AF174" s="43"/>
      <c r="AG174" s="1"/>
    </row>
    <row r="175" spans="1:33" ht="44.25" customHeight="1" x14ac:dyDescent="0.25">
      <c r="A175" s="1"/>
      <c r="B175" s="1"/>
      <c r="C175" s="1"/>
      <c r="D175" s="1"/>
      <c r="E175" s="42"/>
      <c r="F175" s="43"/>
      <c r="G175" s="1"/>
      <c r="H175" s="1"/>
      <c r="I175" s="4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42"/>
      <c r="AE175" s="43"/>
      <c r="AF175" s="43"/>
      <c r="AG175" s="1"/>
    </row>
    <row r="176" spans="1:33" ht="44.25" customHeight="1" x14ac:dyDescent="0.25">
      <c r="A176" s="1"/>
      <c r="B176" s="1"/>
      <c r="C176" s="1"/>
      <c r="D176" s="1"/>
      <c r="E176" s="42"/>
      <c r="F176" s="43"/>
      <c r="G176" s="1"/>
      <c r="H176" s="1"/>
      <c r="I176" s="4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42"/>
      <c r="AE176" s="43"/>
      <c r="AF176" s="43"/>
      <c r="AG176" s="1"/>
    </row>
    <row r="177" spans="1:33" ht="44.25" customHeight="1" x14ac:dyDescent="0.25">
      <c r="A177" s="1"/>
      <c r="B177" s="1"/>
      <c r="C177" s="1"/>
      <c r="D177" s="1"/>
      <c r="E177" s="42"/>
      <c r="F177" s="43"/>
      <c r="G177" s="1"/>
      <c r="H177" s="1"/>
      <c r="I177" s="4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42"/>
      <c r="AE177" s="43"/>
      <c r="AF177" s="43"/>
      <c r="AG177" s="1"/>
    </row>
    <row r="178" spans="1:33" ht="44.25" customHeight="1" x14ac:dyDescent="0.25">
      <c r="A178" s="1"/>
      <c r="B178" s="1"/>
      <c r="C178" s="1"/>
      <c r="D178" s="1"/>
      <c r="E178" s="42"/>
      <c r="F178" s="43"/>
      <c r="G178" s="1"/>
      <c r="H178" s="1"/>
      <c r="I178" s="4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42"/>
      <c r="AE178" s="43"/>
      <c r="AF178" s="43"/>
      <c r="AG178" s="1"/>
    </row>
    <row r="179" spans="1:33" ht="44.25" customHeight="1" x14ac:dyDescent="0.25">
      <c r="A179" s="1"/>
      <c r="B179" s="1"/>
      <c r="C179" s="1"/>
      <c r="D179" s="1"/>
      <c r="E179" s="42"/>
      <c r="F179" s="43"/>
      <c r="G179" s="1"/>
      <c r="H179" s="1"/>
      <c r="I179" s="4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42"/>
      <c r="AE179" s="43"/>
      <c r="AF179" s="43"/>
      <c r="AG179" s="1"/>
    </row>
    <row r="180" spans="1:33" ht="44.25" customHeight="1" x14ac:dyDescent="0.25">
      <c r="A180" s="1"/>
      <c r="B180" s="1"/>
      <c r="C180" s="1"/>
      <c r="D180" s="1"/>
      <c r="E180" s="42"/>
      <c r="F180" s="43"/>
      <c r="G180" s="1"/>
      <c r="H180" s="1"/>
      <c r="I180" s="4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42"/>
      <c r="AE180" s="43"/>
      <c r="AF180" s="43"/>
      <c r="AG180" s="1"/>
    </row>
    <row r="181" spans="1:33" ht="44.25" customHeight="1" x14ac:dyDescent="0.25">
      <c r="A181" s="1"/>
      <c r="B181" s="1"/>
      <c r="C181" s="1"/>
      <c r="D181" s="1"/>
      <c r="E181" s="42"/>
      <c r="F181" s="43"/>
      <c r="G181" s="1"/>
      <c r="H181" s="1"/>
      <c r="I181" s="4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42"/>
      <c r="AE181" s="43"/>
      <c r="AF181" s="43"/>
      <c r="AG181" s="1"/>
    </row>
    <row r="182" spans="1:33" ht="44.25" customHeight="1" x14ac:dyDescent="0.25">
      <c r="A182" s="1"/>
      <c r="B182" s="1"/>
      <c r="C182" s="1"/>
      <c r="D182" s="1"/>
      <c r="E182" s="42"/>
      <c r="F182" s="43"/>
      <c r="G182" s="1"/>
      <c r="H182" s="1"/>
      <c r="I182" s="4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42"/>
      <c r="AE182" s="43"/>
      <c r="AF182" s="43"/>
      <c r="AG182" s="1"/>
    </row>
    <row r="183" spans="1:33" ht="44.25" customHeight="1" x14ac:dyDescent="0.25">
      <c r="A183" s="1"/>
      <c r="B183" s="1"/>
      <c r="C183" s="1"/>
      <c r="D183" s="1"/>
      <c r="E183" s="42"/>
      <c r="F183" s="43"/>
      <c r="G183" s="1"/>
      <c r="H183" s="1"/>
      <c r="I183" s="4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42"/>
      <c r="AE183" s="43"/>
      <c r="AF183" s="43"/>
      <c r="AG183" s="1"/>
    </row>
    <row r="184" spans="1:33" ht="44.25" customHeight="1" x14ac:dyDescent="0.25">
      <c r="A184" s="1"/>
      <c r="B184" s="1"/>
      <c r="C184" s="1"/>
      <c r="D184" s="1"/>
      <c r="E184" s="42"/>
      <c r="F184" s="43"/>
      <c r="G184" s="1"/>
      <c r="H184" s="1"/>
      <c r="I184" s="4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42"/>
      <c r="AE184" s="43"/>
      <c r="AF184" s="43"/>
      <c r="AG184" s="1"/>
    </row>
    <row r="185" spans="1:33" ht="44.25" customHeight="1" x14ac:dyDescent="0.25">
      <c r="A185" s="1"/>
      <c r="B185" s="1"/>
      <c r="C185" s="1"/>
      <c r="D185" s="1"/>
      <c r="E185" s="42"/>
      <c r="F185" s="43"/>
      <c r="G185" s="1"/>
      <c r="H185" s="1"/>
      <c r="I185" s="4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42"/>
      <c r="AE185" s="43"/>
      <c r="AF185" s="43"/>
      <c r="AG185" s="1"/>
    </row>
    <row r="186" spans="1:33" ht="44.25" customHeight="1" x14ac:dyDescent="0.25">
      <c r="A186" s="1"/>
      <c r="B186" s="1"/>
      <c r="C186" s="1"/>
      <c r="D186" s="1"/>
      <c r="E186" s="42"/>
      <c r="F186" s="43"/>
      <c r="G186" s="1"/>
      <c r="H186" s="1"/>
      <c r="I186" s="4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42"/>
      <c r="AE186" s="43"/>
      <c r="AF186" s="43"/>
      <c r="AG186" s="1"/>
    </row>
    <row r="187" spans="1:33" ht="44.25" customHeight="1" x14ac:dyDescent="0.25">
      <c r="A187" s="1"/>
      <c r="B187" s="1"/>
      <c r="C187" s="1"/>
      <c r="D187" s="1"/>
      <c r="E187" s="42"/>
      <c r="F187" s="43"/>
      <c r="G187" s="1"/>
      <c r="H187" s="1"/>
      <c r="I187" s="4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42"/>
      <c r="AE187" s="43"/>
      <c r="AF187" s="43"/>
      <c r="AG187" s="1"/>
    </row>
    <row r="188" spans="1:33" ht="44.25" customHeight="1" x14ac:dyDescent="0.25">
      <c r="A188" s="1"/>
      <c r="B188" s="1"/>
      <c r="C188" s="1"/>
      <c r="D188" s="1"/>
      <c r="E188" s="42"/>
      <c r="F188" s="43"/>
      <c r="G188" s="1"/>
      <c r="H188" s="1"/>
      <c r="I188" s="4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42"/>
      <c r="AE188" s="43"/>
      <c r="AF188" s="43"/>
      <c r="AG188" s="1"/>
    </row>
    <row r="189" spans="1:33" ht="44.25" customHeight="1" x14ac:dyDescent="0.25">
      <c r="A189" s="1"/>
      <c r="B189" s="1"/>
      <c r="C189" s="1"/>
      <c r="D189" s="1"/>
      <c r="E189" s="42"/>
      <c r="F189" s="43"/>
      <c r="G189" s="1"/>
      <c r="H189" s="1"/>
      <c r="I189" s="4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42"/>
      <c r="AE189" s="43"/>
      <c r="AF189" s="43"/>
      <c r="AG189" s="1"/>
    </row>
    <row r="190" spans="1:33" ht="44.25" customHeight="1" x14ac:dyDescent="0.25">
      <c r="A190" s="1"/>
      <c r="B190" s="1"/>
      <c r="C190" s="1"/>
      <c r="D190" s="1"/>
      <c r="E190" s="42"/>
      <c r="F190" s="43"/>
      <c r="G190" s="1"/>
      <c r="H190" s="1"/>
      <c r="I190" s="4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42"/>
      <c r="AE190" s="43"/>
      <c r="AF190" s="43"/>
      <c r="AG190" s="1"/>
    </row>
    <row r="191" spans="1:33" ht="44.25" customHeight="1" x14ac:dyDescent="0.25">
      <c r="A191" s="1"/>
      <c r="B191" s="1"/>
      <c r="C191" s="1"/>
      <c r="D191" s="1"/>
      <c r="E191" s="42"/>
      <c r="F191" s="43"/>
      <c r="G191" s="1"/>
      <c r="H191" s="1"/>
      <c r="I191" s="4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42"/>
      <c r="AE191" s="43"/>
      <c r="AF191" s="43"/>
      <c r="AG191" s="1"/>
    </row>
    <row r="192" spans="1:33" ht="44.25" customHeight="1" x14ac:dyDescent="0.25">
      <c r="A192" s="1"/>
      <c r="B192" s="1"/>
      <c r="C192" s="1"/>
      <c r="D192" s="1"/>
      <c r="E192" s="42"/>
      <c r="F192" s="43"/>
      <c r="G192" s="1"/>
      <c r="H192" s="1"/>
      <c r="I192" s="4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42"/>
      <c r="AE192" s="43"/>
      <c r="AF192" s="43"/>
      <c r="AG192" s="1"/>
    </row>
    <row r="193" spans="1:33" ht="44.25" customHeight="1" x14ac:dyDescent="0.25">
      <c r="A193" s="1"/>
      <c r="B193" s="1"/>
      <c r="C193" s="1"/>
      <c r="D193" s="1"/>
      <c r="E193" s="42"/>
      <c r="F193" s="43"/>
      <c r="G193" s="1"/>
      <c r="H193" s="1"/>
      <c r="I193" s="4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42"/>
      <c r="AE193" s="43"/>
      <c r="AF193" s="43"/>
      <c r="AG193" s="1"/>
    </row>
    <row r="194" spans="1:33" ht="44.25" customHeight="1" x14ac:dyDescent="0.25">
      <c r="A194" s="1"/>
      <c r="B194" s="1"/>
      <c r="C194" s="1"/>
      <c r="D194" s="1"/>
      <c r="E194" s="42"/>
      <c r="F194" s="43"/>
      <c r="G194" s="1"/>
      <c r="H194" s="1"/>
      <c r="I194" s="4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42"/>
      <c r="AE194" s="43"/>
      <c r="AF194" s="43"/>
      <c r="AG194" s="1"/>
    </row>
    <row r="195" spans="1:33" ht="44.25" customHeight="1" x14ac:dyDescent="0.25">
      <c r="A195" s="1"/>
      <c r="B195" s="1"/>
      <c r="C195" s="1"/>
      <c r="D195" s="1"/>
      <c r="E195" s="42"/>
      <c r="F195" s="43"/>
      <c r="G195" s="1"/>
      <c r="H195" s="1"/>
      <c r="I195" s="4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42"/>
      <c r="AE195" s="43"/>
      <c r="AF195" s="43"/>
      <c r="AG195" s="1"/>
    </row>
    <row r="196" spans="1:33" ht="44.25" customHeight="1" x14ac:dyDescent="0.25">
      <c r="A196" s="1"/>
      <c r="B196" s="1"/>
      <c r="C196" s="1"/>
      <c r="D196" s="1"/>
      <c r="E196" s="42"/>
      <c r="F196" s="43"/>
      <c r="G196" s="1"/>
      <c r="H196" s="1"/>
      <c r="I196" s="4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42"/>
      <c r="AE196" s="43"/>
      <c r="AF196" s="43"/>
      <c r="AG196" s="1"/>
    </row>
    <row r="197" spans="1:33" ht="44.25" customHeight="1" x14ac:dyDescent="0.25">
      <c r="A197" s="1"/>
      <c r="B197" s="1"/>
      <c r="C197" s="1"/>
      <c r="D197" s="1"/>
      <c r="E197" s="42"/>
      <c r="F197" s="43"/>
      <c r="G197" s="1"/>
      <c r="H197" s="1"/>
      <c r="I197" s="4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42"/>
      <c r="AE197" s="43"/>
      <c r="AF197" s="43"/>
      <c r="AG197" s="1"/>
    </row>
    <row r="198" spans="1:33" ht="44.25" customHeight="1" x14ac:dyDescent="0.25">
      <c r="A198" s="1"/>
      <c r="B198" s="1"/>
      <c r="C198" s="1"/>
      <c r="D198" s="1"/>
      <c r="E198" s="42"/>
      <c r="F198" s="43"/>
      <c r="G198" s="1"/>
      <c r="H198" s="1"/>
      <c r="I198" s="4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42"/>
      <c r="AE198" s="43"/>
      <c r="AF198" s="43"/>
      <c r="AG198" s="1"/>
    </row>
    <row r="199" spans="1:33" ht="44.25" customHeight="1" x14ac:dyDescent="0.25">
      <c r="A199" s="1"/>
      <c r="B199" s="1"/>
      <c r="C199" s="1"/>
      <c r="D199" s="1"/>
      <c r="E199" s="42"/>
      <c r="F199" s="43"/>
      <c r="G199" s="1"/>
      <c r="H199" s="1"/>
      <c r="I199" s="4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42"/>
      <c r="AE199" s="43"/>
      <c r="AF199" s="43"/>
      <c r="AG199" s="1"/>
    </row>
    <row r="200" spans="1:33" ht="44.25" customHeight="1" x14ac:dyDescent="0.25">
      <c r="A200" s="47" t="s">
        <v>283</v>
      </c>
      <c r="B200" s="1"/>
      <c r="C200" s="1"/>
      <c r="D200" s="1"/>
      <c r="E200" s="42"/>
      <c r="F200" s="43"/>
      <c r="G200" s="1"/>
      <c r="H200" s="1"/>
      <c r="I200" s="4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42"/>
      <c r="AE200" s="43"/>
      <c r="AF200" s="43"/>
      <c r="AG200" s="1"/>
    </row>
    <row r="201" spans="1:33" ht="44.25" customHeight="1" x14ac:dyDescent="0.25">
      <c r="A201" s="47" t="s">
        <v>284</v>
      </c>
      <c r="B201" s="1"/>
      <c r="C201" s="1"/>
      <c r="D201" s="1"/>
      <c r="E201" s="42"/>
      <c r="F201" s="43"/>
      <c r="G201" s="1"/>
      <c r="H201" s="1"/>
      <c r="I201" s="4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42"/>
      <c r="AE201" s="43"/>
      <c r="AF201" s="43"/>
      <c r="AG201" s="1"/>
    </row>
    <row r="202" spans="1:33" ht="44.25" customHeight="1" x14ac:dyDescent="0.25">
      <c r="A202" s="1"/>
      <c r="B202" s="1"/>
      <c r="C202" s="1"/>
      <c r="D202" s="1"/>
      <c r="E202" s="42"/>
      <c r="F202" s="43"/>
      <c r="G202" s="1"/>
      <c r="H202" s="1"/>
      <c r="I202" s="4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42"/>
      <c r="AE202" s="43"/>
      <c r="AF202" s="43"/>
      <c r="AG202" s="1"/>
    </row>
    <row r="203" spans="1:33" ht="44.25" customHeight="1" x14ac:dyDescent="0.25">
      <c r="A203" s="1"/>
      <c r="B203" s="1"/>
      <c r="C203" s="1"/>
      <c r="D203" s="1"/>
      <c r="E203" s="42"/>
      <c r="F203" s="43"/>
      <c r="G203" s="1"/>
      <c r="H203" s="1"/>
      <c r="I203" s="4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42"/>
      <c r="AE203" s="43"/>
      <c r="AF203" s="43"/>
      <c r="AG203" s="1"/>
    </row>
    <row r="204" spans="1:33" ht="44.25" customHeight="1" x14ac:dyDescent="0.25">
      <c r="A204" s="1"/>
      <c r="B204" s="1"/>
      <c r="C204" s="1"/>
      <c r="D204" s="1"/>
      <c r="E204" s="42"/>
      <c r="F204" s="43"/>
      <c r="G204" s="1"/>
      <c r="H204" s="1"/>
      <c r="I204" s="4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42"/>
      <c r="AE204" s="43"/>
      <c r="AF204" s="43"/>
      <c r="AG204" s="1"/>
    </row>
    <row r="205" spans="1:33" ht="44.25" customHeight="1" x14ac:dyDescent="0.25">
      <c r="A205" s="1"/>
      <c r="B205" s="1"/>
      <c r="C205" s="1"/>
      <c r="D205" s="1"/>
      <c r="E205" s="42"/>
      <c r="F205" s="43"/>
      <c r="G205" s="1"/>
      <c r="H205" s="1"/>
      <c r="I205" s="4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42"/>
      <c r="AE205" s="43"/>
      <c r="AF205" s="43"/>
      <c r="AG205" s="1"/>
    </row>
    <row r="206" spans="1:33" ht="44.25" customHeight="1" x14ac:dyDescent="0.25">
      <c r="A206" s="1"/>
      <c r="B206" s="1"/>
      <c r="C206" s="1"/>
      <c r="D206" s="1"/>
      <c r="E206" s="42"/>
      <c r="F206" s="43"/>
      <c r="G206" s="1"/>
      <c r="H206" s="1"/>
      <c r="I206" s="4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42"/>
      <c r="AE206" s="43"/>
      <c r="AF206" s="43"/>
      <c r="AG206" s="1"/>
    </row>
    <row r="207" spans="1:33" ht="44.25" customHeight="1" x14ac:dyDescent="0.25">
      <c r="A207" s="1"/>
      <c r="B207" s="1"/>
      <c r="C207" s="1"/>
      <c r="D207" s="1"/>
      <c r="E207" s="42"/>
      <c r="F207" s="43"/>
      <c r="G207" s="1"/>
      <c r="H207" s="1"/>
      <c r="I207" s="4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42"/>
      <c r="AE207" s="43"/>
      <c r="AF207" s="43"/>
      <c r="AG207" s="1"/>
    </row>
    <row r="208" spans="1:33" ht="44.25" customHeight="1" x14ac:dyDescent="0.25">
      <c r="A208" s="1"/>
      <c r="B208" s="1"/>
      <c r="C208" s="1"/>
      <c r="D208" s="1"/>
      <c r="E208" s="42"/>
      <c r="F208" s="43"/>
      <c r="G208" s="1"/>
      <c r="H208" s="1"/>
      <c r="I208" s="4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42"/>
      <c r="AE208" s="43"/>
      <c r="AF208" s="43"/>
      <c r="AG208" s="1"/>
    </row>
    <row r="209" spans="1:33" ht="44.25" customHeight="1" x14ac:dyDescent="0.25">
      <c r="A209" s="1"/>
      <c r="B209" s="1"/>
      <c r="C209" s="1"/>
      <c r="D209" s="1"/>
      <c r="E209" s="42"/>
      <c r="F209" s="43"/>
      <c r="G209" s="1"/>
      <c r="H209" s="1"/>
      <c r="I209" s="4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42"/>
      <c r="AE209" s="43"/>
      <c r="AF209" s="43"/>
      <c r="AG209" s="1"/>
    </row>
    <row r="210" spans="1:33" ht="44.25" customHeight="1" x14ac:dyDescent="0.25">
      <c r="A210" s="1"/>
      <c r="B210" s="1"/>
      <c r="C210" s="1"/>
      <c r="D210" s="1"/>
      <c r="E210" s="42"/>
      <c r="F210" s="43"/>
      <c r="G210" s="1"/>
      <c r="H210" s="1"/>
      <c r="I210" s="4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42"/>
      <c r="AE210" s="43"/>
      <c r="AF210" s="43"/>
      <c r="AG210" s="1"/>
    </row>
    <row r="211" spans="1:33" ht="44.25" customHeight="1" x14ac:dyDescent="0.25">
      <c r="A211" s="1"/>
      <c r="B211" s="1"/>
      <c r="C211" s="1"/>
      <c r="D211" s="1"/>
      <c r="E211" s="42"/>
      <c r="F211" s="43"/>
      <c r="G211" s="1"/>
      <c r="H211" s="1"/>
      <c r="I211" s="4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42"/>
      <c r="AE211" s="43"/>
      <c r="AF211" s="43"/>
      <c r="AG211" s="1"/>
    </row>
    <row r="212" spans="1:33" ht="44.25" customHeight="1" x14ac:dyDescent="0.25">
      <c r="A212" s="1"/>
      <c r="B212" s="1"/>
      <c r="C212" s="1"/>
      <c r="D212" s="1"/>
      <c r="E212" s="42"/>
      <c r="F212" s="43"/>
      <c r="G212" s="1"/>
      <c r="H212" s="1"/>
      <c r="I212" s="4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42"/>
      <c r="AE212" s="43"/>
      <c r="AF212" s="43"/>
      <c r="AG212" s="1"/>
    </row>
    <row r="213" spans="1:33" ht="44.25" customHeight="1" x14ac:dyDescent="0.25">
      <c r="A213" s="1"/>
      <c r="B213" s="1"/>
      <c r="C213" s="1"/>
      <c r="D213" s="1"/>
      <c r="E213" s="42"/>
      <c r="F213" s="43"/>
      <c r="G213" s="1"/>
      <c r="H213" s="1"/>
      <c r="I213" s="4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42"/>
      <c r="AE213" s="43"/>
      <c r="AF213" s="43"/>
      <c r="AG213" s="1"/>
    </row>
    <row r="214" spans="1:33" ht="44.25" customHeight="1" x14ac:dyDescent="0.25">
      <c r="A214" s="1"/>
      <c r="B214" s="1"/>
      <c r="C214" s="1"/>
      <c r="D214" s="1"/>
      <c r="E214" s="42"/>
      <c r="F214" s="43"/>
      <c r="G214" s="1"/>
      <c r="H214" s="1"/>
      <c r="I214" s="4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42"/>
      <c r="AE214" s="43"/>
      <c r="AF214" s="43"/>
      <c r="AG214" s="1"/>
    </row>
    <row r="215" spans="1:33" ht="44.25" customHeight="1" x14ac:dyDescent="0.25">
      <c r="A215" s="1"/>
      <c r="B215" s="1"/>
      <c r="C215" s="1"/>
      <c r="D215" s="1"/>
      <c r="E215" s="42"/>
      <c r="F215" s="43"/>
      <c r="G215" s="1"/>
      <c r="H215" s="1"/>
      <c r="I215" s="4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42"/>
      <c r="AE215" s="43"/>
      <c r="AF215" s="43"/>
      <c r="AG215" s="1"/>
    </row>
    <row r="216" spans="1:33" ht="44.25" customHeight="1" x14ac:dyDescent="0.25">
      <c r="A216" s="1"/>
      <c r="B216" s="1"/>
      <c r="C216" s="1"/>
      <c r="D216" s="1"/>
      <c r="E216" s="42"/>
      <c r="F216" s="43"/>
      <c r="G216" s="1"/>
      <c r="H216" s="1"/>
      <c r="I216" s="4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42"/>
      <c r="AE216" s="43"/>
      <c r="AF216" s="43"/>
      <c r="AG216" s="1"/>
    </row>
    <row r="217" spans="1:33" ht="44.25" customHeight="1" x14ac:dyDescent="0.25">
      <c r="A217" s="1"/>
      <c r="B217" s="1"/>
      <c r="C217" s="1"/>
      <c r="D217" s="1"/>
      <c r="E217" s="42"/>
      <c r="F217" s="43"/>
      <c r="G217" s="1"/>
      <c r="H217" s="1"/>
      <c r="I217" s="4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42"/>
      <c r="AE217" s="43"/>
      <c r="AF217" s="43"/>
      <c r="AG217" s="1"/>
    </row>
    <row r="218" spans="1:33" ht="44.25" customHeight="1" x14ac:dyDescent="0.25">
      <c r="A218" s="1"/>
      <c r="B218" s="1"/>
      <c r="C218" s="1"/>
      <c r="D218" s="1"/>
      <c r="E218" s="42"/>
      <c r="F218" s="43"/>
      <c r="G218" s="1"/>
      <c r="H218" s="1"/>
      <c r="I218" s="4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42"/>
      <c r="AE218" s="43"/>
      <c r="AF218" s="43"/>
      <c r="AG218" s="1"/>
    </row>
    <row r="219" spans="1:33" ht="44.25" customHeight="1" x14ac:dyDescent="0.25">
      <c r="A219" s="1"/>
      <c r="B219" s="1"/>
      <c r="C219" s="1"/>
      <c r="D219" s="1"/>
      <c r="E219" s="42"/>
      <c r="F219" s="43"/>
      <c r="G219" s="1"/>
      <c r="H219" s="1"/>
      <c r="I219" s="4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42"/>
      <c r="AE219" s="43"/>
      <c r="AF219" s="43"/>
      <c r="AG219" s="1"/>
    </row>
    <row r="220" spans="1:33" ht="44.25" customHeight="1" x14ac:dyDescent="0.25">
      <c r="A220" s="1"/>
      <c r="B220" s="1"/>
      <c r="C220" s="1"/>
      <c r="D220" s="1"/>
      <c r="E220" s="42"/>
      <c r="F220" s="43"/>
      <c r="G220" s="1"/>
      <c r="H220" s="1"/>
      <c r="I220" s="44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42"/>
      <c r="AE220" s="43"/>
      <c r="AF220" s="43"/>
      <c r="AG220" s="1"/>
    </row>
    <row r="221" spans="1:33" ht="44.25" customHeight="1" x14ac:dyDescent="0.25">
      <c r="A221" s="1"/>
      <c r="B221" s="1"/>
      <c r="C221" s="1"/>
      <c r="D221" s="1"/>
      <c r="E221" s="42"/>
      <c r="F221" s="43"/>
      <c r="G221" s="1"/>
      <c r="H221" s="1"/>
      <c r="I221" s="44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42"/>
      <c r="AE221" s="43"/>
      <c r="AF221" s="43"/>
      <c r="AG221" s="1"/>
    </row>
    <row r="222" spans="1:33" ht="44.25" customHeight="1" x14ac:dyDescent="0.25">
      <c r="A222" s="1"/>
      <c r="B222" s="1"/>
      <c r="C222" s="1"/>
      <c r="D222" s="1"/>
      <c r="E222" s="42"/>
      <c r="F222" s="43"/>
      <c r="G222" s="1"/>
      <c r="H222" s="1"/>
      <c r="I222" s="44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42"/>
      <c r="AE222" s="43"/>
      <c r="AF222" s="43"/>
      <c r="AG222" s="1"/>
    </row>
    <row r="223" spans="1:33" ht="44.25" customHeight="1" x14ac:dyDescent="0.25">
      <c r="A223" s="1"/>
      <c r="B223" s="1"/>
      <c r="C223" s="1"/>
      <c r="D223" s="1"/>
      <c r="E223" s="42"/>
      <c r="F223" s="43"/>
      <c r="G223" s="1"/>
      <c r="H223" s="1"/>
      <c r="I223" s="44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42"/>
      <c r="AE223" s="43"/>
      <c r="AF223" s="43"/>
      <c r="AG223" s="1"/>
    </row>
    <row r="224" spans="1:33" ht="44.25" customHeight="1" x14ac:dyDescent="0.25">
      <c r="A224" s="1"/>
      <c r="B224" s="1"/>
      <c r="C224" s="1"/>
      <c r="D224" s="1"/>
      <c r="E224" s="42"/>
      <c r="F224" s="43"/>
      <c r="G224" s="1"/>
      <c r="H224" s="1"/>
      <c r="I224" s="44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42"/>
      <c r="AE224" s="43"/>
      <c r="AF224" s="43"/>
      <c r="AG224" s="1"/>
    </row>
    <row r="225" spans="1:33" ht="44.25" customHeight="1" x14ac:dyDescent="0.25">
      <c r="A225" s="1"/>
      <c r="B225" s="1"/>
      <c r="C225" s="1"/>
      <c r="D225" s="1"/>
      <c r="E225" s="42"/>
      <c r="F225" s="43"/>
      <c r="G225" s="1"/>
      <c r="H225" s="1"/>
      <c r="I225" s="44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42"/>
      <c r="AE225" s="43"/>
      <c r="AF225" s="43"/>
      <c r="AG225" s="1"/>
    </row>
    <row r="226" spans="1:33" ht="44.25" customHeight="1" x14ac:dyDescent="0.25">
      <c r="A226" s="1"/>
      <c r="B226" s="1"/>
      <c r="C226" s="1"/>
      <c r="D226" s="1"/>
      <c r="E226" s="42"/>
      <c r="F226" s="43"/>
      <c r="G226" s="1"/>
      <c r="H226" s="1"/>
      <c r="I226" s="44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42"/>
      <c r="AE226" s="43"/>
      <c r="AF226" s="43"/>
      <c r="AG226" s="1"/>
    </row>
    <row r="227" spans="1:33" ht="44.25" customHeight="1" x14ac:dyDescent="0.25">
      <c r="A227" s="1"/>
      <c r="B227" s="1"/>
      <c r="C227" s="1"/>
      <c r="D227" s="1"/>
      <c r="E227" s="42"/>
      <c r="F227" s="43"/>
      <c r="G227" s="1"/>
      <c r="H227" s="1"/>
      <c r="I227" s="44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42"/>
      <c r="AE227" s="43"/>
      <c r="AF227" s="43"/>
      <c r="AG227" s="1"/>
    </row>
    <row r="228" spans="1:33" ht="44.25" customHeight="1" x14ac:dyDescent="0.25">
      <c r="A228" s="1"/>
      <c r="B228" s="1"/>
      <c r="C228" s="1"/>
      <c r="D228" s="1"/>
      <c r="E228" s="42"/>
      <c r="F228" s="43"/>
      <c r="G228" s="1"/>
      <c r="H228" s="1"/>
      <c r="I228" s="44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42"/>
      <c r="AE228" s="43"/>
      <c r="AF228" s="43"/>
      <c r="AG228" s="1"/>
    </row>
    <row r="229" spans="1:33" ht="44.25" customHeight="1" x14ac:dyDescent="0.25">
      <c r="A229" s="1"/>
      <c r="B229" s="1"/>
      <c r="C229" s="1"/>
      <c r="D229" s="1"/>
      <c r="E229" s="42"/>
      <c r="F229" s="43"/>
      <c r="G229" s="1"/>
      <c r="H229" s="1"/>
      <c r="I229" s="44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42"/>
      <c r="AE229" s="43"/>
      <c r="AF229" s="43"/>
      <c r="AG229" s="1"/>
    </row>
    <row r="230" spans="1:33" ht="44.25" customHeight="1" x14ac:dyDescent="0.25">
      <c r="A230" s="1"/>
      <c r="B230" s="1"/>
      <c r="C230" s="1"/>
      <c r="D230" s="1"/>
      <c r="E230" s="42"/>
      <c r="F230" s="43"/>
      <c r="G230" s="1"/>
      <c r="H230" s="1"/>
      <c r="I230" s="44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42"/>
      <c r="AE230" s="43"/>
      <c r="AF230" s="43"/>
      <c r="AG230" s="1"/>
    </row>
    <row r="231" spans="1:33" ht="44.25" customHeight="1" x14ac:dyDescent="0.25">
      <c r="A231" s="1"/>
      <c r="B231" s="1"/>
      <c r="C231" s="1"/>
      <c r="D231" s="1"/>
      <c r="E231" s="42"/>
      <c r="F231" s="43"/>
      <c r="G231" s="1"/>
      <c r="H231" s="1"/>
      <c r="I231" s="44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42"/>
      <c r="AE231" s="43"/>
      <c r="AF231" s="43"/>
      <c r="AG231" s="1"/>
    </row>
    <row r="232" spans="1:33" ht="44.25" customHeight="1" x14ac:dyDescent="0.25">
      <c r="A232" s="1"/>
      <c r="B232" s="1"/>
      <c r="C232" s="1"/>
      <c r="D232" s="1"/>
      <c r="E232" s="42"/>
      <c r="F232" s="43"/>
      <c r="G232" s="1"/>
      <c r="H232" s="1"/>
      <c r="I232" s="44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42"/>
      <c r="AE232" s="43"/>
      <c r="AF232" s="43"/>
      <c r="AG232" s="1"/>
    </row>
    <row r="233" spans="1:33" ht="44.25" customHeight="1" x14ac:dyDescent="0.25">
      <c r="A233" s="1"/>
      <c r="B233" s="1"/>
      <c r="C233" s="1"/>
      <c r="D233" s="1"/>
      <c r="E233" s="42"/>
      <c r="F233" s="43"/>
      <c r="G233" s="1"/>
      <c r="H233" s="1"/>
      <c r="I233" s="44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42"/>
      <c r="AE233" s="43"/>
      <c r="AF233" s="43"/>
      <c r="AG233" s="1"/>
    </row>
    <row r="234" spans="1:33" ht="44.25" customHeight="1" x14ac:dyDescent="0.25">
      <c r="A234" s="1"/>
      <c r="B234" s="1"/>
      <c r="C234" s="1"/>
      <c r="D234" s="1"/>
      <c r="E234" s="42"/>
      <c r="F234" s="43"/>
      <c r="G234" s="1"/>
      <c r="H234" s="1"/>
      <c r="I234" s="44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42"/>
      <c r="AE234" s="43"/>
      <c r="AF234" s="43"/>
      <c r="AG234" s="1"/>
    </row>
    <row r="235" spans="1:33" ht="44.25" customHeight="1" x14ac:dyDescent="0.25">
      <c r="A235" s="1"/>
      <c r="B235" s="1"/>
      <c r="C235" s="1"/>
      <c r="D235" s="1"/>
      <c r="E235" s="42"/>
      <c r="F235" s="43"/>
      <c r="G235" s="1"/>
      <c r="H235" s="1"/>
      <c r="I235" s="44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42"/>
      <c r="AE235" s="43"/>
      <c r="AF235" s="43"/>
      <c r="AG235" s="1"/>
    </row>
    <row r="236" spans="1:33" ht="44.25" customHeight="1" x14ac:dyDescent="0.25">
      <c r="A236" s="1"/>
      <c r="B236" s="1"/>
      <c r="C236" s="1"/>
      <c r="D236" s="1"/>
      <c r="E236" s="42"/>
      <c r="F236" s="43"/>
      <c r="G236" s="1"/>
      <c r="H236" s="1"/>
      <c r="I236" s="44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42"/>
      <c r="AE236" s="43"/>
      <c r="AF236" s="43"/>
      <c r="AG236" s="1"/>
    </row>
    <row r="237" spans="1:33" ht="44.25" customHeight="1" x14ac:dyDescent="0.25">
      <c r="A237" s="1"/>
      <c r="B237" s="1"/>
      <c r="C237" s="1"/>
      <c r="D237" s="1"/>
      <c r="E237" s="42"/>
      <c r="F237" s="43"/>
      <c r="G237" s="1"/>
      <c r="H237" s="1"/>
      <c r="I237" s="44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42"/>
      <c r="AE237" s="43"/>
      <c r="AF237" s="43"/>
      <c r="AG237" s="1"/>
    </row>
    <row r="238" spans="1:33" ht="44.25" customHeight="1" x14ac:dyDescent="0.25">
      <c r="A238" s="1"/>
      <c r="B238" s="1"/>
      <c r="C238" s="1"/>
      <c r="D238" s="1"/>
      <c r="E238" s="42"/>
      <c r="F238" s="43"/>
      <c r="G238" s="1"/>
      <c r="H238" s="1"/>
      <c r="I238" s="44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42"/>
      <c r="AE238" s="43"/>
      <c r="AF238" s="43"/>
      <c r="AG238" s="1"/>
    </row>
    <row r="239" spans="1:33" ht="44.25" customHeight="1" x14ac:dyDescent="0.25">
      <c r="A239" s="1"/>
      <c r="B239" s="1"/>
      <c r="C239" s="1"/>
      <c r="D239" s="1"/>
      <c r="E239" s="42"/>
      <c r="F239" s="43"/>
      <c r="G239" s="1"/>
      <c r="H239" s="1"/>
      <c r="I239" s="44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42"/>
      <c r="AE239" s="43"/>
      <c r="AF239" s="43"/>
      <c r="AG239" s="1"/>
    </row>
    <row r="240" spans="1:33" ht="44.25" customHeight="1" x14ac:dyDescent="0.25">
      <c r="A240" s="1"/>
      <c r="B240" s="1"/>
      <c r="C240" s="1"/>
      <c r="D240" s="1"/>
      <c r="E240" s="42"/>
      <c r="F240" s="43"/>
      <c r="G240" s="1"/>
      <c r="H240" s="1"/>
      <c r="I240" s="44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42"/>
      <c r="AE240" s="43"/>
      <c r="AF240" s="43"/>
      <c r="AG240" s="1"/>
    </row>
    <row r="241" spans="1:33" ht="44.25" customHeight="1" x14ac:dyDescent="0.25">
      <c r="A241" s="1"/>
      <c r="B241" s="1"/>
      <c r="C241" s="1"/>
      <c r="D241" s="1"/>
      <c r="E241" s="42"/>
      <c r="F241" s="43"/>
      <c r="G241" s="1"/>
      <c r="H241" s="1"/>
      <c r="I241" s="44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42"/>
      <c r="AE241" s="43"/>
      <c r="AF241" s="43"/>
      <c r="AG241" s="1"/>
    </row>
    <row r="242" spans="1:33" ht="44.25" customHeight="1" x14ac:dyDescent="0.25">
      <c r="A242" s="1"/>
      <c r="B242" s="1"/>
      <c r="C242" s="1"/>
      <c r="D242" s="1"/>
      <c r="E242" s="42"/>
      <c r="F242" s="43"/>
      <c r="G242" s="1"/>
      <c r="H242" s="1"/>
      <c r="I242" s="44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42"/>
      <c r="AE242" s="43"/>
      <c r="AF242" s="43"/>
      <c r="AG242" s="1"/>
    </row>
    <row r="243" spans="1:33" ht="44.25" customHeight="1" x14ac:dyDescent="0.25">
      <c r="A243" s="1"/>
      <c r="B243" s="1"/>
      <c r="C243" s="1"/>
      <c r="D243" s="1"/>
      <c r="E243" s="42"/>
      <c r="F243" s="43"/>
      <c r="G243" s="1"/>
      <c r="H243" s="1"/>
      <c r="I243" s="44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42"/>
      <c r="AE243" s="43"/>
      <c r="AF243" s="43"/>
      <c r="AG243" s="1"/>
    </row>
    <row r="244" spans="1:33" ht="44.25" customHeight="1" x14ac:dyDescent="0.25">
      <c r="A244" s="1"/>
      <c r="B244" s="1"/>
      <c r="C244" s="1"/>
      <c r="D244" s="1"/>
      <c r="E244" s="42"/>
      <c r="F244" s="43"/>
      <c r="G244" s="1"/>
      <c r="H244" s="1"/>
      <c r="I244" s="44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42"/>
      <c r="AE244" s="43"/>
      <c r="AF244" s="43"/>
      <c r="AG244" s="1"/>
    </row>
    <row r="245" spans="1:33" ht="44.25" customHeight="1" x14ac:dyDescent="0.25">
      <c r="A245" s="1"/>
      <c r="B245" s="1"/>
      <c r="C245" s="1"/>
      <c r="D245" s="1"/>
      <c r="E245" s="42"/>
      <c r="F245" s="43"/>
      <c r="G245" s="1"/>
      <c r="H245" s="1"/>
      <c r="I245" s="44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42"/>
      <c r="AE245" s="43"/>
      <c r="AF245" s="43"/>
      <c r="AG245" s="1"/>
    </row>
    <row r="246" spans="1:33" ht="44.25" customHeight="1" x14ac:dyDescent="0.25">
      <c r="A246" s="1"/>
      <c r="B246" s="1"/>
      <c r="C246" s="1"/>
      <c r="D246" s="1"/>
      <c r="E246" s="42"/>
      <c r="F246" s="43"/>
      <c r="G246" s="1"/>
      <c r="H246" s="1"/>
      <c r="I246" s="44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42"/>
      <c r="AE246" s="43"/>
      <c r="AF246" s="43"/>
      <c r="AG246" s="1"/>
    </row>
    <row r="247" spans="1:33" ht="44.25" customHeight="1" x14ac:dyDescent="0.25">
      <c r="A247" s="1"/>
      <c r="B247" s="1"/>
      <c r="C247" s="1"/>
      <c r="D247" s="1"/>
      <c r="E247" s="42"/>
      <c r="F247" s="43"/>
      <c r="G247" s="1"/>
      <c r="H247" s="1"/>
      <c r="I247" s="44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42"/>
      <c r="AE247" s="43"/>
      <c r="AF247" s="43"/>
      <c r="AG247" s="1"/>
    </row>
    <row r="248" spans="1:33" ht="44.25" customHeight="1" x14ac:dyDescent="0.25">
      <c r="A248" s="1"/>
      <c r="B248" s="1"/>
      <c r="C248" s="1"/>
      <c r="D248" s="1"/>
      <c r="E248" s="42"/>
      <c r="F248" s="43"/>
      <c r="G248" s="1"/>
      <c r="H248" s="1"/>
      <c r="I248" s="44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42"/>
      <c r="AE248" s="43"/>
      <c r="AF248" s="43"/>
      <c r="AG248" s="1"/>
    </row>
    <row r="249" spans="1:33" ht="44.25" customHeight="1" x14ac:dyDescent="0.25">
      <c r="A249" s="1"/>
      <c r="B249" s="1"/>
      <c r="C249" s="1"/>
      <c r="D249" s="1"/>
      <c r="E249" s="42"/>
      <c r="F249" s="43"/>
      <c r="G249" s="1"/>
      <c r="H249" s="1"/>
      <c r="I249" s="44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42"/>
      <c r="AE249" s="43"/>
      <c r="AF249" s="43"/>
      <c r="AG249" s="1"/>
    </row>
    <row r="250" spans="1:33" ht="44.25" customHeight="1" x14ac:dyDescent="0.25">
      <c r="A250" s="1"/>
      <c r="B250" s="1"/>
      <c r="C250" s="1"/>
      <c r="D250" s="1"/>
      <c r="E250" s="42"/>
      <c r="F250" s="43"/>
      <c r="G250" s="1"/>
      <c r="H250" s="1"/>
      <c r="I250" s="44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42"/>
      <c r="AE250" s="43"/>
      <c r="AF250" s="43"/>
      <c r="AG250" s="1"/>
    </row>
    <row r="251" spans="1:33" ht="44.25" customHeight="1" x14ac:dyDescent="0.25">
      <c r="A251" s="1"/>
      <c r="B251" s="1"/>
      <c r="C251" s="1"/>
      <c r="D251" s="1"/>
      <c r="E251" s="42"/>
      <c r="F251" s="43"/>
      <c r="G251" s="1"/>
      <c r="H251" s="1"/>
      <c r="I251" s="44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42"/>
      <c r="AE251" s="43"/>
      <c r="AF251" s="43"/>
      <c r="AG251" s="1"/>
    </row>
    <row r="252" spans="1:33" ht="44.25" customHeight="1" x14ac:dyDescent="0.25">
      <c r="A252" s="1"/>
      <c r="B252" s="1"/>
      <c r="C252" s="1"/>
      <c r="D252" s="1"/>
      <c r="E252" s="42"/>
      <c r="F252" s="43"/>
      <c r="G252" s="1"/>
      <c r="H252" s="1"/>
      <c r="I252" s="44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42"/>
      <c r="AE252" s="43"/>
      <c r="AF252" s="43"/>
      <c r="AG252" s="1"/>
    </row>
    <row r="253" spans="1:33" ht="44.25" customHeight="1" x14ac:dyDescent="0.25">
      <c r="A253" s="1"/>
      <c r="B253" s="1"/>
      <c r="C253" s="1"/>
      <c r="D253" s="1"/>
      <c r="E253" s="42"/>
      <c r="F253" s="43"/>
      <c r="G253" s="1"/>
      <c r="H253" s="1"/>
      <c r="I253" s="44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42"/>
      <c r="AE253" s="43"/>
      <c r="AF253" s="43"/>
      <c r="AG253" s="1"/>
    </row>
    <row r="254" spans="1:33" ht="44.25" customHeight="1" x14ac:dyDescent="0.25">
      <c r="A254" s="1"/>
      <c r="B254" s="1"/>
      <c r="C254" s="1"/>
      <c r="D254" s="1"/>
      <c r="E254" s="42"/>
      <c r="F254" s="43"/>
      <c r="G254" s="1"/>
      <c r="H254" s="1"/>
      <c r="I254" s="44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42"/>
      <c r="AE254" s="43"/>
      <c r="AF254" s="43"/>
      <c r="AG254" s="1"/>
    </row>
    <row r="255" spans="1:33" ht="44.25" customHeight="1" x14ac:dyDescent="0.25">
      <c r="A255" s="1"/>
      <c r="B255" s="1"/>
      <c r="C255" s="1"/>
      <c r="D255" s="1"/>
      <c r="E255" s="42"/>
      <c r="F255" s="43"/>
      <c r="G255" s="1"/>
      <c r="H255" s="1"/>
      <c r="I255" s="44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42"/>
      <c r="AE255" s="43"/>
      <c r="AF255" s="43"/>
      <c r="AG255" s="1"/>
    </row>
    <row r="256" spans="1:33" ht="44.25" customHeight="1" x14ac:dyDescent="0.25">
      <c r="A256" s="1"/>
      <c r="B256" s="1"/>
      <c r="C256" s="1"/>
      <c r="D256" s="1"/>
      <c r="E256" s="42"/>
      <c r="F256" s="43"/>
      <c r="G256" s="1"/>
      <c r="H256" s="1"/>
      <c r="I256" s="44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42"/>
      <c r="AE256" s="43"/>
      <c r="AF256" s="43"/>
      <c r="AG256" s="1"/>
    </row>
    <row r="257" spans="1:33" ht="44.25" customHeight="1" x14ac:dyDescent="0.25">
      <c r="A257" s="1"/>
      <c r="B257" s="1"/>
      <c r="C257" s="1"/>
      <c r="D257" s="1"/>
      <c r="E257" s="42"/>
      <c r="F257" s="43"/>
      <c r="G257" s="1"/>
      <c r="H257" s="1"/>
      <c r="I257" s="44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42"/>
      <c r="AE257" s="43"/>
      <c r="AF257" s="43"/>
      <c r="AG257" s="1"/>
    </row>
    <row r="258" spans="1:33" ht="44.25" customHeight="1" x14ac:dyDescent="0.25">
      <c r="A258" s="1"/>
      <c r="B258" s="1"/>
      <c r="C258" s="1"/>
      <c r="D258" s="1"/>
      <c r="E258" s="42"/>
      <c r="F258" s="43"/>
      <c r="G258" s="1"/>
      <c r="H258" s="1"/>
      <c r="I258" s="44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42"/>
      <c r="AE258" s="43"/>
      <c r="AF258" s="43"/>
      <c r="AG258" s="1"/>
    </row>
    <row r="259" spans="1:33" ht="44.25" customHeight="1" x14ac:dyDescent="0.25">
      <c r="A259" s="1"/>
      <c r="B259" s="1"/>
      <c r="C259" s="1"/>
      <c r="D259" s="1"/>
      <c r="E259" s="42"/>
      <c r="F259" s="43"/>
      <c r="G259" s="1"/>
      <c r="H259" s="1"/>
      <c r="I259" s="44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42"/>
      <c r="AE259" s="43"/>
      <c r="AF259" s="43"/>
      <c r="AG259" s="1"/>
    </row>
    <row r="260" spans="1:33" ht="44.25" customHeight="1" x14ac:dyDescent="0.25">
      <c r="A260" s="1"/>
      <c r="B260" s="1"/>
      <c r="C260" s="1"/>
      <c r="D260" s="1"/>
      <c r="E260" s="42"/>
      <c r="F260" s="43"/>
      <c r="G260" s="1"/>
      <c r="H260" s="1"/>
      <c r="I260" s="44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42"/>
      <c r="AE260" s="43"/>
      <c r="AF260" s="43"/>
      <c r="AG260" s="1"/>
    </row>
    <row r="261" spans="1:33" ht="44.25" customHeight="1" x14ac:dyDescent="0.25">
      <c r="A261" s="1"/>
      <c r="B261" s="1"/>
      <c r="C261" s="1"/>
      <c r="D261" s="1"/>
      <c r="E261" s="42"/>
      <c r="F261" s="43"/>
      <c r="G261" s="1"/>
      <c r="H261" s="1"/>
      <c r="I261" s="44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42"/>
      <c r="AE261" s="43"/>
      <c r="AF261" s="43"/>
      <c r="AG261" s="1"/>
    </row>
    <row r="262" spans="1:33" ht="44.25" customHeight="1" x14ac:dyDescent="0.25">
      <c r="A262" s="1"/>
      <c r="B262" s="1"/>
      <c r="C262" s="1"/>
      <c r="D262" s="1"/>
      <c r="E262" s="42"/>
      <c r="F262" s="43"/>
      <c r="G262" s="1"/>
      <c r="H262" s="1"/>
      <c r="I262" s="44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42"/>
      <c r="AE262" s="43"/>
      <c r="AF262" s="43"/>
      <c r="AG262" s="1"/>
    </row>
    <row r="263" spans="1:33" ht="44.25" customHeight="1" x14ac:dyDescent="0.25">
      <c r="A263" s="1"/>
      <c r="B263" s="1"/>
      <c r="C263" s="1"/>
      <c r="D263" s="1"/>
      <c r="E263" s="42"/>
      <c r="F263" s="43"/>
      <c r="G263" s="1"/>
      <c r="H263" s="1"/>
      <c r="I263" s="44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42"/>
      <c r="AE263" s="43"/>
      <c r="AF263" s="43"/>
      <c r="AG263" s="1"/>
    </row>
    <row r="264" spans="1:33" ht="44.25" customHeight="1" x14ac:dyDescent="0.25">
      <c r="A264" s="1"/>
      <c r="B264" s="1"/>
      <c r="C264" s="1"/>
      <c r="D264" s="1"/>
      <c r="E264" s="42"/>
      <c r="F264" s="43"/>
      <c r="G264" s="1"/>
      <c r="H264" s="1"/>
      <c r="I264" s="44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42"/>
      <c r="AE264" s="43"/>
      <c r="AF264" s="43"/>
      <c r="AG264" s="1"/>
    </row>
    <row r="265" spans="1:33" ht="44.25" customHeight="1" x14ac:dyDescent="0.25">
      <c r="A265" s="1"/>
      <c r="B265" s="1"/>
      <c r="C265" s="1"/>
      <c r="D265" s="1"/>
      <c r="E265" s="42"/>
      <c r="F265" s="43"/>
      <c r="G265" s="1"/>
      <c r="H265" s="1"/>
      <c r="I265" s="44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42"/>
      <c r="AE265" s="43"/>
      <c r="AF265" s="43"/>
      <c r="AG265" s="1"/>
    </row>
    <row r="266" spans="1:33" ht="44.25" customHeight="1" x14ac:dyDescent="0.25">
      <c r="A266" s="1"/>
      <c r="B266" s="1"/>
      <c r="C266" s="1"/>
      <c r="D266" s="1"/>
      <c r="E266" s="42"/>
      <c r="F266" s="43"/>
      <c r="G266" s="1"/>
      <c r="H266" s="1"/>
      <c r="I266" s="44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42"/>
      <c r="AE266" s="43"/>
      <c r="AF266" s="43"/>
      <c r="AG266" s="1"/>
    </row>
    <row r="267" spans="1:33" ht="44.25" customHeight="1" x14ac:dyDescent="0.25">
      <c r="A267" s="1"/>
      <c r="B267" s="1"/>
      <c r="C267" s="1"/>
      <c r="D267" s="1"/>
      <c r="E267" s="42"/>
      <c r="F267" s="43"/>
      <c r="G267" s="1"/>
      <c r="H267" s="1"/>
      <c r="I267" s="44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42"/>
      <c r="AE267" s="43"/>
      <c r="AF267" s="43"/>
      <c r="AG267" s="1"/>
    </row>
    <row r="268" spans="1:33" ht="44.25" customHeight="1" x14ac:dyDescent="0.25">
      <c r="A268" s="1"/>
      <c r="B268" s="1"/>
      <c r="C268" s="1"/>
      <c r="D268" s="1"/>
      <c r="E268" s="42"/>
      <c r="F268" s="43"/>
      <c r="G268" s="1"/>
      <c r="H268" s="1"/>
      <c r="I268" s="44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42"/>
      <c r="AE268" s="43"/>
      <c r="AF268" s="43"/>
      <c r="AG268" s="1"/>
    </row>
    <row r="269" spans="1:33" ht="44.25" customHeight="1" x14ac:dyDescent="0.25">
      <c r="A269" s="1"/>
      <c r="B269" s="1"/>
      <c r="C269" s="1"/>
      <c r="D269" s="1"/>
      <c r="E269" s="42"/>
      <c r="F269" s="43"/>
      <c r="G269" s="1"/>
      <c r="H269" s="1"/>
      <c r="I269" s="44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42"/>
      <c r="AE269" s="43"/>
      <c r="AF269" s="43"/>
      <c r="AG269" s="1"/>
    </row>
    <row r="270" spans="1:33" ht="44.25" customHeight="1" x14ac:dyDescent="0.25">
      <c r="A270" s="1"/>
      <c r="B270" s="1"/>
      <c r="C270" s="1"/>
      <c r="D270" s="1"/>
      <c r="E270" s="42"/>
      <c r="F270" s="43"/>
      <c r="G270" s="1"/>
      <c r="H270" s="1"/>
      <c r="I270" s="44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42"/>
      <c r="AE270" s="43"/>
      <c r="AF270" s="43"/>
      <c r="AG270" s="1"/>
    </row>
    <row r="271" spans="1:33" ht="44.25" customHeight="1" x14ac:dyDescent="0.25">
      <c r="A271" s="1"/>
      <c r="B271" s="1"/>
      <c r="C271" s="1"/>
      <c r="D271" s="1"/>
      <c r="E271" s="42"/>
      <c r="F271" s="43"/>
      <c r="G271" s="1"/>
      <c r="H271" s="1"/>
      <c r="I271" s="44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42"/>
      <c r="AE271" s="43"/>
      <c r="AF271" s="43"/>
      <c r="AG271" s="1"/>
    </row>
    <row r="272" spans="1:33" ht="44.25" customHeight="1" x14ac:dyDescent="0.25">
      <c r="A272" s="1"/>
      <c r="B272" s="1"/>
      <c r="C272" s="1"/>
      <c r="D272" s="1"/>
      <c r="E272" s="42"/>
      <c r="F272" s="43"/>
      <c r="G272" s="1"/>
      <c r="H272" s="1"/>
      <c r="I272" s="44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42"/>
      <c r="AE272" s="43"/>
      <c r="AF272" s="43"/>
      <c r="AG272" s="1"/>
    </row>
    <row r="273" spans="1:33" ht="44.25" customHeight="1" x14ac:dyDescent="0.25">
      <c r="A273" s="1"/>
      <c r="B273" s="1"/>
      <c r="C273" s="1"/>
      <c r="D273" s="1"/>
      <c r="E273" s="42"/>
      <c r="F273" s="43"/>
      <c r="G273" s="1"/>
      <c r="H273" s="1"/>
      <c r="I273" s="44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42"/>
      <c r="AE273" s="43"/>
      <c r="AF273" s="43"/>
      <c r="AG273" s="1"/>
    </row>
    <row r="274" spans="1:33" ht="44.25" customHeight="1" x14ac:dyDescent="0.25">
      <c r="A274" s="1"/>
      <c r="B274" s="1"/>
      <c r="C274" s="1"/>
      <c r="D274" s="1"/>
      <c r="E274" s="42"/>
      <c r="F274" s="43"/>
      <c r="G274" s="1"/>
      <c r="H274" s="1"/>
      <c r="I274" s="44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42"/>
      <c r="AE274" s="43"/>
      <c r="AF274" s="43"/>
      <c r="AG274" s="1"/>
    </row>
    <row r="275" spans="1:33" ht="44.25" customHeight="1" x14ac:dyDescent="0.25">
      <c r="A275" s="1"/>
      <c r="B275" s="1"/>
      <c r="C275" s="1"/>
      <c r="D275" s="1"/>
      <c r="E275" s="42"/>
      <c r="F275" s="43"/>
      <c r="G275" s="1"/>
      <c r="H275" s="1"/>
      <c r="I275" s="44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42"/>
      <c r="AE275" s="43"/>
      <c r="AF275" s="43"/>
      <c r="AG275" s="1"/>
    </row>
    <row r="276" spans="1:33" ht="44.25" customHeight="1" x14ac:dyDescent="0.25">
      <c r="A276" s="1"/>
      <c r="B276" s="1"/>
      <c r="C276" s="1"/>
      <c r="D276" s="1"/>
      <c r="E276" s="42"/>
      <c r="F276" s="43"/>
      <c r="G276" s="1"/>
      <c r="H276" s="1"/>
      <c r="I276" s="44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42"/>
      <c r="AE276" s="43"/>
      <c r="AF276" s="43"/>
      <c r="AG276" s="1"/>
    </row>
    <row r="277" spans="1:33" ht="44.25" customHeight="1" x14ac:dyDescent="0.25">
      <c r="A277" s="1"/>
      <c r="B277" s="1"/>
      <c r="C277" s="1"/>
      <c r="D277" s="1"/>
      <c r="E277" s="42"/>
      <c r="F277" s="43"/>
      <c r="G277" s="1"/>
      <c r="H277" s="1"/>
      <c r="I277" s="44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42"/>
      <c r="AE277" s="43"/>
      <c r="AF277" s="43"/>
      <c r="AG277" s="1"/>
    </row>
    <row r="278" spans="1:33" ht="44.25" customHeight="1" x14ac:dyDescent="0.25">
      <c r="A278" s="1"/>
      <c r="B278" s="1"/>
      <c r="C278" s="1"/>
      <c r="D278" s="1"/>
      <c r="E278" s="42"/>
      <c r="F278" s="43"/>
      <c r="G278" s="1"/>
      <c r="H278" s="1"/>
      <c r="I278" s="44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42"/>
      <c r="AE278" s="43"/>
      <c r="AF278" s="43"/>
      <c r="AG278" s="1"/>
    </row>
    <row r="279" spans="1:33" ht="44.25" customHeight="1" x14ac:dyDescent="0.25">
      <c r="A279" s="1"/>
      <c r="B279" s="1"/>
      <c r="C279" s="1"/>
      <c r="D279" s="1"/>
      <c r="E279" s="42"/>
      <c r="F279" s="43"/>
      <c r="G279" s="1"/>
      <c r="H279" s="1"/>
      <c r="I279" s="44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42"/>
      <c r="AE279" s="43"/>
      <c r="AF279" s="43"/>
      <c r="AG279" s="1"/>
    </row>
    <row r="280" spans="1:33" ht="44.25" customHeight="1" x14ac:dyDescent="0.25">
      <c r="A280" s="1"/>
      <c r="B280" s="1"/>
      <c r="C280" s="1"/>
      <c r="D280" s="1"/>
      <c r="E280" s="42"/>
      <c r="F280" s="43"/>
      <c r="G280" s="1"/>
      <c r="H280" s="1"/>
      <c r="I280" s="44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42"/>
      <c r="AE280" s="43"/>
      <c r="AF280" s="43"/>
      <c r="AG280" s="1"/>
    </row>
    <row r="281" spans="1:33" ht="44.25" customHeight="1" x14ac:dyDescent="0.25">
      <c r="A281" s="1"/>
      <c r="B281" s="1"/>
      <c r="C281" s="1"/>
      <c r="D281" s="1"/>
      <c r="E281" s="42"/>
      <c r="F281" s="43"/>
      <c r="G281" s="1"/>
      <c r="H281" s="1"/>
      <c r="I281" s="44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42"/>
      <c r="AE281" s="43"/>
      <c r="AF281" s="43"/>
      <c r="AG281" s="1"/>
    </row>
    <row r="282" spans="1:33" ht="44.25" customHeight="1" x14ac:dyDescent="0.25">
      <c r="A282" s="1"/>
      <c r="B282" s="1"/>
      <c r="C282" s="1"/>
      <c r="D282" s="1"/>
      <c r="E282" s="42"/>
      <c r="F282" s="43"/>
      <c r="G282" s="1"/>
      <c r="H282" s="1"/>
      <c r="I282" s="44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42"/>
      <c r="AE282" s="43"/>
      <c r="AF282" s="43"/>
      <c r="AG282" s="1"/>
    </row>
    <row r="283" spans="1:33" ht="44.25" customHeight="1" x14ac:dyDescent="0.25">
      <c r="A283" s="1"/>
      <c r="B283" s="1"/>
      <c r="C283" s="1"/>
      <c r="D283" s="1"/>
      <c r="E283" s="42"/>
      <c r="F283" s="43"/>
      <c r="G283" s="1"/>
      <c r="H283" s="1"/>
      <c r="I283" s="44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42"/>
      <c r="AE283" s="43"/>
      <c r="AF283" s="43"/>
      <c r="AG283" s="1"/>
    </row>
    <row r="284" spans="1:33" ht="44.25" customHeight="1" x14ac:dyDescent="0.25">
      <c r="A284" s="1"/>
      <c r="B284" s="1"/>
      <c r="C284" s="1"/>
      <c r="D284" s="1"/>
      <c r="E284" s="42"/>
      <c r="F284" s="43"/>
      <c r="G284" s="1"/>
      <c r="H284" s="1"/>
      <c r="I284" s="44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42"/>
      <c r="AE284" s="43"/>
      <c r="AF284" s="43"/>
      <c r="AG284" s="1"/>
    </row>
    <row r="285" spans="1:33" ht="44.25" customHeight="1" x14ac:dyDescent="0.25">
      <c r="A285" s="1"/>
      <c r="B285" s="1"/>
      <c r="C285" s="1"/>
      <c r="D285" s="1"/>
      <c r="E285" s="42"/>
      <c r="F285" s="43"/>
      <c r="G285" s="1"/>
      <c r="H285" s="1"/>
      <c r="I285" s="44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42"/>
      <c r="AE285" s="43"/>
      <c r="AF285" s="43"/>
      <c r="AG285" s="1"/>
    </row>
    <row r="286" spans="1:33" ht="44.25" customHeight="1" x14ac:dyDescent="0.25">
      <c r="A286" s="1"/>
      <c r="B286" s="1"/>
      <c r="C286" s="1"/>
      <c r="D286" s="1"/>
      <c r="E286" s="42"/>
      <c r="F286" s="43"/>
      <c r="G286" s="1"/>
      <c r="H286" s="1"/>
      <c r="I286" s="44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42"/>
      <c r="AE286" s="43"/>
      <c r="AF286" s="43"/>
      <c r="AG286" s="1"/>
    </row>
    <row r="287" spans="1:33" ht="44.25" customHeight="1" x14ac:dyDescent="0.25">
      <c r="A287" s="1"/>
      <c r="B287" s="1"/>
      <c r="C287" s="1"/>
      <c r="D287" s="1"/>
      <c r="E287" s="42"/>
      <c r="F287" s="43"/>
      <c r="G287" s="1"/>
      <c r="H287" s="1"/>
      <c r="I287" s="44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42"/>
      <c r="AE287" s="43"/>
      <c r="AF287" s="43"/>
      <c r="AG287" s="1"/>
    </row>
    <row r="288" spans="1:33" ht="44.25" customHeight="1" x14ac:dyDescent="0.25">
      <c r="A288" s="1"/>
      <c r="B288" s="1"/>
      <c r="C288" s="1"/>
      <c r="D288" s="1"/>
      <c r="E288" s="42"/>
      <c r="F288" s="43"/>
      <c r="G288" s="1"/>
      <c r="H288" s="1"/>
      <c r="I288" s="44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42"/>
      <c r="AE288" s="43"/>
      <c r="AF288" s="43"/>
      <c r="AG288" s="1"/>
    </row>
    <row r="289" spans="1:33" ht="44.25" customHeight="1" x14ac:dyDescent="0.25">
      <c r="A289" s="1"/>
      <c r="B289" s="1"/>
      <c r="C289" s="1"/>
      <c r="D289" s="1"/>
      <c r="E289" s="42"/>
      <c r="F289" s="43"/>
      <c r="G289" s="1"/>
      <c r="H289" s="1"/>
      <c r="I289" s="44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42"/>
      <c r="AE289" s="43"/>
      <c r="AF289" s="43"/>
      <c r="AG289" s="1"/>
    </row>
    <row r="290" spans="1:33" ht="44.25" customHeight="1" x14ac:dyDescent="0.25">
      <c r="A290" s="1"/>
      <c r="B290" s="1"/>
      <c r="C290" s="1"/>
      <c r="D290" s="1"/>
      <c r="E290" s="42"/>
      <c r="F290" s="43"/>
      <c r="G290" s="1"/>
      <c r="H290" s="1"/>
      <c r="I290" s="44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42"/>
      <c r="AE290" s="43"/>
      <c r="AF290" s="43"/>
      <c r="AG290" s="1"/>
    </row>
    <row r="291" spans="1:33" ht="44.25" customHeight="1" x14ac:dyDescent="0.25">
      <c r="A291" s="1"/>
      <c r="B291" s="1"/>
      <c r="C291" s="1"/>
      <c r="D291" s="1"/>
      <c r="E291" s="42"/>
      <c r="F291" s="43"/>
      <c r="G291" s="1"/>
      <c r="H291" s="1"/>
      <c r="I291" s="44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42"/>
      <c r="AE291" s="43"/>
      <c r="AF291" s="43"/>
      <c r="AG291" s="1"/>
    </row>
    <row r="292" spans="1:33" ht="44.25" customHeight="1" x14ac:dyDescent="0.25">
      <c r="A292" s="1"/>
      <c r="B292" s="1"/>
      <c r="C292" s="1"/>
      <c r="D292" s="1"/>
      <c r="E292" s="42"/>
      <c r="F292" s="43"/>
      <c r="G292" s="1"/>
      <c r="H292" s="1"/>
      <c r="I292" s="44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42"/>
      <c r="AE292" s="43"/>
      <c r="AF292" s="43"/>
      <c r="AG292" s="1"/>
    </row>
    <row r="293" spans="1:33" ht="44.25" customHeight="1" x14ac:dyDescent="0.25">
      <c r="A293" s="1"/>
      <c r="B293" s="1"/>
      <c r="C293" s="1"/>
      <c r="D293" s="1"/>
      <c r="E293" s="42"/>
      <c r="F293" s="43"/>
      <c r="G293" s="1"/>
      <c r="H293" s="1"/>
      <c r="I293" s="44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42"/>
      <c r="AE293" s="43"/>
      <c r="AF293" s="43"/>
      <c r="AG293" s="1"/>
    </row>
    <row r="294" spans="1:33" ht="44.25" customHeight="1" x14ac:dyDescent="0.25">
      <c r="A294" s="1"/>
      <c r="B294" s="1"/>
      <c r="C294" s="1"/>
      <c r="D294" s="1"/>
      <c r="E294" s="42"/>
      <c r="F294" s="43"/>
      <c r="G294" s="1"/>
      <c r="H294" s="1"/>
      <c r="I294" s="44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42"/>
      <c r="AE294" s="43"/>
      <c r="AF294" s="43"/>
      <c r="AG294" s="1"/>
    </row>
    <row r="295" spans="1:33" ht="44.25" customHeight="1" x14ac:dyDescent="0.25">
      <c r="A295" s="1"/>
      <c r="B295" s="1"/>
      <c r="C295" s="1"/>
      <c r="D295" s="1"/>
      <c r="E295" s="42"/>
      <c r="F295" s="43"/>
      <c r="G295" s="1"/>
      <c r="H295" s="1"/>
      <c r="I295" s="44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42"/>
      <c r="AE295" s="43"/>
      <c r="AF295" s="43"/>
      <c r="AG295" s="1"/>
    </row>
    <row r="296" spans="1:33" ht="44.25" customHeight="1" x14ac:dyDescent="0.25">
      <c r="A296" s="1"/>
      <c r="B296" s="1"/>
      <c r="C296" s="1"/>
      <c r="D296" s="1"/>
      <c r="E296" s="42"/>
      <c r="F296" s="43"/>
      <c r="G296" s="1"/>
      <c r="H296" s="1"/>
      <c r="I296" s="44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42"/>
      <c r="AE296" s="43"/>
      <c r="AF296" s="43"/>
      <c r="AG296" s="1"/>
    </row>
    <row r="297" spans="1:33" ht="44.25" customHeight="1" x14ac:dyDescent="0.25">
      <c r="A297" s="1"/>
      <c r="B297" s="1"/>
      <c r="C297" s="1"/>
      <c r="D297" s="1"/>
      <c r="E297" s="42"/>
      <c r="F297" s="43"/>
      <c r="G297" s="1"/>
      <c r="H297" s="1"/>
      <c r="I297" s="44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42"/>
      <c r="AE297" s="43"/>
      <c r="AF297" s="43"/>
      <c r="AG297" s="1"/>
    </row>
    <row r="298" spans="1:33" ht="44.25" customHeight="1" x14ac:dyDescent="0.25">
      <c r="A298" s="1"/>
      <c r="B298" s="1"/>
      <c r="C298" s="1"/>
      <c r="D298" s="1"/>
      <c r="E298" s="42"/>
      <c r="F298" s="43"/>
      <c r="G298" s="1"/>
      <c r="H298" s="1"/>
      <c r="I298" s="44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42"/>
      <c r="AE298" s="43"/>
      <c r="AF298" s="43"/>
      <c r="AG298" s="1"/>
    </row>
    <row r="299" spans="1:33" ht="44.25" customHeight="1" x14ac:dyDescent="0.25">
      <c r="A299" s="1"/>
      <c r="B299" s="1"/>
      <c r="C299" s="1"/>
      <c r="D299" s="1"/>
      <c r="E299" s="42"/>
      <c r="F299" s="43"/>
      <c r="G299" s="1"/>
      <c r="H299" s="1"/>
      <c r="I299" s="44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42"/>
      <c r="AE299" s="43"/>
      <c r="AF299" s="43"/>
      <c r="AG299" s="1"/>
    </row>
    <row r="300" spans="1:33" ht="44.25" customHeight="1" x14ac:dyDescent="0.25">
      <c r="A300" s="1"/>
      <c r="B300" s="1"/>
      <c r="C300" s="1"/>
      <c r="D300" s="1"/>
      <c r="E300" s="42"/>
      <c r="F300" s="43"/>
      <c r="G300" s="1"/>
      <c r="H300" s="1"/>
      <c r="I300" s="44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42"/>
      <c r="AE300" s="43"/>
      <c r="AF300" s="43"/>
      <c r="AG300" s="1"/>
    </row>
    <row r="301" spans="1:33" ht="44.25" customHeight="1" x14ac:dyDescent="0.25">
      <c r="A301" s="1"/>
      <c r="B301" s="1"/>
      <c r="C301" s="1"/>
      <c r="D301" s="1"/>
      <c r="E301" s="42"/>
      <c r="F301" s="43"/>
      <c r="G301" s="1"/>
      <c r="H301" s="1"/>
      <c r="I301" s="44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42"/>
      <c r="AE301" s="43"/>
      <c r="AF301" s="43"/>
      <c r="AG301" s="1"/>
    </row>
    <row r="302" spans="1:33" ht="44.25" customHeight="1" x14ac:dyDescent="0.25">
      <c r="A302" s="1"/>
      <c r="B302" s="1"/>
      <c r="C302" s="1"/>
      <c r="D302" s="1"/>
      <c r="E302" s="42"/>
      <c r="F302" s="43"/>
      <c r="G302" s="1"/>
      <c r="H302" s="1"/>
      <c r="I302" s="44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42"/>
      <c r="AE302" s="43"/>
      <c r="AF302" s="43"/>
      <c r="AG302" s="1"/>
    </row>
    <row r="303" spans="1:33" ht="44.25" customHeight="1" x14ac:dyDescent="0.25">
      <c r="A303" s="1"/>
      <c r="B303" s="1"/>
      <c r="C303" s="1"/>
      <c r="D303" s="1"/>
      <c r="E303" s="42"/>
      <c r="F303" s="43"/>
      <c r="G303" s="1"/>
      <c r="H303" s="1"/>
      <c r="I303" s="44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42"/>
      <c r="AE303" s="43"/>
      <c r="AF303" s="43"/>
      <c r="AG303" s="1"/>
    </row>
    <row r="304" spans="1:33" ht="44.25" customHeight="1" x14ac:dyDescent="0.25">
      <c r="A304" s="1"/>
      <c r="B304" s="1"/>
      <c r="C304" s="1"/>
      <c r="D304" s="1"/>
      <c r="E304" s="42"/>
      <c r="F304" s="43"/>
      <c r="G304" s="1"/>
      <c r="H304" s="1"/>
      <c r="I304" s="44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42"/>
      <c r="AE304" s="43"/>
      <c r="AF304" s="43"/>
      <c r="AG304" s="1"/>
    </row>
    <row r="305" spans="1:33" ht="44.25" customHeight="1" x14ac:dyDescent="0.25">
      <c r="A305" s="1"/>
      <c r="B305" s="1"/>
      <c r="C305" s="1"/>
      <c r="D305" s="1"/>
      <c r="E305" s="42"/>
      <c r="F305" s="43"/>
      <c r="G305" s="1"/>
      <c r="H305" s="1"/>
      <c r="I305" s="44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42"/>
      <c r="AE305" s="43"/>
      <c r="AF305" s="43"/>
      <c r="AG305" s="1"/>
    </row>
    <row r="306" spans="1:33" ht="44.25" customHeight="1" x14ac:dyDescent="0.25">
      <c r="A306" s="1"/>
      <c r="B306" s="1"/>
      <c r="C306" s="1"/>
      <c r="D306" s="1"/>
      <c r="E306" s="42"/>
      <c r="F306" s="43"/>
      <c r="G306" s="1"/>
      <c r="H306" s="1"/>
      <c r="I306" s="44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42"/>
      <c r="AE306" s="43"/>
      <c r="AF306" s="43"/>
      <c r="AG306" s="1"/>
    </row>
    <row r="307" spans="1:33" ht="44.25" customHeight="1" x14ac:dyDescent="0.25">
      <c r="A307" s="1"/>
      <c r="B307" s="1"/>
      <c r="C307" s="1"/>
      <c r="D307" s="1"/>
      <c r="E307" s="42"/>
      <c r="F307" s="43"/>
      <c r="G307" s="1"/>
      <c r="H307" s="1"/>
      <c r="I307" s="44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42"/>
      <c r="AE307" s="43"/>
      <c r="AF307" s="43"/>
      <c r="AG307" s="1"/>
    </row>
    <row r="308" spans="1:33" ht="44.25" customHeight="1" x14ac:dyDescent="0.25">
      <c r="A308" s="1"/>
      <c r="B308" s="1"/>
      <c r="C308" s="1"/>
      <c r="D308" s="1"/>
      <c r="E308" s="42"/>
      <c r="F308" s="43"/>
      <c r="G308" s="1"/>
      <c r="H308" s="1"/>
      <c r="I308" s="44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42"/>
      <c r="AE308" s="43"/>
      <c r="AF308" s="43"/>
      <c r="AG308" s="1"/>
    </row>
    <row r="309" spans="1:33" ht="44.25" customHeight="1" x14ac:dyDescent="0.25">
      <c r="A309" s="1"/>
      <c r="B309" s="1"/>
      <c r="C309" s="1"/>
      <c r="D309" s="1"/>
      <c r="E309" s="42"/>
      <c r="F309" s="43"/>
      <c r="G309" s="1"/>
      <c r="H309" s="1"/>
      <c r="I309" s="44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42"/>
      <c r="AE309" s="43"/>
      <c r="AF309" s="43"/>
      <c r="AG309" s="1"/>
    </row>
    <row r="310" spans="1:33" ht="44.25" customHeight="1" x14ac:dyDescent="0.25">
      <c r="A310" s="1"/>
      <c r="B310" s="1"/>
      <c r="C310" s="1"/>
      <c r="D310" s="1"/>
      <c r="E310" s="42"/>
      <c r="F310" s="43"/>
      <c r="G310" s="1"/>
      <c r="H310" s="1"/>
      <c r="I310" s="44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42"/>
      <c r="AE310" s="43"/>
      <c r="AF310" s="43"/>
      <c r="AG310" s="1"/>
    </row>
    <row r="311" spans="1:33" ht="44.25" customHeight="1" x14ac:dyDescent="0.25">
      <c r="A311" s="1"/>
      <c r="B311" s="1"/>
      <c r="C311" s="1"/>
      <c r="D311" s="1"/>
      <c r="E311" s="42"/>
      <c r="F311" s="43"/>
      <c r="G311" s="1"/>
      <c r="H311" s="1"/>
      <c r="I311" s="44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42"/>
      <c r="AE311" s="43"/>
      <c r="AF311" s="43"/>
      <c r="AG311" s="1"/>
    </row>
    <row r="312" spans="1:33" ht="44.25" customHeight="1" x14ac:dyDescent="0.25">
      <c r="A312" s="1"/>
      <c r="B312" s="1"/>
      <c r="C312" s="1"/>
      <c r="D312" s="1"/>
      <c r="E312" s="42"/>
      <c r="F312" s="43"/>
      <c r="G312" s="1"/>
      <c r="H312" s="1"/>
      <c r="I312" s="44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42"/>
      <c r="AE312" s="43"/>
      <c r="AF312" s="43"/>
      <c r="AG312" s="1"/>
    </row>
    <row r="313" spans="1:33" ht="44.25" customHeight="1" x14ac:dyDescent="0.25">
      <c r="A313" s="1"/>
      <c r="B313" s="1"/>
      <c r="C313" s="1"/>
      <c r="D313" s="1"/>
      <c r="E313" s="42"/>
      <c r="F313" s="43"/>
      <c r="G313" s="1"/>
      <c r="H313" s="1"/>
      <c r="I313" s="44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42"/>
      <c r="AE313" s="43"/>
      <c r="AF313" s="43"/>
      <c r="AG313" s="1"/>
    </row>
    <row r="314" spans="1:33" ht="44.25" customHeight="1" x14ac:dyDescent="0.25">
      <c r="A314" s="1"/>
      <c r="B314" s="1"/>
      <c r="C314" s="1"/>
      <c r="D314" s="1"/>
      <c r="E314" s="42"/>
      <c r="F314" s="43"/>
      <c r="G314" s="1"/>
      <c r="H314" s="1"/>
      <c r="I314" s="44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42"/>
      <c r="AE314" s="43"/>
      <c r="AF314" s="43"/>
      <c r="AG314" s="1"/>
    </row>
    <row r="315" spans="1:33" ht="44.25" customHeight="1" x14ac:dyDescent="0.25">
      <c r="A315" s="1"/>
      <c r="B315" s="1"/>
      <c r="C315" s="1"/>
      <c r="D315" s="1"/>
      <c r="E315" s="42"/>
      <c r="F315" s="43"/>
      <c r="G315" s="1"/>
      <c r="H315" s="1"/>
      <c r="I315" s="44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42"/>
      <c r="AE315" s="43"/>
      <c r="AF315" s="43"/>
      <c r="AG315" s="1"/>
    </row>
    <row r="316" spans="1:33" ht="44.25" customHeight="1" x14ac:dyDescent="0.25">
      <c r="A316" s="1"/>
      <c r="B316" s="1"/>
      <c r="C316" s="1"/>
      <c r="D316" s="1"/>
      <c r="E316" s="42"/>
      <c r="F316" s="43"/>
      <c r="G316" s="1"/>
      <c r="H316" s="1"/>
      <c r="I316" s="44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42"/>
      <c r="AE316" s="43"/>
      <c r="AF316" s="43"/>
      <c r="AG316" s="1"/>
    </row>
    <row r="317" spans="1:33" ht="44.25" customHeight="1" x14ac:dyDescent="0.25">
      <c r="A317" s="1"/>
      <c r="B317" s="1"/>
      <c r="C317" s="1"/>
      <c r="D317" s="1"/>
      <c r="E317" s="42"/>
      <c r="F317" s="43"/>
      <c r="G317" s="1"/>
      <c r="H317" s="1"/>
      <c r="I317" s="44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42"/>
      <c r="AE317" s="43"/>
      <c r="AF317" s="43"/>
      <c r="AG317" s="1"/>
    </row>
    <row r="318" spans="1:33" ht="44.25" customHeight="1" x14ac:dyDescent="0.25">
      <c r="A318" s="1"/>
      <c r="B318" s="1"/>
      <c r="C318" s="1"/>
      <c r="D318" s="1"/>
      <c r="E318" s="42"/>
      <c r="F318" s="43"/>
      <c r="G318" s="1"/>
      <c r="H318" s="1"/>
      <c r="I318" s="44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42"/>
      <c r="AE318" s="43"/>
      <c r="AF318" s="43"/>
      <c r="AG318" s="1"/>
    </row>
    <row r="319" spans="1:33" ht="44.25" customHeight="1" x14ac:dyDescent="0.25">
      <c r="A319" s="1"/>
      <c r="B319" s="1"/>
      <c r="C319" s="1"/>
      <c r="D319" s="1"/>
      <c r="E319" s="42"/>
      <c r="F319" s="43"/>
      <c r="G319" s="1"/>
      <c r="H319" s="1"/>
      <c r="I319" s="44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42"/>
      <c r="AE319" s="43"/>
      <c r="AF319" s="43"/>
      <c r="AG319" s="1"/>
    </row>
    <row r="320" spans="1:33" ht="44.25" customHeight="1" x14ac:dyDescent="0.25">
      <c r="A320" s="1"/>
      <c r="B320" s="1"/>
      <c r="C320" s="1"/>
      <c r="D320" s="1"/>
      <c r="E320" s="42"/>
      <c r="F320" s="43"/>
      <c r="G320" s="1"/>
      <c r="H320" s="1"/>
      <c r="I320" s="44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42"/>
      <c r="AE320" s="43"/>
      <c r="AF320" s="43"/>
      <c r="AG320" s="1"/>
    </row>
    <row r="321" spans="1:33" ht="44.25" customHeight="1" x14ac:dyDescent="0.25">
      <c r="A321" s="1"/>
      <c r="B321" s="1"/>
      <c r="C321" s="1"/>
      <c r="D321" s="1"/>
      <c r="E321" s="42"/>
      <c r="F321" s="43"/>
      <c r="G321" s="1"/>
      <c r="H321" s="1"/>
      <c r="I321" s="44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42"/>
      <c r="AE321" s="43"/>
      <c r="AF321" s="43"/>
      <c r="AG321" s="1"/>
    </row>
    <row r="322" spans="1:33" ht="44.25" customHeight="1" x14ac:dyDescent="0.25">
      <c r="A322" s="1"/>
      <c r="B322" s="1"/>
      <c r="C322" s="1"/>
      <c r="D322" s="1"/>
      <c r="E322" s="42"/>
      <c r="F322" s="43"/>
      <c r="G322" s="1"/>
      <c r="H322" s="1"/>
      <c r="I322" s="44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42"/>
      <c r="AE322" s="43"/>
      <c r="AF322" s="43"/>
      <c r="AG322" s="1"/>
    </row>
    <row r="323" spans="1:33" ht="44.25" customHeight="1" x14ac:dyDescent="0.25">
      <c r="A323" s="1"/>
      <c r="B323" s="1"/>
      <c r="C323" s="1"/>
      <c r="D323" s="1"/>
      <c r="E323" s="42"/>
      <c r="F323" s="43"/>
      <c r="G323" s="1"/>
      <c r="H323" s="1"/>
      <c r="I323" s="44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42"/>
      <c r="AE323" s="43"/>
      <c r="AF323" s="43"/>
      <c r="AG323" s="1"/>
    </row>
    <row r="324" spans="1:33" ht="44.25" customHeight="1" x14ac:dyDescent="0.25">
      <c r="A324" s="1"/>
      <c r="B324" s="1"/>
      <c r="C324" s="1"/>
      <c r="D324" s="1"/>
      <c r="E324" s="42"/>
      <c r="F324" s="43"/>
      <c r="G324" s="1"/>
      <c r="H324" s="1"/>
      <c r="I324" s="44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42"/>
      <c r="AE324" s="43"/>
      <c r="AF324" s="43"/>
      <c r="AG324" s="1"/>
    </row>
    <row r="325" spans="1:33" ht="44.25" customHeight="1" x14ac:dyDescent="0.25">
      <c r="A325" s="1"/>
      <c r="B325" s="1"/>
      <c r="C325" s="1"/>
      <c r="D325" s="1"/>
      <c r="E325" s="42"/>
      <c r="F325" s="43"/>
      <c r="G325" s="1"/>
      <c r="H325" s="1"/>
      <c r="I325" s="44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42"/>
      <c r="AE325" s="43"/>
      <c r="AF325" s="43"/>
      <c r="AG325" s="1"/>
    </row>
    <row r="326" spans="1:33" ht="44.25" customHeight="1" x14ac:dyDescent="0.25">
      <c r="A326" s="1"/>
      <c r="B326" s="1"/>
      <c r="C326" s="1"/>
      <c r="D326" s="1"/>
      <c r="E326" s="42"/>
      <c r="F326" s="43"/>
      <c r="G326" s="1"/>
      <c r="H326" s="1"/>
      <c r="I326" s="44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42"/>
      <c r="AE326" s="43"/>
      <c r="AF326" s="43"/>
      <c r="AG326" s="1"/>
    </row>
    <row r="327" spans="1:33" ht="44.25" customHeight="1" x14ac:dyDescent="0.25">
      <c r="A327" s="1"/>
      <c r="B327" s="1"/>
      <c r="C327" s="1"/>
      <c r="D327" s="1"/>
      <c r="E327" s="42"/>
      <c r="F327" s="43"/>
      <c r="G327" s="1"/>
      <c r="H327" s="1"/>
      <c r="I327" s="44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42"/>
      <c r="AE327" s="43"/>
      <c r="AF327" s="43"/>
      <c r="AG327" s="1"/>
    </row>
    <row r="328" spans="1:33" ht="44.25" customHeight="1" x14ac:dyDescent="0.25">
      <c r="A328" s="1"/>
      <c r="B328" s="1"/>
      <c r="C328" s="1"/>
      <c r="D328" s="1"/>
      <c r="E328" s="42"/>
      <c r="F328" s="43"/>
      <c r="G328" s="1"/>
      <c r="H328" s="1"/>
      <c r="I328" s="44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42"/>
      <c r="AE328" s="43"/>
      <c r="AF328" s="43"/>
      <c r="AG328" s="1"/>
    </row>
    <row r="329" spans="1:33" ht="44.25" customHeight="1" x14ac:dyDescent="0.25">
      <c r="A329" s="1"/>
      <c r="B329" s="1"/>
      <c r="C329" s="1"/>
      <c r="D329" s="1"/>
      <c r="E329" s="42"/>
      <c r="F329" s="43"/>
      <c r="G329" s="1"/>
      <c r="H329" s="1"/>
      <c r="I329" s="44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42"/>
      <c r="AE329" s="43"/>
      <c r="AF329" s="43"/>
      <c r="AG329" s="1"/>
    </row>
    <row r="330" spans="1:33" ht="44.25" customHeight="1" x14ac:dyDescent="0.25">
      <c r="A330" s="1"/>
      <c r="B330" s="1"/>
      <c r="C330" s="1"/>
      <c r="D330" s="1"/>
      <c r="E330" s="42"/>
      <c r="F330" s="43"/>
      <c r="G330" s="1"/>
      <c r="H330" s="1"/>
      <c r="I330" s="44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42"/>
      <c r="AE330" s="43"/>
      <c r="AF330" s="43"/>
      <c r="AG330" s="1"/>
    </row>
    <row r="331" spans="1:33" ht="44.25" customHeight="1" x14ac:dyDescent="0.25">
      <c r="A331" s="1"/>
      <c r="B331" s="1"/>
      <c r="C331" s="1"/>
      <c r="D331" s="1"/>
      <c r="E331" s="42"/>
      <c r="F331" s="43"/>
      <c r="G331" s="1"/>
      <c r="H331" s="1"/>
      <c r="I331" s="44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42"/>
      <c r="AE331" s="43"/>
      <c r="AF331" s="43"/>
      <c r="AG331" s="1"/>
    </row>
    <row r="332" spans="1:33" ht="44.25" customHeight="1" x14ac:dyDescent="0.25">
      <c r="A332" s="1"/>
      <c r="B332" s="1"/>
      <c r="C332" s="1"/>
      <c r="D332" s="1"/>
      <c r="E332" s="42"/>
      <c r="F332" s="43"/>
      <c r="G332" s="1"/>
      <c r="H332" s="1"/>
      <c r="I332" s="44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42"/>
      <c r="AE332" s="43"/>
      <c r="AF332" s="43"/>
      <c r="AG332" s="1"/>
    </row>
    <row r="333" spans="1:33" ht="44.25" customHeight="1" x14ac:dyDescent="0.25">
      <c r="A333" s="1"/>
      <c r="B333" s="1"/>
      <c r="C333" s="1"/>
      <c r="D333" s="1"/>
      <c r="E333" s="42"/>
      <c r="F333" s="43"/>
      <c r="G333" s="1"/>
      <c r="H333" s="1"/>
      <c r="I333" s="44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42"/>
      <c r="AE333" s="43"/>
      <c r="AF333" s="43"/>
      <c r="AG333" s="1"/>
    </row>
    <row r="334" spans="1:33" ht="44.25" customHeight="1" x14ac:dyDescent="0.25">
      <c r="A334" s="1"/>
      <c r="B334" s="1"/>
      <c r="C334" s="1"/>
      <c r="D334" s="1"/>
      <c r="E334" s="42"/>
      <c r="F334" s="43"/>
      <c r="G334" s="1"/>
      <c r="H334" s="1"/>
      <c r="I334" s="44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42"/>
      <c r="AE334" s="43"/>
      <c r="AF334" s="43"/>
      <c r="AG334" s="1"/>
    </row>
    <row r="335" spans="1:33" ht="44.25" customHeight="1" x14ac:dyDescent="0.25">
      <c r="A335" s="1"/>
      <c r="B335" s="1"/>
      <c r="C335" s="1"/>
      <c r="D335" s="1"/>
      <c r="E335" s="42"/>
      <c r="F335" s="43"/>
      <c r="G335" s="1"/>
      <c r="H335" s="1"/>
      <c r="I335" s="44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42"/>
      <c r="AE335" s="43"/>
      <c r="AF335" s="43"/>
      <c r="AG335" s="1"/>
    </row>
    <row r="336" spans="1:33" ht="44.25" customHeight="1" x14ac:dyDescent="0.25">
      <c r="A336" s="1"/>
      <c r="B336" s="1"/>
      <c r="C336" s="1"/>
      <c r="D336" s="1"/>
      <c r="E336" s="42"/>
      <c r="F336" s="43"/>
      <c r="G336" s="1"/>
      <c r="H336" s="1"/>
      <c r="I336" s="44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42"/>
      <c r="AE336" s="43"/>
      <c r="AF336" s="43"/>
      <c r="AG336" s="1"/>
    </row>
    <row r="337" spans="1:33" ht="44.25" customHeight="1" x14ac:dyDescent="0.25">
      <c r="A337" s="1"/>
      <c r="B337" s="1"/>
      <c r="C337" s="1"/>
      <c r="D337" s="1"/>
      <c r="E337" s="42"/>
      <c r="F337" s="43"/>
      <c r="G337" s="1"/>
      <c r="H337" s="1"/>
      <c r="I337" s="44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42"/>
      <c r="AE337" s="43"/>
      <c r="AF337" s="43"/>
      <c r="AG337" s="1"/>
    </row>
    <row r="338" spans="1:33" ht="44.25" customHeight="1" x14ac:dyDescent="0.25">
      <c r="A338" s="1"/>
      <c r="B338" s="1"/>
      <c r="C338" s="1"/>
      <c r="D338" s="1"/>
      <c r="E338" s="42"/>
      <c r="F338" s="43"/>
      <c r="G338" s="1"/>
      <c r="H338" s="1"/>
      <c r="I338" s="44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42"/>
      <c r="AE338" s="43"/>
      <c r="AF338" s="43"/>
      <c r="AG338" s="1"/>
    </row>
    <row r="339" spans="1:33" ht="44.25" customHeight="1" x14ac:dyDescent="0.25">
      <c r="A339" s="1"/>
      <c r="B339" s="1"/>
      <c r="C339" s="1"/>
      <c r="D339" s="1"/>
      <c r="E339" s="42"/>
      <c r="F339" s="43"/>
      <c r="G339" s="1"/>
      <c r="H339" s="1"/>
      <c r="I339" s="44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42"/>
      <c r="AE339" s="43"/>
      <c r="AF339" s="43"/>
      <c r="AG339" s="1"/>
    </row>
    <row r="340" spans="1:33" ht="44.25" customHeight="1" x14ac:dyDescent="0.25">
      <c r="A340" s="1"/>
      <c r="B340" s="1"/>
      <c r="C340" s="1"/>
      <c r="D340" s="1"/>
      <c r="E340" s="42"/>
      <c r="F340" s="43"/>
      <c r="G340" s="1"/>
      <c r="H340" s="1"/>
      <c r="I340" s="44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42"/>
      <c r="AE340" s="43"/>
      <c r="AF340" s="43"/>
      <c r="AG340" s="1"/>
    </row>
    <row r="341" spans="1:33" ht="44.25" customHeight="1" x14ac:dyDescent="0.25">
      <c r="A341" s="1"/>
      <c r="B341" s="1"/>
      <c r="C341" s="1"/>
      <c r="D341" s="1"/>
      <c r="E341" s="42"/>
      <c r="F341" s="43"/>
      <c r="G341" s="1"/>
      <c r="H341" s="1"/>
      <c r="I341" s="44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42"/>
      <c r="AE341" s="43"/>
      <c r="AF341" s="43"/>
      <c r="AG341" s="1"/>
    </row>
    <row r="342" spans="1:33" ht="44.25" customHeight="1" x14ac:dyDescent="0.25">
      <c r="A342" s="1"/>
      <c r="B342" s="1"/>
      <c r="C342" s="1"/>
      <c r="D342" s="1"/>
      <c r="E342" s="42"/>
      <c r="F342" s="43"/>
      <c r="G342" s="1"/>
      <c r="H342" s="1"/>
      <c r="I342" s="44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42"/>
      <c r="AE342" s="43"/>
      <c r="AF342" s="43"/>
      <c r="AG342" s="1"/>
    </row>
    <row r="343" spans="1:33" ht="44.25" customHeight="1" x14ac:dyDescent="0.25">
      <c r="A343" s="1"/>
      <c r="B343" s="1"/>
      <c r="C343" s="1"/>
      <c r="D343" s="1"/>
      <c r="E343" s="42"/>
      <c r="F343" s="43"/>
      <c r="G343" s="1"/>
      <c r="H343" s="1"/>
      <c r="I343" s="44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42"/>
      <c r="AE343" s="43"/>
      <c r="AF343" s="43"/>
      <c r="AG343" s="1"/>
    </row>
    <row r="344" spans="1:33" ht="44.25" customHeight="1" x14ac:dyDescent="0.25">
      <c r="A344" s="1"/>
      <c r="B344" s="1"/>
      <c r="C344" s="1"/>
      <c r="D344" s="1"/>
      <c r="E344" s="42"/>
      <c r="F344" s="43"/>
      <c r="G344" s="1"/>
      <c r="H344" s="1"/>
      <c r="I344" s="44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42"/>
      <c r="AE344" s="43"/>
      <c r="AF344" s="43"/>
      <c r="AG344" s="1"/>
    </row>
    <row r="345" spans="1:33" ht="44.25" customHeight="1" x14ac:dyDescent="0.25">
      <c r="A345" s="1"/>
      <c r="B345" s="1"/>
      <c r="C345" s="1"/>
      <c r="D345" s="1"/>
      <c r="E345" s="42"/>
      <c r="F345" s="43"/>
      <c r="G345" s="1"/>
      <c r="H345" s="1"/>
      <c r="I345" s="44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42"/>
      <c r="AE345" s="43"/>
      <c r="AF345" s="43"/>
      <c r="AG345" s="1"/>
    </row>
    <row r="346" spans="1:33" ht="44.25" customHeight="1" x14ac:dyDescent="0.25">
      <c r="A346" s="1"/>
      <c r="B346" s="1"/>
      <c r="C346" s="1"/>
      <c r="D346" s="1"/>
      <c r="E346" s="42"/>
      <c r="F346" s="43"/>
      <c r="G346" s="1"/>
      <c r="H346" s="1"/>
      <c r="I346" s="44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42"/>
      <c r="AE346" s="43"/>
      <c r="AF346" s="43"/>
      <c r="AG346" s="1"/>
    </row>
    <row r="347" spans="1:33" ht="44.25" customHeight="1" x14ac:dyDescent="0.25">
      <c r="A347" s="1"/>
      <c r="B347" s="1"/>
      <c r="C347" s="1"/>
      <c r="D347" s="1"/>
      <c r="E347" s="42"/>
      <c r="F347" s="43"/>
      <c r="G347" s="1"/>
      <c r="H347" s="1"/>
      <c r="I347" s="44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42"/>
      <c r="AE347" s="43"/>
      <c r="AF347" s="43"/>
      <c r="AG347" s="1"/>
    </row>
    <row r="348" spans="1:33" ht="44.25" customHeight="1" x14ac:dyDescent="0.25">
      <c r="A348" s="1"/>
      <c r="B348" s="1"/>
      <c r="C348" s="1"/>
      <c r="D348" s="1"/>
      <c r="E348" s="42"/>
      <c r="F348" s="43"/>
      <c r="G348" s="1"/>
      <c r="H348" s="1"/>
      <c r="I348" s="44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42"/>
      <c r="AE348" s="43"/>
      <c r="AF348" s="43"/>
      <c r="AG348" s="1"/>
    </row>
    <row r="349" spans="1:33" ht="44.25" customHeight="1" x14ac:dyDescent="0.25">
      <c r="A349" s="1"/>
      <c r="B349" s="1"/>
      <c r="C349" s="1"/>
      <c r="D349" s="1"/>
      <c r="E349" s="42"/>
      <c r="F349" s="43"/>
      <c r="G349" s="1"/>
      <c r="H349" s="1"/>
      <c r="I349" s="44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42"/>
      <c r="AE349" s="43"/>
      <c r="AF349" s="43"/>
      <c r="AG349" s="1"/>
    </row>
    <row r="350" spans="1:33" ht="44.25" customHeight="1" x14ac:dyDescent="0.25">
      <c r="A350" s="1"/>
      <c r="B350" s="1"/>
      <c r="C350" s="1"/>
      <c r="D350" s="1"/>
      <c r="E350" s="42"/>
      <c r="F350" s="43"/>
      <c r="G350" s="1"/>
      <c r="H350" s="1"/>
      <c r="I350" s="44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42"/>
      <c r="AE350" s="43"/>
      <c r="AF350" s="43"/>
      <c r="AG350" s="1"/>
    </row>
    <row r="351" spans="1:33" ht="44.25" customHeight="1" x14ac:dyDescent="0.25">
      <c r="A351" s="1"/>
      <c r="B351" s="1"/>
      <c r="C351" s="1"/>
      <c r="D351" s="1"/>
      <c r="E351" s="42"/>
      <c r="F351" s="43"/>
      <c r="G351" s="1"/>
      <c r="H351" s="1"/>
      <c r="I351" s="44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42"/>
      <c r="AE351" s="43"/>
      <c r="AF351" s="43"/>
      <c r="AG351" s="1"/>
    </row>
    <row r="352" spans="1:33" ht="44.25" customHeight="1" x14ac:dyDescent="0.25">
      <c r="A352" s="1"/>
      <c r="B352" s="1"/>
      <c r="C352" s="1"/>
      <c r="D352" s="1"/>
      <c r="E352" s="42"/>
      <c r="F352" s="43"/>
      <c r="G352" s="1"/>
      <c r="H352" s="1"/>
      <c r="I352" s="44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42"/>
      <c r="AE352" s="43"/>
      <c r="AF352" s="43"/>
      <c r="AG352" s="1"/>
    </row>
    <row r="353" spans="1:33" ht="44.25" customHeight="1" x14ac:dyDescent="0.25">
      <c r="A353" s="1"/>
      <c r="B353" s="1"/>
      <c r="C353" s="1"/>
      <c r="D353" s="1"/>
      <c r="E353" s="42"/>
      <c r="F353" s="43"/>
      <c r="G353" s="1"/>
      <c r="H353" s="1"/>
      <c r="I353" s="44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42"/>
      <c r="AE353" s="43"/>
      <c r="AF353" s="43"/>
      <c r="AG353" s="1"/>
    </row>
    <row r="354" spans="1:33" ht="44.25" customHeight="1" x14ac:dyDescent="0.25">
      <c r="A354" s="1"/>
      <c r="B354" s="1"/>
      <c r="C354" s="1"/>
      <c r="D354" s="1"/>
      <c r="E354" s="42"/>
      <c r="F354" s="43"/>
      <c r="G354" s="1"/>
      <c r="H354" s="1"/>
      <c r="I354" s="44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42"/>
      <c r="AE354" s="43"/>
      <c r="AF354" s="43"/>
      <c r="AG354" s="1"/>
    </row>
    <row r="355" spans="1:33" ht="44.25" customHeight="1" x14ac:dyDescent="0.25">
      <c r="A355" s="1"/>
      <c r="B355" s="1"/>
      <c r="C355" s="1"/>
      <c r="D355" s="1"/>
      <c r="E355" s="42"/>
      <c r="F355" s="43"/>
      <c r="G355" s="1"/>
      <c r="H355" s="1"/>
      <c r="I355" s="44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42"/>
      <c r="AE355" s="43"/>
      <c r="AF355" s="43"/>
      <c r="AG355" s="1"/>
    </row>
    <row r="356" spans="1:33" ht="44.25" customHeight="1" x14ac:dyDescent="0.25">
      <c r="A356" s="1"/>
      <c r="B356" s="1"/>
      <c r="C356" s="1"/>
      <c r="D356" s="1"/>
      <c r="E356" s="42"/>
      <c r="F356" s="43"/>
      <c r="G356" s="1"/>
      <c r="H356" s="1"/>
      <c r="I356" s="44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42"/>
      <c r="AE356" s="43"/>
      <c r="AF356" s="43"/>
      <c r="AG356" s="1"/>
    </row>
    <row r="357" spans="1:33" ht="44.25" customHeight="1" x14ac:dyDescent="0.25">
      <c r="A357" s="1"/>
      <c r="B357" s="1"/>
      <c r="C357" s="1"/>
      <c r="D357" s="1"/>
      <c r="E357" s="42"/>
      <c r="F357" s="43"/>
      <c r="G357" s="1"/>
      <c r="H357" s="1"/>
      <c r="I357" s="44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42"/>
      <c r="AE357" s="43"/>
      <c r="AF357" s="43"/>
      <c r="AG357" s="1"/>
    </row>
    <row r="358" spans="1:33" ht="44.25" customHeight="1" x14ac:dyDescent="0.25">
      <c r="A358" s="1"/>
      <c r="B358" s="1"/>
      <c r="C358" s="1"/>
      <c r="D358" s="1"/>
      <c r="E358" s="42"/>
      <c r="F358" s="43"/>
      <c r="G358" s="1"/>
      <c r="H358" s="1"/>
      <c r="I358" s="44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42"/>
      <c r="AE358" s="43"/>
      <c r="AF358" s="43"/>
      <c r="AG358" s="1"/>
    </row>
    <row r="359" spans="1:33" ht="44.25" customHeight="1" x14ac:dyDescent="0.25">
      <c r="A359" s="1"/>
      <c r="B359" s="1"/>
      <c r="C359" s="1"/>
      <c r="D359" s="1"/>
      <c r="E359" s="42"/>
      <c r="F359" s="43"/>
      <c r="G359" s="1"/>
      <c r="H359" s="1"/>
      <c r="I359" s="44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42"/>
      <c r="AE359" s="43"/>
      <c r="AF359" s="43"/>
      <c r="AG359" s="1"/>
    </row>
    <row r="360" spans="1:33" ht="44.25" customHeight="1" x14ac:dyDescent="0.25">
      <c r="A360" s="1"/>
      <c r="B360" s="1"/>
      <c r="C360" s="1"/>
      <c r="D360" s="1"/>
      <c r="E360" s="42"/>
      <c r="F360" s="43"/>
      <c r="G360" s="1"/>
      <c r="H360" s="1"/>
      <c r="I360" s="44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42"/>
      <c r="AE360" s="43"/>
      <c r="AF360" s="43"/>
      <c r="AG360" s="1"/>
    </row>
    <row r="361" spans="1:33" ht="44.25" customHeight="1" x14ac:dyDescent="0.25">
      <c r="A361" s="1"/>
      <c r="B361" s="1"/>
      <c r="C361" s="1"/>
      <c r="D361" s="1"/>
      <c r="E361" s="42"/>
      <c r="F361" s="43"/>
      <c r="G361" s="1"/>
      <c r="H361" s="1"/>
      <c r="I361" s="44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42"/>
      <c r="AE361" s="43"/>
      <c r="AF361" s="43"/>
      <c r="AG361" s="1"/>
    </row>
    <row r="362" spans="1:33" ht="44.25" customHeight="1" x14ac:dyDescent="0.25">
      <c r="A362" s="1"/>
      <c r="B362" s="1"/>
      <c r="C362" s="1"/>
      <c r="D362" s="1"/>
      <c r="E362" s="42"/>
      <c r="F362" s="43"/>
      <c r="G362" s="1"/>
      <c r="H362" s="1"/>
      <c r="I362" s="44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42"/>
      <c r="AE362" s="43"/>
      <c r="AF362" s="43"/>
      <c r="AG362" s="1"/>
    </row>
    <row r="363" spans="1:33" ht="44.25" customHeight="1" x14ac:dyDescent="0.25">
      <c r="A363" s="1"/>
      <c r="B363" s="1"/>
      <c r="C363" s="1"/>
      <c r="D363" s="1"/>
      <c r="E363" s="42"/>
      <c r="F363" s="43"/>
      <c r="G363" s="1"/>
      <c r="H363" s="1"/>
      <c r="I363" s="44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42"/>
      <c r="AE363" s="43"/>
      <c r="AF363" s="43"/>
      <c r="AG363" s="1"/>
    </row>
    <row r="364" spans="1:33" ht="44.25" customHeight="1" x14ac:dyDescent="0.25">
      <c r="A364" s="1"/>
      <c r="B364" s="1"/>
      <c r="C364" s="1"/>
      <c r="D364" s="1"/>
      <c r="E364" s="42"/>
      <c r="F364" s="43"/>
      <c r="G364" s="1"/>
      <c r="H364" s="1"/>
      <c r="I364" s="44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42"/>
      <c r="AE364" s="43"/>
      <c r="AF364" s="43"/>
      <c r="AG364" s="1"/>
    </row>
    <row r="365" spans="1:33" ht="44.25" customHeight="1" x14ac:dyDescent="0.25">
      <c r="A365" s="1"/>
      <c r="B365" s="1"/>
      <c r="C365" s="1"/>
      <c r="D365" s="1"/>
      <c r="E365" s="42"/>
      <c r="F365" s="43"/>
      <c r="G365" s="1"/>
      <c r="H365" s="1"/>
      <c r="I365" s="44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42"/>
      <c r="AE365" s="43"/>
      <c r="AF365" s="43"/>
      <c r="AG365" s="1"/>
    </row>
    <row r="366" spans="1:33" ht="44.25" customHeight="1" x14ac:dyDescent="0.25">
      <c r="A366" s="1"/>
      <c r="B366" s="1"/>
      <c r="C366" s="1"/>
      <c r="D366" s="1"/>
      <c r="E366" s="42"/>
      <c r="F366" s="43"/>
      <c r="G366" s="1"/>
      <c r="H366" s="1"/>
      <c r="I366" s="44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42"/>
      <c r="AE366" s="43"/>
      <c r="AF366" s="43"/>
      <c r="AG366" s="1"/>
    </row>
    <row r="367" spans="1:33" ht="44.25" customHeight="1" x14ac:dyDescent="0.25">
      <c r="A367" s="1"/>
      <c r="B367" s="1"/>
      <c r="C367" s="1"/>
      <c r="D367" s="1"/>
      <c r="E367" s="42"/>
      <c r="F367" s="43"/>
      <c r="G367" s="1"/>
      <c r="H367" s="1"/>
      <c r="I367" s="44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42"/>
      <c r="AE367" s="43"/>
      <c r="AF367" s="43"/>
      <c r="AG367" s="1"/>
    </row>
    <row r="368" spans="1:33" ht="44.25" customHeight="1" x14ac:dyDescent="0.25">
      <c r="A368" s="1"/>
      <c r="B368" s="1"/>
      <c r="C368" s="1"/>
      <c r="D368" s="1"/>
      <c r="E368" s="42"/>
      <c r="F368" s="43"/>
      <c r="G368" s="1"/>
      <c r="H368" s="1"/>
      <c r="I368" s="44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42"/>
      <c r="AE368" s="43"/>
      <c r="AF368" s="43"/>
      <c r="AG368" s="1"/>
    </row>
    <row r="369" spans="1:33" ht="44.25" customHeight="1" x14ac:dyDescent="0.25">
      <c r="A369" s="1"/>
      <c r="B369" s="1"/>
      <c r="C369" s="1"/>
      <c r="D369" s="1"/>
      <c r="E369" s="42"/>
      <c r="F369" s="43"/>
      <c r="G369" s="1"/>
      <c r="H369" s="1"/>
      <c r="I369" s="44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42"/>
      <c r="AE369" s="43"/>
      <c r="AF369" s="43"/>
      <c r="AG369" s="1"/>
    </row>
    <row r="370" spans="1:33" ht="44.25" customHeight="1" x14ac:dyDescent="0.25">
      <c r="A370" s="1"/>
      <c r="B370" s="1"/>
      <c r="C370" s="1"/>
      <c r="D370" s="1"/>
      <c r="E370" s="42"/>
      <c r="F370" s="43"/>
      <c r="G370" s="1"/>
      <c r="H370" s="1"/>
      <c r="I370" s="44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42"/>
      <c r="AE370" s="43"/>
      <c r="AF370" s="43"/>
      <c r="AG370" s="1"/>
    </row>
    <row r="371" spans="1:33" ht="44.25" customHeight="1" x14ac:dyDescent="0.25">
      <c r="A371" s="1"/>
      <c r="B371" s="1"/>
      <c r="C371" s="1"/>
      <c r="D371" s="1"/>
      <c r="E371" s="42"/>
      <c r="F371" s="43"/>
      <c r="G371" s="1"/>
      <c r="H371" s="1"/>
      <c r="I371" s="44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42"/>
      <c r="AE371" s="43"/>
      <c r="AF371" s="43"/>
      <c r="AG371" s="1"/>
    </row>
    <row r="372" spans="1:33" ht="44.25" customHeight="1" x14ac:dyDescent="0.25">
      <c r="A372" s="1"/>
      <c r="B372" s="1"/>
      <c r="C372" s="1"/>
      <c r="D372" s="1"/>
      <c r="E372" s="42"/>
      <c r="F372" s="43"/>
      <c r="G372" s="1"/>
      <c r="H372" s="1"/>
      <c r="I372" s="44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42"/>
      <c r="AE372" s="43"/>
      <c r="AF372" s="43"/>
      <c r="AG372" s="1"/>
    </row>
    <row r="373" spans="1:33" ht="44.25" customHeight="1" x14ac:dyDescent="0.25">
      <c r="A373" s="1"/>
      <c r="B373" s="1"/>
      <c r="C373" s="1"/>
      <c r="D373" s="1"/>
      <c r="E373" s="42"/>
      <c r="F373" s="43"/>
      <c r="G373" s="1"/>
      <c r="H373" s="1"/>
      <c r="I373" s="44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42"/>
      <c r="AE373" s="43"/>
      <c r="AF373" s="43"/>
      <c r="AG373" s="1"/>
    </row>
    <row r="374" spans="1:33" ht="44.25" customHeight="1" x14ac:dyDescent="0.25">
      <c r="A374" s="1"/>
      <c r="B374" s="1"/>
      <c r="C374" s="1"/>
      <c r="D374" s="1"/>
      <c r="E374" s="42"/>
      <c r="F374" s="43"/>
      <c r="G374" s="1"/>
      <c r="H374" s="1"/>
      <c r="I374" s="44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42"/>
      <c r="AE374" s="43"/>
      <c r="AF374" s="43"/>
      <c r="AG374" s="1"/>
    </row>
    <row r="375" spans="1:33" ht="44.25" customHeight="1" x14ac:dyDescent="0.25">
      <c r="A375" s="1"/>
      <c r="B375" s="1"/>
      <c r="C375" s="1"/>
      <c r="D375" s="1"/>
      <c r="E375" s="42"/>
      <c r="F375" s="43"/>
      <c r="G375" s="1"/>
      <c r="H375" s="1"/>
      <c r="I375" s="44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42"/>
      <c r="AE375" s="43"/>
      <c r="AF375" s="43"/>
      <c r="AG375" s="1"/>
    </row>
    <row r="376" spans="1:33" ht="44.25" customHeight="1" x14ac:dyDescent="0.25">
      <c r="A376" s="1"/>
      <c r="B376" s="1"/>
      <c r="C376" s="1"/>
      <c r="D376" s="1"/>
      <c r="E376" s="42"/>
      <c r="F376" s="43"/>
      <c r="G376" s="1"/>
      <c r="H376" s="1"/>
      <c r="I376" s="44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42"/>
      <c r="AE376" s="43"/>
      <c r="AF376" s="43"/>
      <c r="AG376" s="1"/>
    </row>
    <row r="377" spans="1:33" ht="44.25" customHeight="1" x14ac:dyDescent="0.25">
      <c r="A377" s="1"/>
      <c r="B377" s="1"/>
      <c r="C377" s="1"/>
      <c r="D377" s="1"/>
      <c r="E377" s="42"/>
      <c r="F377" s="43"/>
      <c r="G377" s="1"/>
      <c r="H377" s="1"/>
      <c r="I377" s="44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42"/>
      <c r="AE377" s="43"/>
      <c r="AF377" s="43"/>
      <c r="AG377" s="1"/>
    </row>
    <row r="378" spans="1:33" ht="44.25" customHeight="1" x14ac:dyDescent="0.25">
      <c r="A378" s="1"/>
      <c r="B378" s="1"/>
      <c r="C378" s="1"/>
      <c r="D378" s="1"/>
      <c r="E378" s="42"/>
      <c r="F378" s="43"/>
      <c r="G378" s="1"/>
      <c r="H378" s="1"/>
      <c r="I378" s="44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42"/>
      <c r="AE378" s="43"/>
      <c r="AF378" s="43"/>
      <c r="AG378" s="1"/>
    </row>
    <row r="379" spans="1:33" ht="44.25" customHeight="1" x14ac:dyDescent="0.25">
      <c r="A379" s="1"/>
      <c r="B379" s="1"/>
      <c r="C379" s="1"/>
      <c r="D379" s="1"/>
      <c r="E379" s="42"/>
      <c r="F379" s="43"/>
      <c r="G379" s="1"/>
      <c r="H379" s="1"/>
      <c r="I379" s="44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42"/>
      <c r="AE379" s="43"/>
      <c r="AF379" s="43"/>
      <c r="AG379" s="1"/>
    </row>
    <row r="380" spans="1:33" ht="44.25" customHeight="1" x14ac:dyDescent="0.25">
      <c r="A380" s="1"/>
      <c r="B380" s="1"/>
      <c r="C380" s="1"/>
      <c r="D380" s="1"/>
      <c r="E380" s="42"/>
      <c r="F380" s="43"/>
      <c r="G380" s="1"/>
      <c r="H380" s="1"/>
      <c r="I380" s="44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42"/>
      <c r="AE380" s="43"/>
      <c r="AF380" s="43"/>
      <c r="AG380" s="1"/>
    </row>
    <row r="381" spans="1:33" ht="44.25" customHeight="1" x14ac:dyDescent="0.25">
      <c r="A381" s="1"/>
      <c r="B381" s="1"/>
      <c r="C381" s="1"/>
      <c r="D381" s="1"/>
      <c r="E381" s="42"/>
      <c r="F381" s="43"/>
      <c r="G381" s="1"/>
      <c r="H381" s="1"/>
      <c r="I381" s="44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42"/>
      <c r="AE381" s="43"/>
      <c r="AF381" s="43"/>
      <c r="AG381" s="1"/>
    </row>
    <row r="382" spans="1:33" ht="44.25" customHeight="1" x14ac:dyDescent="0.25">
      <c r="A382" s="1"/>
      <c r="B382" s="1"/>
      <c r="C382" s="1"/>
      <c r="D382" s="1"/>
      <c r="E382" s="42"/>
      <c r="F382" s="43"/>
      <c r="G382" s="1"/>
      <c r="H382" s="1"/>
      <c r="I382" s="44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42"/>
      <c r="AE382" s="43"/>
      <c r="AF382" s="43"/>
      <c r="AG382" s="1"/>
    </row>
    <row r="383" spans="1:33" ht="44.25" customHeight="1" x14ac:dyDescent="0.25">
      <c r="A383" s="1"/>
      <c r="B383" s="1"/>
      <c r="C383" s="1"/>
      <c r="D383" s="1"/>
      <c r="E383" s="42"/>
      <c r="F383" s="43"/>
      <c r="G383" s="1"/>
      <c r="H383" s="1"/>
      <c r="I383" s="44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42"/>
      <c r="AE383" s="43"/>
      <c r="AF383" s="43"/>
      <c r="AG383" s="1"/>
    </row>
    <row r="384" spans="1:33" ht="44.25" customHeight="1" x14ac:dyDescent="0.25">
      <c r="A384" s="1"/>
      <c r="B384" s="1"/>
      <c r="C384" s="1"/>
      <c r="D384" s="1"/>
      <c r="E384" s="42"/>
      <c r="F384" s="43"/>
      <c r="G384" s="1"/>
      <c r="H384" s="1"/>
      <c r="I384" s="44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42"/>
      <c r="AE384" s="43"/>
      <c r="AF384" s="43"/>
      <c r="AG384" s="1"/>
    </row>
    <row r="385" spans="1:33" ht="44.25" customHeight="1" x14ac:dyDescent="0.25">
      <c r="A385" s="1"/>
      <c r="B385" s="1"/>
      <c r="C385" s="1"/>
      <c r="D385" s="1"/>
      <c r="E385" s="42"/>
      <c r="F385" s="43"/>
      <c r="G385" s="1"/>
      <c r="H385" s="1"/>
      <c r="I385" s="44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42"/>
      <c r="AE385" s="43"/>
      <c r="AF385" s="43"/>
      <c r="AG385" s="1"/>
    </row>
    <row r="386" spans="1:33" ht="44.25" customHeight="1" x14ac:dyDescent="0.25">
      <c r="A386" s="1"/>
      <c r="B386" s="1"/>
      <c r="C386" s="1"/>
      <c r="D386" s="1"/>
      <c r="E386" s="42"/>
      <c r="F386" s="43"/>
      <c r="G386" s="1"/>
      <c r="H386" s="1"/>
      <c r="I386" s="44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42"/>
      <c r="AE386" s="43"/>
      <c r="AF386" s="43"/>
      <c r="AG386" s="1"/>
    </row>
    <row r="387" spans="1:33" ht="44.25" customHeight="1" x14ac:dyDescent="0.25">
      <c r="A387" s="1"/>
      <c r="B387" s="1"/>
      <c r="C387" s="1"/>
      <c r="D387" s="1"/>
      <c r="E387" s="42"/>
      <c r="F387" s="43"/>
      <c r="G387" s="1"/>
      <c r="H387" s="1"/>
      <c r="I387" s="44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42"/>
      <c r="AE387" s="43"/>
      <c r="AF387" s="43"/>
      <c r="AG387" s="1"/>
    </row>
    <row r="388" spans="1:33" ht="44.25" customHeight="1" x14ac:dyDescent="0.25">
      <c r="A388" s="1"/>
      <c r="B388" s="1"/>
      <c r="C388" s="1"/>
      <c r="D388" s="1"/>
      <c r="E388" s="42"/>
      <c r="F388" s="43"/>
      <c r="G388" s="1"/>
      <c r="H388" s="1"/>
      <c r="I388" s="44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42"/>
      <c r="AE388" s="43"/>
      <c r="AF388" s="43"/>
      <c r="AG388" s="1"/>
    </row>
    <row r="389" spans="1:33" ht="44.25" customHeight="1" x14ac:dyDescent="0.25">
      <c r="A389" s="1"/>
      <c r="B389" s="1"/>
      <c r="C389" s="1"/>
      <c r="D389" s="1"/>
      <c r="E389" s="42"/>
      <c r="F389" s="43"/>
      <c r="G389" s="1"/>
      <c r="H389" s="1"/>
      <c r="I389" s="44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42"/>
      <c r="AE389" s="43"/>
      <c r="AF389" s="43"/>
      <c r="AG389" s="1"/>
    </row>
    <row r="390" spans="1:33" ht="44.25" customHeight="1" x14ac:dyDescent="0.25">
      <c r="A390" s="1"/>
      <c r="B390" s="1"/>
      <c r="C390" s="1"/>
      <c r="D390" s="1"/>
      <c r="E390" s="42"/>
      <c r="F390" s="43"/>
      <c r="G390" s="1"/>
      <c r="H390" s="1"/>
      <c r="I390" s="44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42"/>
      <c r="AE390" s="43"/>
      <c r="AF390" s="43"/>
      <c r="AG390" s="1"/>
    </row>
    <row r="391" spans="1:33" ht="44.25" customHeight="1" x14ac:dyDescent="0.25">
      <c r="A391" s="1"/>
      <c r="B391" s="1"/>
      <c r="C391" s="1"/>
      <c r="D391" s="1"/>
      <c r="E391" s="42"/>
      <c r="F391" s="43"/>
      <c r="G391" s="1"/>
      <c r="H391" s="1"/>
      <c r="I391" s="44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42"/>
      <c r="AE391" s="43"/>
      <c r="AF391" s="43"/>
      <c r="AG391" s="1"/>
    </row>
    <row r="392" spans="1:33" ht="44.25" customHeight="1" x14ac:dyDescent="0.25">
      <c r="A392" s="1"/>
      <c r="B392" s="1"/>
      <c r="C392" s="1"/>
      <c r="D392" s="1"/>
      <c r="E392" s="42"/>
      <c r="F392" s="43"/>
      <c r="G392" s="1"/>
      <c r="H392" s="1"/>
      <c r="I392" s="44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42"/>
      <c r="AE392" s="43"/>
      <c r="AF392" s="43"/>
      <c r="AG392" s="1"/>
    </row>
    <row r="393" spans="1:33" ht="44.25" customHeight="1" x14ac:dyDescent="0.25">
      <c r="A393" s="1"/>
      <c r="B393" s="1"/>
      <c r="C393" s="1"/>
      <c r="D393" s="1"/>
      <c r="E393" s="42"/>
      <c r="F393" s="43"/>
      <c r="G393" s="1"/>
      <c r="H393" s="1"/>
      <c r="I393" s="44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42"/>
      <c r="AE393" s="43"/>
      <c r="AF393" s="43"/>
      <c r="AG393" s="1"/>
    </row>
    <row r="394" spans="1:33" ht="44.25" customHeight="1" x14ac:dyDescent="0.25">
      <c r="A394" s="1"/>
      <c r="B394" s="1"/>
      <c r="C394" s="1"/>
      <c r="D394" s="1"/>
      <c r="E394" s="42"/>
      <c r="F394" s="43"/>
      <c r="G394" s="1"/>
      <c r="H394" s="1"/>
      <c r="I394" s="44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42"/>
      <c r="AE394" s="43"/>
      <c r="AF394" s="43"/>
      <c r="AG394" s="1"/>
    </row>
    <row r="395" spans="1:33" ht="44.25" customHeight="1" x14ac:dyDescent="0.25">
      <c r="A395" s="1"/>
      <c r="B395" s="1"/>
      <c r="C395" s="1"/>
      <c r="D395" s="1"/>
      <c r="E395" s="42"/>
      <c r="F395" s="43"/>
      <c r="G395" s="1"/>
      <c r="H395" s="1"/>
      <c r="I395" s="44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42"/>
      <c r="AE395" s="43"/>
      <c r="AF395" s="43"/>
      <c r="AG395" s="1"/>
    </row>
    <row r="396" spans="1:33" ht="44.25" customHeight="1" x14ac:dyDescent="0.25">
      <c r="A396" s="1"/>
      <c r="B396" s="1"/>
      <c r="C396" s="1"/>
      <c r="D396" s="1"/>
      <c r="E396" s="42"/>
      <c r="F396" s="43"/>
      <c r="G396" s="1"/>
      <c r="H396" s="1"/>
      <c r="I396" s="44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42"/>
      <c r="AE396" s="43"/>
      <c r="AF396" s="43"/>
      <c r="AG396" s="1"/>
    </row>
    <row r="397" spans="1:33" ht="44.25" customHeight="1" x14ac:dyDescent="0.25">
      <c r="A397" s="1"/>
      <c r="B397" s="1"/>
      <c r="C397" s="1"/>
      <c r="D397" s="1"/>
      <c r="E397" s="42"/>
      <c r="F397" s="43"/>
      <c r="G397" s="1"/>
      <c r="H397" s="1"/>
      <c r="I397" s="44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42"/>
      <c r="AE397" s="43"/>
      <c r="AF397" s="43"/>
      <c r="AG397" s="1"/>
    </row>
    <row r="398" spans="1:33" ht="44.25" customHeight="1" x14ac:dyDescent="0.25">
      <c r="A398" s="1"/>
      <c r="B398" s="1"/>
      <c r="C398" s="1"/>
      <c r="D398" s="1"/>
      <c r="E398" s="42"/>
      <c r="F398" s="43"/>
      <c r="G398" s="1"/>
      <c r="H398" s="1"/>
      <c r="I398" s="44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42"/>
      <c r="AE398" s="43"/>
      <c r="AF398" s="43"/>
      <c r="AG398" s="1"/>
    </row>
    <row r="399" spans="1:33" ht="44.25" customHeight="1" x14ac:dyDescent="0.25">
      <c r="A399" s="1"/>
      <c r="B399" s="1"/>
      <c r="C399" s="1"/>
      <c r="D399" s="1"/>
      <c r="E399" s="42"/>
      <c r="F399" s="43"/>
      <c r="G399" s="1"/>
      <c r="H399" s="1"/>
      <c r="I399" s="44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42"/>
      <c r="AE399" s="43"/>
      <c r="AF399" s="43"/>
      <c r="AG399" s="1"/>
    </row>
    <row r="400" spans="1:33" ht="44.25" customHeight="1" x14ac:dyDescent="0.25">
      <c r="A400" s="1"/>
      <c r="B400" s="1"/>
      <c r="C400" s="1"/>
      <c r="D400" s="1"/>
      <c r="E400" s="42"/>
      <c r="F400" s="43"/>
      <c r="G400" s="1"/>
      <c r="H400" s="1"/>
      <c r="I400" s="44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42"/>
      <c r="AE400" s="43"/>
      <c r="AF400" s="43"/>
      <c r="AG400" s="1"/>
    </row>
    <row r="401" spans="1:33" ht="44.25" customHeight="1" x14ac:dyDescent="0.25">
      <c r="A401" s="1"/>
      <c r="B401" s="1"/>
      <c r="C401" s="1"/>
      <c r="D401" s="1"/>
      <c r="E401" s="42"/>
      <c r="F401" s="43"/>
      <c r="G401" s="1"/>
      <c r="H401" s="1"/>
      <c r="I401" s="44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42"/>
      <c r="AE401" s="43"/>
      <c r="AF401" s="43"/>
      <c r="AG401" s="1"/>
    </row>
    <row r="402" spans="1:33" ht="44.25" customHeight="1" x14ac:dyDescent="0.25">
      <c r="A402" s="1"/>
      <c r="B402" s="1"/>
      <c r="C402" s="1"/>
      <c r="D402" s="1"/>
      <c r="E402" s="42"/>
      <c r="F402" s="43"/>
      <c r="G402" s="1"/>
      <c r="H402" s="1"/>
      <c r="I402" s="44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42"/>
      <c r="AE402" s="43"/>
      <c r="AF402" s="43"/>
      <c r="AG402" s="1"/>
    </row>
    <row r="403" spans="1:33" ht="44.25" customHeight="1" x14ac:dyDescent="0.25">
      <c r="A403" s="1"/>
      <c r="B403" s="1"/>
      <c r="C403" s="1"/>
      <c r="D403" s="1"/>
      <c r="E403" s="42"/>
      <c r="F403" s="43"/>
      <c r="G403" s="1"/>
      <c r="H403" s="1"/>
      <c r="I403" s="44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42"/>
      <c r="AE403" s="43"/>
      <c r="AF403" s="43"/>
      <c r="AG403" s="1"/>
    </row>
    <row r="404" spans="1:33" ht="44.25" customHeight="1" x14ac:dyDescent="0.25">
      <c r="A404" s="1"/>
      <c r="B404" s="1"/>
      <c r="C404" s="1"/>
      <c r="D404" s="1"/>
      <c r="E404" s="42"/>
      <c r="F404" s="43"/>
      <c r="G404" s="1"/>
      <c r="H404" s="1"/>
      <c r="I404" s="44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42"/>
      <c r="AE404" s="43"/>
      <c r="AF404" s="43"/>
      <c r="AG404" s="1"/>
    </row>
    <row r="405" spans="1:33" ht="44.25" customHeight="1" x14ac:dyDescent="0.25">
      <c r="A405" s="1"/>
      <c r="B405" s="1"/>
      <c r="C405" s="1"/>
      <c r="D405" s="1"/>
      <c r="E405" s="42"/>
      <c r="F405" s="43"/>
      <c r="G405" s="1"/>
      <c r="H405" s="1"/>
      <c r="I405" s="44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42"/>
      <c r="AE405" s="43"/>
      <c r="AF405" s="43"/>
      <c r="AG405" s="1"/>
    </row>
    <row r="406" spans="1:33" ht="44.25" customHeight="1" x14ac:dyDescent="0.25">
      <c r="A406" s="1"/>
      <c r="B406" s="1"/>
      <c r="C406" s="1"/>
      <c r="D406" s="1"/>
      <c r="E406" s="42"/>
      <c r="F406" s="43"/>
      <c r="G406" s="1"/>
      <c r="H406" s="1"/>
      <c r="I406" s="44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42"/>
      <c r="AE406" s="43"/>
      <c r="AF406" s="43"/>
      <c r="AG406" s="1"/>
    </row>
    <row r="407" spans="1:33" ht="44.25" customHeight="1" x14ac:dyDescent="0.25">
      <c r="A407" s="1"/>
      <c r="B407" s="1"/>
      <c r="C407" s="1"/>
      <c r="D407" s="1"/>
      <c r="E407" s="42"/>
      <c r="F407" s="43"/>
      <c r="G407" s="1"/>
      <c r="H407" s="1"/>
      <c r="I407" s="44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42"/>
      <c r="AE407" s="43"/>
      <c r="AF407" s="43"/>
      <c r="AG407" s="1"/>
    </row>
    <row r="408" spans="1:33" ht="44.25" customHeight="1" x14ac:dyDescent="0.25">
      <c r="A408" s="1"/>
      <c r="B408" s="1"/>
      <c r="C408" s="1"/>
      <c r="D408" s="1"/>
      <c r="E408" s="42"/>
      <c r="F408" s="43"/>
      <c r="G408" s="1"/>
      <c r="H408" s="1"/>
      <c r="I408" s="44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42"/>
      <c r="AE408" s="43"/>
      <c r="AF408" s="43"/>
      <c r="AG408" s="1"/>
    </row>
    <row r="409" spans="1:33" ht="44.25" customHeight="1" x14ac:dyDescent="0.25">
      <c r="A409" s="1"/>
      <c r="B409" s="1"/>
      <c r="C409" s="1"/>
      <c r="D409" s="1"/>
      <c r="E409" s="42"/>
      <c r="F409" s="43"/>
      <c r="G409" s="1"/>
      <c r="H409" s="1"/>
      <c r="I409" s="44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42"/>
      <c r="AE409" s="43"/>
      <c r="AF409" s="43"/>
      <c r="AG409" s="1"/>
    </row>
    <row r="410" spans="1:33" ht="44.25" customHeight="1" x14ac:dyDescent="0.25">
      <c r="A410" s="1"/>
      <c r="B410" s="1"/>
      <c r="C410" s="1"/>
      <c r="D410" s="1"/>
      <c r="E410" s="42"/>
      <c r="F410" s="43"/>
      <c r="G410" s="1"/>
      <c r="H410" s="1"/>
      <c r="I410" s="44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42"/>
      <c r="AE410" s="43"/>
      <c r="AF410" s="43"/>
      <c r="AG410" s="1"/>
    </row>
    <row r="411" spans="1:33" ht="44.25" customHeight="1" x14ac:dyDescent="0.25">
      <c r="A411" s="1"/>
      <c r="B411" s="1"/>
      <c r="C411" s="1"/>
      <c r="D411" s="1"/>
      <c r="E411" s="42"/>
      <c r="F411" s="43"/>
      <c r="G411" s="1"/>
      <c r="H411" s="1"/>
      <c r="I411" s="44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42"/>
      <c r="AE411" s="43"/>
      <c r="AF411" s="43"/>
      <c r="AG411" s="1"/>
    </row>
    <row r="412" spans="1:33" ht="44.25" customHeight="1" x14ac:dyDescent="0.25">
      <c r="A412" s="1"/>
      <c r="B412" s="1"/>
      <c r="C412" s="1"/>
      <c r="D412" s="1"/>
      <c r="E412" s="42"/>
      <c r="F412" s="43"/>
      <c r="G412" s="1"/>
      <c r="H412" s="1"/>
      <c r="I412" s="44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42"/>
      <c r="AE412" s="43"/>
      <c r="AF412" s="43"/>
      <c r="AG412" s="1"/>
    </row>
    <row r="413" spans="1:33" ht="44.25" customHeight="1" x14ac:dyDescent="0.25">
      <c r="A413" s="1"/>
      <c r="B413" s="1"/>
      <c r="C413" s="1"/>
      <c r="D413" s="1"/>
      <c r="E413" s="42"/>
      <c r="F413" s="43"/>
      <c r="G413" s="1"/>
      <c r="H413" s="1"/>
      <c r="I413" s="44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42"/>
      <c r="AE413" s="43"/>
      <c r="AF413" s="43"/>
      <c r="AG413" s="1"/>
    </row>
    <row r="414" spans="1:33" ht="44.25" customHeight="1" x14ac:dyDescent="0.25">
      <c r="A414" s="1"/>
      <c r="B414" s="1"/>
      <c r="C414" s="1"/>
      <c r="D414" s="1"/>
      <c r="E414" s="42"/>
      <c r="F414" s="43"/>
      <c r="G414" s="1"/>
      <c r="H414" s="1"/>
      <c r="I414" s="44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42"/>
      <c r="AE414" s="43"/>
      <c r="AF414" s="43"/>
      <c r="AG414" s="1"/>
    </row>
    <row r="415" spans="1:33" ht="44.25" customHeight="1" x14ac:dyDescent="0.25">
      <c r="A415" s="1"/>
      <c r="B415" s="1"/>
      <c r="C415" s="1"/>
      <c r="D415" s="1"/>
      <c r="E415" s="42"/>
      <c r="F415" s="43"/>
      <c r="G415" s="1"/>
      <c r="H415" s="1"/>
      <c r="I415" s="44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42"/>
      <c r="AE415" s="43"/>
      <c r="AF415" s="43"/>
      <c r="AG415" s="1"/>
    </row>
    <row r="416" spans="1:33" ht="44.25" customHeight="1" x14ac:dyDescent="0.25">
      <c r="A416" s="1"/>
      <c r="B416" s="1"/>
      <c r="C416" s="1"/>
      <c r="D416" s="1"/>
      <c r="E416" s="42"/>
      <c r="F416" s="43"/>
      <c r="G416" s="1"/>
      <c r="H416" s="1"/>
      <c r="I416" s="44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42"/>
      <c r="AE416" s="43"/>
      <c r="AF416" s="43"/>
      <c r="AG416" s="1"/>
    </row>
    <row r="417" spans="1:33" ht="44.25" customHeight="1" x14ac:dyDescent="0.25">
      <c r="A417" s="1"/>
      <c r="B417" s="1"/>
      <c r="C417" s="1"/>
      <c r="D417" s="1"/>
      <c r="E417" s="42"/>
      <c r="F417" s="43"/>
      <c r="G417" s="1"/>
      <c r="H417" s="1"/>
      <c r="I417" s="44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42"/>
      <c r="AE417" s="43"/>
      <c r="AF417" s="43"/>
      <c r="AG417" s="1"/>
    </row>
    <row r="418" spans="1:33" ht="44.25" customHeight="1" x14ac:dyDescent="0.25">
      <c r="A418" s="1"/>
      <c r="B418" s="1"/>
      <c r="C418" s="1"/>
      <c r="D418" s="1"/>
      <c r="E418" s="42"/>
      <c r="F418" s="43"/>
      <c r="G418" s="1"/>
      <c r="H418" s="1"/>
      <c r="I418" s="44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42"/>
      <c r="AE418" s="43"/>
      <c r="AF418" s="43"/>
      <c r="AG418" s="1"/>
    </row>
    <row r="419" spans="1:33" ht="44.25" customHeight="1" x14ac:dyDescent="0.25">
      <c r="A419" s="1"/>
      <c r="B419" s="1"/>
      <c r="C419" s="1"/>
      <c r="D419" s="1"/>
      <c r="E419" s="42"/>
      <c r="F419" s="43"/>
      <c r="G419" s="1"/>
      <c r="H419" s="1"/>
      <c r="I419" s="44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42"/>
      <c r="AE419" s="43"/>
      <c r="AF419" s="43"/>
      <c r="AG419" s="1"/>
    </row>
    <row r="420" spans="1:33" ht="44.25" customHeight="1" x14ac:dyDescent="0.25">
      <c r="A420" s="1"/>
      <c r="B420" s="1"/>
      <c r="C420" s="1"/>
      <c r="D420" s="1"/>
      <c r="E420" s="42"/>
      <c r="F420" s="43"/>
      <c r="G420" s="1"/>
      <c r="H420" s="1"/>
      <c r="I420" s="44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42"/>
      <c r="AE420" s="43"/>
      <c r="AF420" s="43"/>
      <c r="AG420" s="1"/>
    </row>
    <row r="421" spans="1:33" ht="44.25" customHeight="1" x14ac:dyDescent="0.25">
      <c r="A421" s="1"/>
      <c r="B421" s="1"/>
      <c r="C421" s="1"/>
      <c r="D421" s="1"/>
      <c r="E421" s="42"/>
      <c r="F421" s="43"/>
      <c r="G421" s="1"/>
      <c r="H421" s="1"/>
      <c r="I421" s="44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42"/>
      <c r="AE421" s="43"/>
      <c r="AF421" s="43"/>
      <c r="AG421" s="1"/>
    </row>
    <row r="422" spans="1:33" ht="44.25" customHeight="1" x14ac:dyDescent="0.25">
      <c r="A422" s="1"/>
      <c r="B422" s="1"/>
      <c r="C422" s="1"/>
      <c r="D422" s="1"/>
      <c r="E422" s="42"/>
      <c r="F422" s="43"/>
      <c r="G422" s="1"/>
      <c r="H422" s="1"/>
      <c r="I422" s="44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42"/>
      <c r="AE422" s="43"/>
      <c r="AF422" s="43"/>
      <c r="AG422" s="1"/>
    </row>
    <row r="423" spans="1:33" ht="44.25" customHeight="1" x14ac:dyDescent="0.25">
      <c r="A423" s="1"/>
      <c r="B423" s="1"/>
      <c r="C423" s="1"/>
      <c r="D423" s="1"/>
      <c r="E423" s="42"/>
      <c r="F423" s="43"/>
      <c r="G423" s="1"/>
      <c r="H423" s="1"/>
      <c r="I423" s="44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42"/>
      <c r="AE423" s="43"/>
      <c r="AF423" s="43"/>
      <c r="AG423" s="1"/>
    </row>
    <row r="424" spans="1:33" ht="44.25" customHeight="1" x14ac:dyDescent="0.25">
      <c r="A424" s="1"/>
      <c r="B424" s="1"/>
      <c r="C424" s="1"/>
      <c r="D424" s="1"/>
      <c r="E424" s="42"/>
      <c r="F424" s="43"/>
      <c r="G424" s="1"/>
      <c r="H424" s="1"/>
      <c r="I424" s="44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42"/>
      <c r="AE424" s="43"/>
      <c r="AF424" s="43"/>
      <c r="AG424" s="1"/>
    </row>
    <row r="425" spans="1:33" ht="44.25" customHeight="1" x14ac:dyDescent="0.25">
      <c r="A425" s="1"/>
      <c r="B425" s="1"/>
      <c r="C425" s="1"/>
      <c r="D425" s="1"/>
      <c r="E425" s="42"/>
      <c r="F425" s="43"/>
      <c r="G425" s="1"/>
      <c r="H425" s="1"/>
      <c r="I425" s="44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42"/>
      <c r="AE425" s="43"/>
      <c r="AF425" s="43"/>
      <c r="AG425" s="1"/>
    </row>
    <row r="426" spans="1:33" ht="44.25" customHeight="1" x14ac:dyDescent="0.25">
      <c r="A426" s="1"/>
      <c r="B426" s="1"/>
      <c r="C426" s="1"/>
      <c r="D426" s="1"/>
      <c r="E426" s="42"/>
      <c r="F426" s="43"/>
      <c r="G426" s="1"/>
      <c r="H426" s="1"/>
      <c r="I426" s="44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42"/>
      <c r="AE426" s="43"/>
      <c r="AF426" s="43"/>
      <c r="AG426" s="1"/>
    </row>
    <row r="427" spans="1:33" ht="44.25" customHeight="1" x14ac:dyDescent="0.25">
      <c r="A427" s="1"/>
      <c r="B427" s="1"/>
      <c r="C427" s="1"/>
      <c r="D427" s="1"/>
      <c r="E427" s="42"/>
      <c r="F427" s="43"/>
      <c r="G427" s="1"/>
      <c r="H427" s="1"/>
      <c r="I427" s="44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42"/>
      <c r="AE427" s="43"/>
      <c r="AF427" s="43"/>
      <c r="AG427" s="1"/>
    </row>
    <row r="428" spans="1:33" ht="44.25" customHeight="1" x14ac:dyDescent="0.25">
      <c r="A428" s="1"/>
      <c r="B428" s="1"/>
      <c r="C428" s="1"/>
      <c r="D428" s="1"/>
      <c r="E428" s="42"/>
      <c r="F428" s="43"/>
      <c r="G428" s="1"/>
      <c r="H428" s="1"/>
      <c r="I428" s="44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42"/>
      <c r="AE428" s="43"/>
      <c r="AF428" s="43"/>
      <c r="AG428" s="1"/>
    </row>
    <row r="429" spans="1:33" ht="44.25" customHeight="1" x14ac:dyDescent="0.25">
      <c r="A429" s="1"/>
      <c r="B429" s="1"/>
      <c r="C429" s="1"/>
      <c r="D429" s="1"/>
      <c r="E429" s="42"/>
      <c r="F429" s="43"/>
      <c r="G429" s="1"/>
      <c r="H429" s="1"/>
      <c r="I429" s="44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42"/>
      <c r="AE429" s="43"/>
      <c r="AF429" s="43"/>
      <c r="AG429" s="1"/>
    </row>
    <row r="430" spans="1:33" ht="44.25" customHeight="1" x14ac:dyDescent="0.25">
      <c r="A430" s="1"/>
      <c r="B430" s="1"/>
      <c r="C430" s="1"/>
      <c r="D430" s="1"/>
      <c r="E430" s="42"/>
      <c r="F430" s="43"/>
      <c r="G430" s="1"/>
      <c r="H430" s="1"/>
      <c r="I430" s="44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42"/>
      <c r="AE430" s="43"/>
      <c r="AF430" s="43"/>
      <c r="AG430" s="1"/>
    </row>
    <row r="431" spans="1:33" ht="44.25" customHeight="1" x14ac:dyDescent="0.25">
      <c r="A431" s="1"/>
      <c r="B431" s="1"/>
      <c r="C431" s="1"/>
      <c r="D431" s="1"/>
      <c r="E431" s="42"/>
      <c r="F431" s="43"/>
      <c r="G431" s="1"/>
      <c r="H431" s="1"/>
      <c r="I431" s="44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42"/>
      <c r="AE431" s="43"/>
      <c r="AF431" s="43"/>
      <c r="AG431" s="1"/>
    </row>
    <row r="432" spans="1:33" ht="44.25" customHeight="1" x14ac:dyDescent="0.25">
      <c r="A432" s="1"/>
      <c r="B432" s="1"/>
      <c r="C432" s="1"/>
      <c r="D432" s="1"/>
      <c r="E432" s="42"/>
      <c r="F432" s="43"/>
      <c r="G432" s="1"/>
      <c r="H432" s="1"/>
      <c r="I432" s="44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42"/>
      <c r="AE432" s="43"/>
      <c r="AF432" s="43"/>
      <c r="AG432" s="1"/>
    </row>
    <row r="433" spans="1:33" ht="44.25" customHeight="1" x14ac:dyDescent="0.25">
      <c r="A433" s="1"/>
      <c r="B433" s="1"/>
      <c r="C433" s="1"/>
      <c r="D433" s="1"/>
      <c r="E433" s="42"/>
      <c r="F433" s="43"/>
      <c r="G433" s="1"/>
      <c r="H433" s="1"/>
      <c r="I433" s="44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42"/>
      <c r="AE433" s="43"/>
      <c r="AF433" s="43"/>
      <c r="AG433" s="1"/>
    </row>
    <row r="434" spans="1:33" ht="44.25" customHeight="1" x14ac:dyDescent="0.25">
      <c r="A434" s="1"/>
      <c r="B434" s="1"/>
      <c r="C434" s="1"/>
      <c r="D434" s="1"/>
      <c r="E434" s="42"/>
      <c r="F434" s="43"/>
      <c r="G434" s="1"/>
      <c r="H434" s="1"/>
      <c r="I434" s="44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42"/>
      <c r="AE434" s="43"/>
      <c r="AF434" s="43"/>
      <c r="AG434" s="1"/>
    </row>
    <row r="435" spans="1:33" ht="44.25" customHeight="1" x14ac:dyDescent="0.25">
      <c r="A435" s="1"/>
      <c r="B435" s="1"/>
      <c r="C435" s="1"/>
      <c r="D435" s="1"/>
      <c r="E435" s="42"/>
      <c r="F435" s="43"/>
      <c r="G435" s="1"/>
      <c r="H435" s="1"/>
      <c r="I435" s="44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42"/>
      <c r="AE435" s="43"/>
      <c r="AF435" s="43"/>
      <c r="AG435" s="1"/>
    </row>
    <row r="436" spans="1:33" ht="44.25" customHeight="1" x14ac:dyDescent="0.25">
      <c r="A436" s="1"/>
      <c r="B436" s="1"/>
      <c r="C436" s="1"/>
      <c r="D436" s="1"/>
      <c r="E436" s="42"/>
      <c r="F436" s="43"/>
      <c r="G436" s="1"/>
      <c r="H436" s="1"/>
      <c r="I436" s="44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42"/>
      <c r="AE436" s="43"/>
      <c r="AF436" s="43"/>
      <c r="AG436" s="1"/>
    </row>
    <row r="437" spans="1:33" ht="44.25" customHeight="1" x14ac:dyDescent="0.25">
      <c r="A437" s="1"/>
      <c r="B437" s="1"/>
      <c r="C437" s="1"/>
      <c r="D437" s="1"/>
      <c r="E437" s="42"/>
      <c r="F437" s="43"/>
      <c r="G437" s="1"/>
      <c r="H437" s="1"/>
      <c r="I437" s="44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42"/>
      <c r="AE437" s="43"/>
      <c r="AF437" s="43"/>
      <c r="AG437" s="1"/>
    </row>
    <row r="438" spans="1:33" ht="44.25" customHeight="1" x14ac:dyDescent="0.25">
      <c r="A438" s="1"/>
      <c r="B438" s="1"/>
      <c r="C438" s="1"/>
      <c r="D438" s="1"/>
      <c r="E438" s="42"/>
      <c r="F438" s="43"/>
      <c r="G438" s="1"/>
      <c r="H438" s="1"/>
      <c r="I438" s="44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42"/>
      <c r="AE438" s="43"/>
      <c r="AF438" s="43"/>
      <c r="AG438" s="1"/>
    </row>
    <row r="439" spans="1:33" ht="44.25" customHeight="1" x14ac:dyDescent="0.25">
      <c r="A439" s="1"/>
      <c r="B439" s="1"/>
      <c r="C439" s="1"/>
      <c r="D439" s="1"/>
      <c r="E439" s="42"/>
      <c r="F439" s="43"/>
      <c r="G439" s="1"/>
      <c r="H439" s="1"/>
      <c r="I439" s="44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42"/>
      <c r="AE439" s="43"/>
      <c r="AF439" s="43"/>
      <c r="AG439" s="1"/>
    </row>
    <row r="440" spans="1:33" ht="44.25" customHeight="1" x14ac:dyDescent="0.25">
      <c r="A440" s="1"/>
      <c r="B440" s="1"/>
      <c r="C440" s="1"/>
      <c r="D440" s="1"/>
      <c r="E440" s="42"/>
      <c r="F440" s="43"/>
      <c r="G440" s="1"/>
      <c r="H440" s="1"/>
      <c r="I440" s="44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42"/>
      <c r="AE440" s="43"/>
      <c r="AF440" s="43"/>
      <c r="AG440" s="1"/>
    </row>
    <row r="441" spans="1:33" ht="44.25" customHeight="1" x14ac:dyDescent="0.25">
      <c r="A441" s="1"/>
      <c r="B441" s="1"/>
      <c r="C441" s="1"/>
      <c r="D441" s="1"/>
      <c r="E441" s="42"/>
      <c r="F441" s="43"/>
      <c r="G441" s="1"/>
      <c r="H441" s="1"/>
      <c r="I441" s="44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42"/>
      <c r="AE441" s="43"/>
      <c r="AF441" s="43"/>
      <c r="AG441" s="1"/>
    </row>
    <row r="442" spans="1:33" ht="44.25" customHeight="1" x14ac:dyDescent="0.25">
      <c r="A442" s="1"/>
      <c r="B442" s="1"/>
      <c r="C442" s="1"/>
      <c r="D442" s="1"/>
      <c r="E442" s="42"/>
      <c r="F442" s="43"/>
      <c r="G442" s="1"/>
      <c r="H442" s="1"/>
      <c r="I442" s="44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42"/>
      <c r="AE442" s="43"/>
      <c r="AF442" s="43"/>
      <c r="AG442" s="1"/>
    </row>
    <row r="443" spans="1:33" ht="44.25" customHeight="1" x14ac:dyDescent="0.25">
      <c r="A443" s="1"/>
      <c r="B443" s="1"/>
      <c r="C443" s="1"/>
      <c r="D443" s="1"/>
      <c r="E443" s="42"/>
      <c r="F443" s="43"/>
      <c r="G443" s="1"/>
      <c r="H443" s="1"/>
      <c r="I443" s="44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42"/>
      <c r="AE443" s="43"/>
      <c r="AF443" s="43"/>
      <c r="AG443" s="1"/>
    </row>
    <row r="444" spans="1:33" ht="44.25" customHeight="1" x14ac:dyDescent="0.25">
      <c r="A444" s="1"/>
      <c r="B444" s="1"/>
      <c r="C444" s="1"/>
      <c r="D444" s="1"/>
      <c r="E444" s="42"/>
      <c r="F444" s="43"/>
      <c r="G444" s="1"/>
      <c r="H444" s="1"/>
      <c r="I444" s="44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42"/>
      <c r="AE444" s="43"/>
      <c r="AF444" s="43"/>
      <c r="AG444" s="1"/>
    </row>
    <row r="445" spans="1:33" ht="44.25" customHeight="1" x14ac:dyDescent="0.25">
      <c r="A445" s="1"/>
      <c r="B445" s="1"/>
      <c r="C445" s="1"/>
      <c r="D445" s="1"/>
      <c r="E445" s="42"/>
      <c r="F445" s="43"/>
      <c r="G445" s="1"/>
      <c r="H445" s="1"/>
      <c r="I445" s="44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42"/>
      <c r="AE445" s="43"/>
      <c r="AF445" s="43"/>
      <c r="AG445" s="1"/>
    </row>
    <row r="446" spans="1:33" ht="44.25" customHeight="1" x14ac:dyDescent="0.25">
      <c r="A446" s="1"/>
      <c r="B446" s="1"/>
      <c r="C446" s="1"/>
      <c r="D446" s="1"/>
      <c r="E446" s="42"/>
      <c r="F446" s="43"/>
      <c r="G446" s="1"/>
      <c r="H446" s="1"/>
      <c r="I446" s="44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42"/>
      <c r="AE446" s="43"/>
      <c r="AF446" s="43"/>
      <c r="AG446" s="1"/>
    </row>
    <row r="447" spans="1:33" ht="44.25" customHeight="1" x14ac:dyDescent="0.25">
      <c r="A447" s="1"/>
      <c r="B447" s="1"/>
      <c r="C447" s="1"/>
      <c r="D447" s="1"/>
      <c r="E447" s="42"/>
      <c r="F447" s="43"/>
      <c r="G447" s="1"/>
      <c r="H447" s="1"/>
      <c r="I447" s="44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42"/>
      <c r="AE447" s="43"/>
      <c r="AF447" s="43"/>
      <c r="AG447" s="1"/>
    </row>
    <row r="448" spans="1:33" ht="44.25" customHeight="1" x14ac:dyDescent="0.25">
      <c r="A448" s="1"/>
      <c r="B448" s="1"/>
      <c r="C448" s="1"/>
      <c r="D448" s="1"/>
      <c r="E448" s="42"/>
      <c r="F448" s="43"/>
      <c r="G448" s="1"/>
      <c r="H448" s="1"/>
      <c r="I448" s="44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42"/>
      <c r="AE448" s="43"/>
      <c r="AF448" s="43"/>
      <c r="AG448" s="1"/>
    </row>
    <row r="449" spans="1:33" ht="44.25" customHeight="1" x14ac:dyDescent="0.25">
      <c r="A449" s="1"/>
      <c r="B449" s="1"/>
      <c r="C449" s="1"/>
      <c r="D449" s="1"/>
      <c r="E449" s="42"/>
      <c r="F449" s="43"/>
      <c r="G449" s="1"/>
      <c r="H449" s="1"/>
      <c r="I449" s="44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42"/>
      <c r="AE449" s="43"/>
      <c r="AF449" s="43"/>
      <c r="AG449" s="1"/>
    </row>
    <row r="450" spans="1:33" ht="44.25" customHeight="1" x14ac:dyDescent="0.25">
      <c r="A450" s="1"/>
      <c r="B450" s="1"/>
      <c r="C450" s="1"/>
      <c r="D450" s="1"/>
      <c r="E450" s="42"/>
      <c r="F450" s="43"/>
      <c r="G450" s="1"/>
      <c r="H450" s="1"/>
      <c r="I450" s="44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42"/>
      <c r="AE450" s="43"/>
      <c r="AF450" s="43"/>
      <c r="AG450" s="1"/>
    </row>
    <row r="451" spans="1:33" ht="44.25" customHeight="1" x14ac:dyDescent="0.25">
      <c r="A451" s="1"/>
      <c r="B451" s="1"/>
      <c r="C451" s="1"/>
      <c r="D451" s="1"/>
      <c r="E451" s="42"/>
      <c r="F451" s="43"/>
      <c r="G451" s="1"/>
      <c r="H451" s="1"/>
      <c r="I451" s="44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42"/>
      <c r="AE451" s="43"/>
      <c r="AF451" s="43"/>
      <c r="AG451" s="1"/>
    </row>
    <row r="452" spans="1:33" ht="44.25" customHeight="1" x14ac:dyDescent="0.25">
      <c r="A452" s="1"/>
      <c r="B452" s="1"/>
      <c r="C452" s="1"/>
      <c r="D452" s="1"/>
      <c r="E452" s="42"/>
      <c r="F452" s="43"/>
      <c r="G452" s="1"/>
      <c r="H452" s="1"/>
      <c r="I452" s="44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42"/>
      <c r="AE452" s="43"/>
      <c r="AF452" s="43"/>
      <c r="AG452" s="1"/>
    </row>
    <row r="453" spans="1:33" ht="44.25" customHeight="1" x14ac:dyDescent="0.25">
      <c r="A453" s="1"/>
      <c r="B453" s="1"/>
      <c r="C453" s="1"/>
      <c r="D453" s="1"/>
      <c r="E453" s="42"/>
      <c r="F453" s="43"/>
      <c r="G453" s="1"/>
      <c r="H453" s="1"/>
      <c r="I453" s="44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42"/>
      <c r="AE453" s="43"/>
      <c r="AF453" s="43"/>
      <c r="AG453" s="1"/>
    </row>
    <row r="454" spans="1:33" ht="44.25" customHeight="1" x14ac:dyDescent="0.25">
      <c r="A454" s="1"/>
      <c r="B454" s="1"/>
      <c r="C454" s="1"/>
      <c r="D454" s="1"/>
      <c r="E454" s="42"/>
      <c r="F454" s="43"/>
      <c r="G454" s="1"/>
      <c r="H454" s="1"/>
      <c r="I454" s="44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42"/>
      <c r="AE454" s="43"/>
      <c r="AF454" s="43"/>
      <c r="AG454" s="1"/>
    </row>
    <row r="455" spans="1:33" ht="44.25" customHeight="1" x14ac:dyDescent="0.25">
      <c r="A455" s="1"/>
      <c r="B455" s="1"/>
      <c r="C455" s="1"/>
      <c r="D455" s="1"/>
      <c r="E455" s="42"/>
      <c r="F455" s="43"/>
      <c r="G455" s="1"/>
      <c r="H455" s="1"/>
      <c r="I455" s="44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42"/>
      <c r="AE455" s="43"/>
      <c r="AF455" s="43"/>
      <c r="AG455" s="1"/>
    </row>
    <row r="456" spans="1:33" ht="44.25" customHeight="1" x14ac:dyDescent="0.25">
      <c r="A456" s="1"/>
      <c r="B456" s="1"/>
      <c r="C456" s="1"/>
      <c r="D456" s="1"/>
      <c r="E456" s="42"/>
      <c r="F456" s="43"/>
      <c r="G456" s="1"/>
      <c r="H456" s="1"/>
      <c r="I456" s="44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42"/>
      <c r="AE456" s="43"/>
      <c r="AF456" s="43"/>
      <c r="AG456" s="1"/>
    </row>
    <row r="457" spans="1:33" ht="44.25" customHeight="1" x14ac:dyDescent="0.25">
      <c r="A457" s="1"/>
      <c r="B457" s="1"/>
      <c r="C457" s="1"/>
      <c r="D457" s="1"/>
      <c r="E457" s="42"/>
      <c r="F457" s="43"/>
      <c r="G457" s="1"/>
      <c r="H457" s="1"/>
      <c r="I457" s="44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42"/>
      <c r="AE457" s="43"/>
      <c r="AF457" s="43"/>
      <c r="AG457" s="1"/>
    </row>
    <row r="458" spans="1:33" ht="44.25" customHeight="1" x14ac:dyDescent="0.25">
      <c r="A458" s="1"/>
      <c r="B458" s="1"/>
      <c r="C458" s="1"/>
      <c r="D458" s="1"/>
      <c r="E458" s="42"/>
      <c r="F458" s="43"/>
      <c r="G458" s="1"/>
      <c r="H458" s="1"/>
      <c r="I458" s="44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42"/>
      <c r="AE458" s="43"/>
      <c r="AF458" s="43"/>
      <c r="AG458" s="1"/>
    </row>
    <row r="459" spans="1:33" ht="44.25" customHeight="1" x14ac:dyDescent="0.25">
      <c r="A459" s="1"/>
      <c r="B459" s="1"/>
      <c r="C459" s="1"/>
      <c r="D459" s="1"/>
      <c r="E459" s="42"/>
      <c r="F459" s="43"/>
      <c r="G459" s="1"/>
      <c r="H459" s="1"/>
      <c r="I459" s="44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42"/>
      <c r="AE459" s="43"/>
      <c r="AF459" s="43"/>
      <c r="AG459" s="1"/>
    </row>
    <row r="460" spans="1:33" ht="44.25" customHeight="1" x14ac:dyDescent="0.25">
      <c r="A460" s="1"/>
      <c r="B460" s="1"/>
      <c r="C460" s="1"/>
      <c r="D460" s="1"/>
      <c r="E460" s="42"/>
      <c r="F460" s="43"/>
      <c r="G460" s="1"/>
      <c r="H460" s="1"/>
      <c r="I460" s="44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42"/>
      <c r="AE460" s="43"/>
      <c r="AF460" s="43"/>
      <c r="AG460" s="1"/>
    </row>
    <row r="461" spans="1:33" ht="44.25" customHeight="1" x14ac:dyDescent="0.25">
      <c r="A461" s="1"/>
      <c r="B461" s="1"/>
      <c r="C461" s="1"/>
      <c r="D461" s="1"/>
      <c r="E461" s="42"/>
      <c r="F461" s="43"/>
      <c r="G461" s="1"/>
      <c r="H461" s="1"/>
      <c r="I461" s="44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42"/>
      <c r="AE461" s="43"/>
      <c r="AF461" s="43"/>
      <c r="AG461" s="1"/>
    </row>
    <row r="462" spans="1:33" ht="44.25" customHeight="1" x14ac:dyDescent="0.25">
      <c r="A462" s="1"/>
      <c r="B462" s="1"/>
      <c r="C462" s="1"/>
      <c r="D462" s="1"/>
      <c r="E462" s="42"/>
      <c r="F462" s="43"/>
      <c r="G462" s="1"/>
      <c r="H462" s="1"/>
      <c r="I462" s="44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42"/>
      <c r="AE462" s="43"/>
      <c r="AF462" s="43"/>
      <c r="AG462" s="1"/>
    </row>
    <row r="463" spans="1:33" ht="44.25" customHeight="1" x14ac:dyDescent="0.25">
      <c r="A463" s="1"/>
      <c r="B463" s="1"/>
      <c r="C463" s="1"/>
      <c r="D463" s="1"/>
      <c r="E463" s="42"/>
      <c r="F463" s="43"/>
      <c r="G463" s="1"/>
      <c r="H463" s="1"/>
      <c r="I463" s="44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42"/>
      <c r="AE463" s="43"/>
      <c r="AF463" s="43"/>
      <c r="AG463" s="1"/>
    </row>
    <row r="464" spans="1:33" ht="44.25" customHeight="1" x14ac:dyDescent="0.25">
      <c r="A464" s="1"/>
      <c r="B464" s="1"/>
      <c r="C464" s="1"/>
      <c r="D464" s="1"/>
      <c r="E464" s="42"/>
      <c r="F464" s="43"/>
      <c r="G464" s="1"/>
      <c r="H464" s="1"/>
      <c r="I464" s="44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42"/>
      <c r="AE464" s="43"/>
      <c r="AF464" s="43"/>
      <c r="AG464" s="1"/>
    </row>
    <row r="465" spans="1:33" ht="44.25" customHeight="1" x14ac:dyDescent="0.25">
      <c r="A465" s="1"/>
      <c r="B465" s="1"/>
      <c r="C465" s="1"/>
      <c r="D465" s="1"/>
      <c r="E465" s="42"/>
      <c r="F465" s="43"/>
      <c r="G465" s="1"/>
      <c r="H465" s="1"/>
      <c r="I465" s="44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42"/>
      <c r="AE465" s="43"/>
      <c r="AF465" s="43"/>
      <c r="AG465" s="1"/>
    </row>
    <row r="466" spans="1:33" ht="44.25" customHeight="1" x14ac:dyDescent="0.25">
      <c r="A466" s="1"/>
      <c r="B466" s="1"/>
      <c r="C466" s="1"/>
      <c r="D466" s="1"/>
      <c r="E466" s="42"/>
      <c r="F466" s="43"/>
      <c r="G466" s="1"/>
      <c r="H466" s="1"/>
      <c r="I466" s="44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42"/>
      <c r="AE466" s="43"/>
      <c r="AF466" s="43"/>
      <c r="AG466" s="1"/>
    </row>
    <row r="467" spans="1:33" ht="44.25" customHeight="1" x14ac:dyDescent="0.25">
      <c r="A467" s="1"/>
      <c r="B467" s="1"/>
      <c r="C467" s="1"/>
      <c r="D467" s="1"/>
      <c r="E467" s="42"/>
      <c r="F467" s="43"/>
      <c r="G467" s="1"/>
      <c r="H467" s="1"/>
      <c r="I467" s="44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42"/>
      <c r="AE467" s="43"/>
      <c r="AF467" s="43"/>
      <c r="AG467" s="1"/>
    </row>
    <row r="468" spans="1:33" ht="44.25" customHeight="1" x14ac:dyDescent="0.25">
      <c r="A468" s="1"/>
      <c r="B468" s="1"/>
      <c r="C468" s="1"/>
      <c r="D468" s="1"/>
      <c r="E468" s="42"/>
      <c r="F468" s="43"/>
      <c r="G468" s="1"/>
      <c r="H468" s="1"/>
      <c r="I468" s="44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42"/>
      <c r="AE468" s="43"/>
      <c r="AF468" s="43"/>
      <c r="AG468" s="1"/>
    </row>
    <row r="469" spans="1:33" ht="44.25" customHeight="1" x14ac:dyDescent="0.25">
      <c r="A469" s="1"/>
      <c r="B469" s="1"/>
      <c r="C469" s="1"/>
      <c r="D469" s="1"/>
      <c r="E469" s="42"/>
      <c r="F469" s="43"/>
      <c r="G469" s="1"/>
      <c r="H469" s="1"/>
      <c r="I469" s="44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42"/>
      <c r="AE469" s="43"/>
      <c r="AF469" s="43"/>
      <c r="AG469" s="1"/>
    </row>
    <row r="470" spans="1:33" ht="44.25" customHeight="1" x14ac:dyDescent="0.25">
      <c r="A470" s="1"/>
      <c r="B470" s="1"/>
      <c r="C470" s="1"/>
      <c r="D470" s="1"/>
      <c r="E470" s="42"/>
      <c r="F470" s="43"/>
      <c r="G470" s="1"/>
      <c r="H470" s="1"/>
      <c r="I470" s="44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42"/>
      <c r="AE470" s="43"/>
      <c r="AF470" s="43"/>
      <c r="AG470" s="1"/>
    </row>
    <row r="471" spans="1:33" ht="44.25" customHeight="1" x14ac:dyDescent="0.25">
      <c r="A471" s="1"/>
      <c r="B471" s="1"/>
      <c r="C471" s="1"/>
      <c r="D471" s="1"/>
      <c r="E471" s="42"/>
      <c r="F471" s="43"/>
      <c r="G471" s="1"/>
      <c r="H471" s="1"/>
      <c r="I471" s="44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42"/>
      <c r="AE471" s="43"/>
      <c r="AF471" s="43"/>
      <c r="AG471" s="1"/>
    </row>
    <row r="472" spans="1:33" ht="44.25" customHeight="1" x14ac:dyDescent="0.25">
      <c r="A472" s="1"/>
      <c r="B472" s="1"/>
      <c r="C472" s="1"/>
      <c r="D472" s="1"/>
      <c r="E472" s="42"/>
      <c r="F472" s="43"/>
      <c r="G472" s="1"/>
      <c r="H472" s="1"/>
      <c r="I472" s="44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42"/>
      <c r="AE472" s="43"/>
      <c r="AF472" s="43"/>
      <c r="AG472" s="1"/>
    </row>
    <row r="473" spans="1:33" ht="44.25" customHeight="1" x14ac:dyDescent="0.25">
      <c r="A473" s="1"/>
      <c r="B473" s="1"/>
      <c r="C473" s="1"/>
      <c r="D473" s="1"/>
      <c r="E473" s="42"/>
      <c r="F473" s="43"/>
      <c r="G473" s="1"/>
      <c r="H473" s="1"/>
      <c r="I473" s="44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42"/>
      <c r="AE473" s="43"/>
      <c r="AF473" s="43"/>
      <c r="AG473" s="1"/>
    </row>
    <row r="474" spans="1:33" ht="44.25" customHeight="1" x14ac:dyDescent="0.25">
      <c r="A474" s="1"/>
      <c r="B474" s="1"/>
      <c r="C474" s="1"/>
      <c r="D474" s="1"/>
      <c r="E474" s="42"/>
      <c r="F474" s="43"/>
      <c r="G474" s="1"/>
      <c r="H474" s="1"/>
      <c r="I474" s="44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42"/>
      <c r="AE474" s="43"/>
      <c r="AF474" s="43"/>
      <c r="AG474" s="1"/>
    </row>
    <row r="475" spans="1:33" ht="44.25" customHeight="1" x14ac:dyDescent="0.25">
      <c r="A475" s="1"/>
      <c r="B475" s="1"/>
      <c r="C475" s="1"/>
      <c r="D475" s="1"/>
      <c r="E475" s="42"/>
      <c r="F475" s="43"/>
      <c r="G475" s="1"/>
      <c r="H475" s="1"/>
      <c r="I475" s="44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42"/>
      <c r="AE475" s="43"/>
      <c r="AF475" s="43"/>
      <c r="AG475" s="1"/>
    </row>
    <row r="476" spans="1:33" ht="44.25" customHeight="1" x14ac:dyDescent="0.25">
      <c r="A476" s="1"/>
      <c r="B476" s="1"/>
      <c r="C476" s="1"/>
      <c r="D476" s="1"/>
      <c r="E476" s="42"/>
      <c r="F476" s="43"/>
      <c r="G476" s="1"/>
      <c r="H476" s="1"/>
      <c r="I476" s="44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42"/>
      <c r="AE476" s="43"/>
      <c r="AF476" s="43"/>
      <c r="AG476" s="1"/>
    </row>
    <row r="477" spans="1:33" ht="44.25" customHeight="1" x14ac:dyDescent="0.25">
      <c r="A477" s="1"/>
      <c r="B477" s="1"/>
      <c r="C477" s="1"/>
      <c r="D477" s="1"/>
      <c r="E477" s="42"/>
      <c r="F477" s="43"/>
      <c r="G477" s="1"/>
      <c r="H477" s="1"/>
      <c r="I477" s="44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42"/>
      <c r="AE477" s="43"/>
      <c r="AF477" s="43"/>
      <c r="AG477" s="1"/>
    </row>
    <row r="478" spans="1:33" ht="44.25" customHeight="1" x14ac:dyDescent="0.25">
      <c r="A478" s="1"/>
      <c r="B478" s="1"/>
      <c r="C478" s="1"/>
      <c r="D478" s="1"/>
      <c r="E478" s="42"/>
      <c r="F478" s="43"/>
      <c r="G478" s="1"/>
      <c r="H478" s="1"/>
      <c r="I478" s="44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42"/>
      <c r="AE478" s="43"/>
      <c r="AF478" s="43"/>
      <c r="AG478" s="1"/>
    </row>
    <row r="479" spans="1:33" ht="44.25" customHeight="1" x14ac:dyDescent="0.25">
      <c r="A479" s="1"/>
      <c r="B479" s="1"/>
      <c r="C479" s="1"/>
      <c r="D479" s="1"/>
      <c r="E479" s="42"/>
      <c r="F479" s="43"/>
      <c r="G479" s="1"/>
      <c r="H479" s="1"/>
      <c r="I479" s="44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42"/>
      <c r="AE479" s="43"/>
      <c r="AF479" s="43"/>
      <c r="AG479" s="1"/>
    </row>
    <row r="480" spans="1:33" ht="44.25" customHeight="1" x14ac:dyDescent="0.25">
      <c r="A480" s="1"/>
      <c r="B480" s="1"/>
      <c r="C480" s="1"/>
      <c r="D480" s="1"/>
      <c r="E480" s="42"/>
      <c r="F480" s="43"/>
      <c r="G480" s="1"/>
      <c r="H480" s="1"/>
      <c r="I480" s="44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42"/>
      <c r="AE480" s="43"/>
      <c r="AF480" s="43"/>
      <c r="AG480" s="1"/>
    </row>
    <row r="481" spans="1:33" ht="44.25" customHeight="1" x14ac:dyDescent="0.25">
      <c r="A481" s="1"/>
      <c r="B481" s="1"/>
      <c r="C481" s="1"/>
      <c r="D481" s="1"/>
      <c r="E481" s="42"/>
      <c r="F481" s="43"/>
      <c r="G481" s="1"/>
      <c r="H481" s="1"/>
      <c r="I481" s="44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42"/>
      <c r="AE481" s="43"/>
      <c r="AF481" s="43"/>
      <c r="AG481" s="1"/>
    </row>
    <row r="482" spans="1:33" ht="44.25" customHeight="1" x14ac:dyDescent="0.25">
      <c r="A482" s="1"/>
      <c r="B482" s="1"/>
      <c r="C482" s="1"/>
      <c r="D482" s="1"/>
      <c r="E482" s="42"/>
      <c r="F482" s="43"/>
      <c r="G482" s="1"/>
      <c r="H482" s="1"/>
      <c r="I482" s="44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42"/>
      <c r="AE482" s="43"/>
      <c r="AF482" s="43"/>
      <c r="AG482" s="1"/>
    </row>
    <row r="483" spans="1:33" ht="44.25" customHeight="1" x14ac:dyDescent="0.25">
      <c r="A483" s="1"/>
      <c r="B483" s="1"/>
      <c r="C483" s="1"/>
      <c r="D483" s="1"/>
      <c r="E483" s="42"/>
      <c r="F483" s="43"/>
      <c r="G483" s="1"/>
      <c r="H483" s="1"/>
      <c r="I483" s="44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42"/>
      <c r="AE483" s="43"/>
      <c r="AF483" s="43"/>
      <c r="AG483" s="1"/>
    </row>
    <row r="484" spans="1:33" ht="44.25" customHeight="1" x14ac:dyDescent="0.25">
      <c r="A484" s="1"/>
      <c r="B484" s="1"/>
      <c r="C484" s="1"/>
      <c r="D484" s="1"/>
      <c r="E484" s="42"/>
      <c r="F484" s="43"/>
      <c r="G484" s="1"/>
      <c r="H484" s="1"/>
      <c r="I484" s="44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42"/>
      <c r="AE484" s="43"/>
      <c r="AF484" s="43"/>
      <c r="AG484" s="1"/>
    </row>
    <row r="485" spans="1:33" ht="44.25" customHeight="1" x14ac:dyDescent="0.25">
      <c r="A485" s="1"/>
      <c r="B485" s="1"/>
      <c r="C485" s="1"/>
      <c r="D485" s="1"/>
      <c r="E485" s="42"/>
      <c r="F485" s="43"/>
      <c r="G485" s="1"/>
      <c r="H485" s="1"/>
      <c r="I485" s="44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42"/>
      <c r="AE485" s="43"/>
      <c r="AF485" s="43"/>
      <c r="AG485" s="1"/>
    </row>
    <row r="486" spans="1:33" ht="44.25" customHeight="1" x14ac:dyDescent="0.25">
      <c r="A486" s="1"/>
      <c r="B486" s="1"/>
      <c r="C486" s="1"/>
      <c r="D486" s="1"/>
      <c r="E486" s="42"/>
      <c r="F486" s="43"/>
      <c r="G486" s="1"/>
      <c r="H486" s="1"/>
      <c r="I486" s="44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42"/>
      <c r="AE486" s="43"/>
      <c r="AF486" s="43"/>
      <c r="AG486" s="1"/>
    </row>
    <row r="487" spans="1:33" ht="44.25" customHeight="1" x14ac:dyDescent="0.25">
      <c r="A487" s="1"/>
      <c r="B487" s="1"/>
      <c r="C487" s="1"/>
      <c r="D487" s="1"/>
      <c r="E487" s="42"/>
      <c r="F487" s="43"/>
      <c r="G487" s="1"/>
      <c r="H487" s="1"/>
      <c r="I487" s="44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42"/>
      <c r="AE487" s="43"/>
      <c r="AF487" s="43"/>
      <c r="AG487" s="1"/>
    </row>
    <row r="488" spans="1:33" ht="44.25" customHeight="1" x14ac:dyDescent="0.25">
      <c r="A488" s="1"/>
      <c r="B488" s="1"/>
      <c r="C488" s="1"/>
      <c r="D488" s="1"/>
      <c r="E488" s="42"/>
      <c r="F488" s="43"/>
      <c r="G488" s="1"/>
      <c r="H488" s="1"/>
      <c r="I488" s="44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42"/>
      <c r="AE488" s="43"/>
      <c r="AF488" s="43"/>
      <c r="AG488" s="1"/>
    </row>
    <row r="489" spans="1:33" ht="44.25" customHeight="1" x14ac:dyDescent="0.25">
      <c r="A489" s="1"/>
      <c r="B489" s="1"/>
      <c r="C489" s="1"/>
      <c r="D489" s="1"/>
      <c r="E489" s="42"/>
      <c r="F489" s="43"/>
      <c r="G489" s="1"/>
      <c r="H489" s="1"/>
      <c r="I489" s="44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42"/>
      <c r="AE489" s="43"/>
      <c r="AF489" s="43"/>
      <c r="AG489" s="1"/>
    </row>
    <row r="490" spans="1:33" ht="44.25" customHeight="1" x14ac:dyDescent="0.25">
      <c r="A490" s="1"/>
      <c r="B490" s="1"/>
      <c r="C490" s="1"/>
      <c r="D490" s="1"/>
      <c r="E490" s="42"/>
      <c r="F490" s="43"/>
      <c r="G490" s="1"/>
      <c r="H490" s="1"/>
      <c r="I490" s="44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42"/>
      <c r="AE490" s="43"/>
      <c r="AF490" s="43"/>
      <c r="AG490" s="1"/>
    </row>
    <row r="491" spans="1:33" ht="44.25" customHeight="1" x14ac:dyDescent="0.25">
      <c r="A491" s="1"/>
      <c r="B491" s="1"/>
      <c r="C491" s="1"/>
      <c r="D491" s="1"/>
      <c r="E491" s="42"/>
      <c r="F491" s="43"/>
      <c r="G491" s="1"/>
      <c r="H491" s="1"/>
      <c r="I491" s="44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42"/>
      <c r="AE491" s="43"/>
      <c r="AF491" s="43"/>
      <c r="AG491" s="1"/>
    </row>
    <row r="492" spans="1:33" ht="44.25" customHeight="1" x14ac:dyDescent="0.25">
      <c r="A492" s="1"/>
      <c r="B492" s="1"/>
      <c r="C492" s="1"/>
      <c r="D492" s="1"/>
      <c r="E492" s="42"/>
      <c r="F492" s="43"/>
      <c r="G492" s="1"/>
      <c r="H492" s="1"/>
      <c r="I492" s="44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42"/>
      <c r="AE492" s="43"/>
      <c r="AF492" s="43"/>
      <c r="AG492" s="1"/>
    </row>
    <row r="493" spans="1:33" ht="44.25" customHeight="1" x14ac:dyDescent="0.25">
      <c r="A493" s="1"/>
      <c r="B493" s="1"/>
      <c r="C493" s="1"/>
      <c r="D493" s="1"/>
      <c r="E493" s="42"/>
      <c r="F493" s="43"/>
      <c r="G493" s="1"/>
      <c r="H493" s="1"/>
      <c r="I493" s="44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42"/>
      <c r="AE493" s="43"/>
      <c r="AF493" s="43"/>
      <c r="AG493" s="1"/>
    </row>
    <row r="494" spans="1:33" ht="44.25" customHeight="1" x14ac:dyDescent="0.25">
      <c r="A494" s="1"/>
      <c r="B494" s="1"/>
      <c r="C494" s="1"/>
      <c r="D494" s="1"/>
      <c r="E494" s="42"/>
      <c r="F494" s="43"/>
      <c r="G494" s="1"/>
      <c r="H494" s="1"/>
      <c r="I494" s="44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42"/>
      <c r="AE494" s="43"/>
      <c r="AF494" s="43"/>
      <c r="AG494" s="1"/>
    </row>
    <row r="495" spans="1:33" ht="44.25" customHeight="1" x14ac:dyDescent="0.25">
      <c r="A495" s="1"/>
      <c r="B495" s="1"/>
      <c r="C495" s="1"/>
      <c r="D495" s="1"/>
      <c r="E495" s="42"/>
      <c r="F495" s="43"/>
      <c r="G495" s="1"/>
      <c r="H495" s="1"/>
      <c r="I495" s="44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42"/>
      <c r="AE495" s="43"/>
      <c r="AF495" s="43"/>
      <c r="AG495" s="1"/>
    </row>
    <row r="496" spans="1:33" ht="44.25" customHeight="1" x14ac:dyDescent="0.25">
      <c r="A496" s="1"/>
      <c r="B496" s="1"/>
      <c r="C496" s="1"/>
      <c r="D496" s="1"/>
      <c r="E496" s="42"/>
      <c r="F496" s="43"/>
      <c r="G496" s="1"/>
      <c r="H496" s="1"/>
      <c r="I496" s="44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42"/>
      <c r="AE496" s="43"/>
      <c r="AF496" s="43"/>
      <c r="AG496" s="1"/>
    </row>
    <row r="497" spans="1:33" ht="44.25" customHeight="1" x14ac:dyDescent="0.25">
      <c r="A497" s="1"/>
      <c r="B497" s="1"/>
      <c r="C497" s="1"/>
      <c r="D497" s="1"/>
      <c r="E497" s="42"/>
      <c r="F497" s="43"/>
      <c r="G497" s="1"/>
      <c r="H497" s="1"/>
      <c r="I497" s="44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42"/>
      <c r="AE497" s="43"/>
      <c r="AF497" s="43"/>
      <c r="AG497" s="1"/>
    </row>
    <row r="498" spans="1:33" ht="44.25" customHeight="1" x14ac:dyDescent="0.25">
      <c r="A498" s="1"/>
      <c r="B498" s="1"/>
      <c r="C498" s="1"/>
      <c r="D498" s="1"/>
      <c r="E498" s="42"/>
      <c r="F498" s="43"/>
      <c r="G498" s="1"/>
      <c r="H498" s="1"/>
      <c r="I498" s="44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42"/>
      <c r="AE498" s="43"/>
      <c r="AF498" s="43"/>
      <c r="AG498" s="1"/>
    </row>
    <row r="499" spans="1:33" ht="44.25" customHeight="1" x14ac:dyDescent="0.25">
      <c r="A499" s="1"/>
      <c r="B499" s="1"/>
      <c r="C499" s="1"/>
      <c r="D499" s="1"/>
      <c r="E499" s="42"/>
      <c r="F499" s="43"/>
      <c r="G499" s="1"/>
      <c r="H499" s="1"/>
      <c r="I499" s="44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42"/>
      <c r="AE499" s="43"/>
      <c r="AF499" s="43"/>
      <c r="AG499" s="1"/>
    </row>
    <row r="500" spans="1:33" ht="44.25" customHeight="1" x14ac:dyDescent="0.25">
      <c r="A500" s="1"/>
      <c r="B500" s="1"/>
      <c r="C500" s="1"/>
      <c r="D500" s="1"/>
      <c r="E500" s="42"/>
      <c r="F500" s="43"/>
      <c r="G500" s="1"/>
      <c r="H500" s="1"/>
      <c r="I500" s="44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42"/>
      <c r="AE500" s="43"/>
      <c r="AF500" s="43"/>
      <c r="AG500" s="1"/>
    </row>
    <row r="501" spans="1:33" ht="44.25" customHeight="1" x14ac:dyDescent="0.25">
      <c r="A501" s="1"/>
      <c r="B501" s="1"/>
      <c r="C501" s="1"/>
      <c r="D501" s="1"/>
      <c r="E501" s="42"/>
      <c r="F501" s="43"/>
      <c r="G501" s="1"/>
      <c r="H501" s="1"/>
      <c r="I501" s="44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42"/>
      <c r="AE501" s="43"/>
      <c r="AF501" s="43"/>
      <c r="AG501" s="1"/>
    </row>
    <row r="502" spans="1:33" ht="44.25" customHeight="1" x14ac:dyDescent="0.25">
      <c r="A502" s="1"/>
      <c r="B502" s="1"/>
      <c r="C502" s="1"/>
      <c r="D502" s="1"/>
      <c r="E502" s="42"/>
      <c r="F502" s="43"/>
      <c r="G502" s="1"/>
      <c r="H502" s="1"/>
      <c r="I502" s="44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42"/>
      <c r="AE502" s="43"/>
      <c r="AF502" s="43"/>
      <c r="AG502" s="1"/>
    </row>
    <row r="503" spans="1:33" ht="44.25" customHeight="1" x14ac:dyDescent="0.25">
      <c r="A503" s="1"/>
      <c r="B503" s="1"/>
      <c r="C503" s="1"/>
      <c r="D503" s="1"/>
      <c r="E503" s="42"/>
      <c r="F503" s="43"/>
      <c r="G503" s="1"/>
      <c r="H503" s="1"/>
      <c r="I503" s="44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42"/>
      <c r="AE503" s="43"/>
      <c r="AF503" s="43"/>
      <c r="AG503" s="1"/>
    </row>
    <row r="504" spans="1:33" ht="44.25" customHeight="1" x14ac:dyDescent="0.25">
      <c r="A504" s="1"/>
      <c r="B504" s="1"/>
      <c r="C504" s="1"/>
      <c r="D504" s="1"/>
      <c r="E504" s="42"/>
      <c r="F504" s="43"/>
      <c r="G504" s="1"/>
      <c r="H504" s="1"/>
      <c r="I504" s="44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42"/>
      <c r="AE504" s="43"/>
      <c r="AF504" s="43"/>
      <c r="AG504" s="1"/>
    </row>
    <row r="505" spans="1:33" ht="44.25" customHeight="1" x14ac:dyDescent="0.25">
      <c r="A505" s="1"/>
      <c r="B505" s="1"/>
      <c r="C505" s="1"/>
      <c r="D505" s="1"/>
      <c r="E505" s="42"/>
      <c r="F505" s="43"/>
      <c r="G505" s="1"/>
      <c r="H505" s="1"/>
      <c r="I505" s="44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42"/>
      <c r="AE505" s="43"/>
      <c r="AF505" s="43"/>
      <c r="AG505" s="1"/>
    </row>
    <row r="506" spans="1:33" ht="44.25" customHeight="1" x14ac:dyDescent="0.25">
      <c r="A506" s="1"/>
      <c r="B506" s="1"/>
      <c r="C506" s="1"/>
      <c r="D506" s="1"/>
      <c r="E506" s="42"/>
      <c r="F506" s="43"/>
      <c r="G506" s="1"/>
      <c r="H506" s="1"/>
      <c r="I506" s="44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42"/>
      <c r="AE506" s="43"/>
      <c r="AF506" s="43"/>
      <c r="AG506" s="1"/>
    </row>
    <row r="507" spans="1:33" ht="44.25" customHeight="1" x14ac:dyDescent="0.25">
      <c r="A507" s="1"/>
      <c r="B507" s="1"/>
      <c r="C507" s="1"/>
      <c r="D507" s="1"/>
      <c r="E507" s="42"/>
      <c r="F507" s="43"/>
      <c r="G507" s="1"/>
      <c r="H507" s="1"/>
      <c r="I507" s="44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42"/>
      <c r="AE507" s="43"/>
      <c r="AF507" s="43"/>
      <c r="AG507" s="1"/>
    </row>
    <row r="508" spans="1:33" ht="44.25" customHeight="1" x14ac:dyDescent="0.25">
      <c r="A508" s="1"/>
      <c r="B508" s="1"/>
      <c r="C508" s="1"/>
      <c r="D508" s="1"/>
      <c r="E508" s="42"/>
      <c r="F508" s="43"/>
      <c r="G508" s="1"/>
      <c r="H508" s="1"/>
      <c r="I508" s="44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42"/>
      <c r="AE508" s="43"/>
      <c r="AF508" s="43"/>
      <c r="AG508" s="1"/>
    </row>
    <row r="509" spans="1:33" ht="44.25" customHeight="1" x14ac:dyDescent="0.25">
      <c r="A509" s="1"/>
      <c r="B509" s="1"/>
      <c r="C509" s="1"/>
      <c r="D509" s="1"/>
      <c r="E509" s="42"/>
      <c r="F509" s="43"/>
      <c r="G509" s="1"/>
      <c r="H509" s="1"/>
      <c r="I509" s="44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42"/>
      <c r="AE509" s="43"/>
      <c r="AF509" s="43"/>
      <c r="AG509" s="1"/>
    </row>
    <row r="510" spans="1:33" ht="44.25" customHeight="1" x14ac:dyDescent="0.25">
      <c r="A510" s="1"/>
      <c r="B510" s="1"/>
      <c r="C510" s="1"/>
      <c r="D510" s="1"/>
      <c r="E510" s="42"/>
      <c r="F510" s="43"/>
      <c r="G510" s="1"/>
      <c r="H510" s="1"/>
      <c r="I510" s="44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42"/>
      <c r="AE510" s="43"/>
      <c r="AF510" s="43"/>
      <c r="AG510" s="1"/>
    </row>
    <row r="511" spans="1:33" ht="44.25" customHeight="1" x14ac:dyDescent="0.25">
      <c r="A511" s="1"/>
      <c r="B511" s="1"/>
      <c r="C511" s="1"/>
      <c r="D511" s="1"/>
      <c r="E511" s="42"/>
      <c r="F511" s="43"/>
      <c r="G511" s="1"/>
      <c r="H511" s="1"/>
      <c r="I511" s="44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42"/>
      <c r="AE511" s="43"/>
      <c r="AF511" s="43"/>
      <c r="AG511" s="1"/>
    </row>
    <row r="512" spans="1:33" ht="44.25" customHeight="1" x14ac:dyDescent="0.25">
      <c r="A512" s="1"/>
      <c r="B512" s="1"/>
      <c r="C512" s="1"/>
      <c r="D512" s="1"/>
      <c r="E512" s="42"/>
      <c r="F512" s="43"/>
      <c r="G512" s="1"/>
      <c r="H512" s="1"/>
      <c r="I512" s="44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42"/>
      <c r="AE512" s="43"/>
      <c r="AF512" s="43"/>
      <c r="AG512" s="1"/>
    </row>
    <row r="513" spans="1:33" ht="44.25" customHeight="1" x14ac:dyDescent="0.25">
      <c r="A513" s="1"/>
      <c r="B513" s="1"/>
      <c r="C513" s="1"/>
      <c r="D513" s="1"/>
      <c r="E513" s="42"/>
      <c r="F513" s="43"/>
      <c r="G513" s="1"/>
      <c r="H513" s="1"/>
      <c r="I513" s="44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42"/>
      <c r="AE513" s="43"/>
      <c r="AF513" s="43"/>
      <c r="AG513" s="1"/>
    </row>
    <row r="514" spans="1:33" ht="44.25" customHeight="1" x14ac:dyDescent="0.25">
      <c r="A514" s="1"/>
      <c r="B514" s="1"/>
      <c r="C514" s="1"/>
      <c r="D514" s="1"/>
      <c r="E514" s="42"/>
      <c r="F514" s="43"/>
      <c r="G514" s="1"/>
      <c r="H514" s="1"/>
      <c r="I514" s="44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42"/>
      <c r="AE514" s="43"/>
      <c r="AF514" s="43"/>
      <c r="AG514" s="1"/>
    </row>
    <row r="515" spans="1:33" ht="44.25" customHeight="1" x14ac:dyDescent="0.25">
      <c r="A515" s="1"/>
      <c r="B515" s="1"/>
      <c r="C515" s="1"/>
      <c r="D515" s="1"/>
      <c r="E515" s="42"/>
      <c r="F515" s="43"/>
      <c r="G515" s="1"/>
      <c r="H515" s="1"/>
      <c r="I515" s="44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42"/>
      <c r="AE515" s="43"/>
      <c r="AF515" s="43"/>
      <c r="AG515" s="1"/>
    </row>
    <row r="516" spans="1:33" ht="44.25" customHeight="1" x14ac:dyDescent="0.25">
      <c r="A516" s="1"/>
      <c r="B516" s="1"/>
      <c r="C516" s="1"/>
      <c r="D516" s="1"/>
      <c r="E516" s="42"/>
      <c r="F516" s="43"/>
      <c r="G516" s="1"/>
      <c r="H516" s="1"/>
      <c r="I516" s="44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42"/>
      <c r="AE516" s="43"/>
      <c r="AF516" s="43"/>
      <c r="AG516" s="1"/>
    </row>
    <row r="517" spans="1:33" ht="44.25" customHeight="1" x14ac:dyDescent="0.25">
      <c r="A517" s="1"/>
      <c r="B517" s="1"/>
      <c r="C517" s="1"/>
      <c r="D517" s="1"/>
      <c r="E517" s="42"/>
      <c r="F517" s="43"/>
      <c r="G517" s="1"/>
      <c r="H517" s="1"/>
      <c r="I517" s="44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42"/>
      <c r="AE517" s="43"/>
      <c r="AF517" s="43"/>
      <c r="AG517" s="1"/>
    </row>
    <row r="518" spans="1:33" ht="44.25" customHeight="1" x14ac:dyDescent="0.25">
      <c r="A518" s="1"/>
      <c r="B518" s="1"/>
      <c r="C518" s="1"/>
      <c r="D518" s="1"/>
      <c r="E518" s="42"/>
      <c r="F518" s="43"/>
      <c r="G518" s="1"/>
      <c r="H518" s="1"/>
      <c r="I518" s="44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42"/>
      <c r="AE518" s="43"/>
      <c r="AF518" s="43"/>
      <c r="AG518" s="1"/>
    </row>
    <row r="519" spans="1:33" ht="44.25" customHeight="1" x14ac:dyDescent="0.25">
      <c r="A519" s="1"/>
      <c r="B519" s="1"/>
      <c r="C519" s="1"/>
      <c r="D519" s="1"/>
      <c r="E519" s="42"/>
      <c r="F519" s="43"/>
      <c r="G519" s="1"/>
      <c r="H519" s="1"/>
      <c r="I519" s="44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42"/>
      <c r="AE519" s="43"/>
      <c r="AF519" s="43"/>
      <c r="AG519" s="1"/>
    </row>
    <row r="520" spans="1:33" ht="44.25" customHeight="1" x14ac:dyDescent="0.25">
      <c r="A520" s="1"/>
      <c r="B520" s="1"/>
      <c r="C520" s="1"/>
      <c r="D520" s="1"/>
      <c r="E520" s="42"/>
      <c r="F520" s="43"/>
      <c r="G520" s="1"/>
      <c r="H520" s="1"/>
      <c r="I520" s="44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42"/>
      <c r="AE520" s="43"/>
      <c r="AF520" s="43"/>
      <c r="AG520" s="1"/>
    </row>
    <row r="521" spans="1:33" ht="44.25" customHeight="1" x14ac:dyDescent="0.25">
      <c r="A521" s="1"/>
      <c r="B521" s="1"/>
      <c r="C521" s="1"/>
      <c r="D521" s="1"/>
      <c r="E521" s="42"/>
      <c r="F521" s="43"/>
      <c r="G521" s="1"/>
      <c r="H521" s="1"/>
      <c r="I521" s="44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42"/>
      <c r="AE521" s="43"/>
      <c r="AF521" s="43"/>
      <c r="AG521" s="1"/>
    </row>
    <row r="522" spans="1:33" ht="44.25" customHeight="1" x14ac:dyDescent="0.25">
      <c r="A522" s="1"/>
      <c r="B522" s="1"/>
      <c r="C522" s="1"/>
      <c r="D522" s="1"/>
      <c r="E522" s="42"/>
      <c r="F522" s="43"/>
      <c r="G522" s="1"/>
      <c r="H522" s="1"/>
      <c r="I522" s="44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42"/>
      <c r="AE522" s="43"/>
      <c r="AF522" s="43"/>
      <c r="AG522" s="1"/>
    </row>
    <row r="523" spans="1:33" ht="44.25" customHeight="1" x14ac:dyDescent="0.25">
      <c r="A523" s="1"/>
      <c r="B523" s="1"/>
      <c r="C523" s="1"/>
      <c r="D523" s="1"/>
      <c r="E523" s="42"/>
      <c r="F523" s="43"/>
      <c r="G523" s="1"/>
      <c r="H523" s="1"/>
      <c r="I523" s="44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42"/>
      <c r="AE523" s="43"/>
      <c r="AF523" s="43"/>
      <c r="AG523" s="1"/>
    </row>
    <row r="524" spans="1:33" ht="44.25" customHeight="1" x14ac:dyDescent="0.25">
      <c r="A524" s="1"/>
      <c r="B524" s="1"/>
      <c r="C524" s="1"/>
      <c r="D524" s="1"/>
      <c r="E524" s="42"/>
      <c r="F524" s="43"/>
      <c r="G524" s="1"/>
      <c r="H524" s="1"/>
      <c r="I524" s="44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42"/>
      <c r="AE524" s="43"/>
      <c r="AF524" s="43"/>
      <c r="AG524" s="1"/>
    </row>
    <row r="525" spans="1:33" ht="44.25" customHeight="1" x14ac:dyDescent="0.25">
      <c r="A525" s="1"/>
      <c r="B525" s="1"/>
      <c r="C525" s="1"/>
      <c r="D525" s="1"/>
      <c r="E525" s="42"/>
      <c r="F525" s="43"/>
      <c r="G525" s="1"/>
      <c r="H525" s="1"/>
      <c r="I525" s="44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42"/>
      <c r="AE525" s="43"/>
      <c r="AF525" s="43"/>
      <c r="AG525" s="1"/>
    </row>
    <row r="526" spans="1:33" ht="44.25" customHeight="1" x14ac:dyDescent="0.25">
      <c r="A526" s="1"/>
      <c r="B526" s="1"/>
      <c r="C526" s="1"/>
      <c r="D526" s="1"/>
      <c r="E526" s="42"/>
      <c r="F526" s="43"/>
      <c r="G526" s="1"/>
      <c r="H526" s="1"/>
      <c r="I526" s="44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42"/>
      <c r="AE526" s="43"/>
      <c r="AF526" s="43"/>
      <c r="AG526" s="1"/>
    </row>
    <row r="527" spans="1:33" ht="44.25" customHeight="1" x14ac:dyDescent="0.25">
      <c r="A527" s="1"/>
      <c r="B527" s="1"/>
      <c r="C527" s="1"/>
      <c r="D527" s="1"/>
      <c r="E527" s="42"/>
      <c r="F527" s="43"/>
      <c r="G527" s="1"/>
      <c r="H527" s="1"/>
      <c r="I527" s="44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42"/>
      <c r="AE527" s="43"/>
      <c r="AF527" s="43"/>
      <c r="AG527" s="1"/>
    </row>
    <row r="528" spans="1:33" ht="44.25" customHeight="1" x14ac:dyDescent="0.25">
      <c r="A528" s="1"/>
      <c r="B528" s="1"/>
      <c r="C528" s="1"/>
      <c r="D528" s="1"/>
      <c r="E528" s="42"/>
      <c r="F528" s="43"/>
      <c r="G528" s="1"/>
      <c r="H528" s="1"/>
      <c r="I528" s="44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42"/>
      <c r="AE528" s="43"/>
      <c r="AF528" s="43"/>
      <c r="AG528" s="1"/>
    </row>
    <row r="529" spans="1:33" ht="44.25" customHeight="1" x14ac:dyDescent="0.25">
      <c r="A529" s="1"/>
      <c r="B529" s="1"/>
      <c r="C529" s="1"/>
      <c r="D529" s="1"/>
      <c r="E529" s="42"/>
      <c r="F529" s="43"/>
      <c r="G529" s="1"/>
      <c r="H529" s="1"/>
      <c r="I529" s="44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42"/>
      <c r="AE529" s="43"/>
      <c r="AF529" s="43"/>
      <c r="AG529" s="1"/>
    </row>
    <row r="530" spans="1:33" ht="44.25" customHeight="1" x14ac:dyDescent="0.25">
      <c r="A530" s="1"/>
      <c r="B530" s="1"/>
      <c r="C530" s="1"/>
      <c r="D530" s="1"/>
      <c r="E530" s="42"/>
      <c r="F530" s="43"/>
      <c r="G530" s="1"/>
      <c r="H530" s="1"/>
      <c r="I530" s="44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42"/>
      <c r="AE530" s="43"/>
      <c r="AF530" s="43"/>
      <c r="AG530" s="1"/>
    </row>
    <row r="531" spans="1:33" ht="44.25" customHeight="1" x14ac:dyDescent="0.25">
      <c r="A531" s="1"/>
      <c r="B531" s="1"/>
      <c r="C531" s="1"/>
      <c r="D531" s="1"/>
      <c r="E531" s="42"/>
      <c r="F531" s="43"/>
      <c r="G531" s="1"/>
      <c r="H531" s="1"/>
      <c r="I531" s="44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42"/>
      <c r="AE531" s="43"/>
      <c r="AF531" s="43"/>
      <c r="AG531" s="1"/>
    </row>
    <row r="532" spans="1:33" ht="44.25" customHeight="1" x14ac:dyDescent="0.25">
      <c r="A532" s="1"/>
      <c r="B532" s="1"/>
      <c r="C532" s="1"/>
      <c r="D532" s="1"/>
      <c r="E532" s="42"/>
      <c r="F532" s="43"/>
      <c r="G532" s="1"/>
      <c r="H532" s="1"/>
      <c r="I532" s="44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42"/>
      <c r="AE532" s="43"/>
      <c r="AF532" s="43"/>
      <c r="AG532" s="1"/>
    </row>
    <row r="533" spans="1:33" ht="44.25" customHeight="1" x14ac:dyDescent="0.25">
      <c r="A533" s="1"/>
      <c r="B533" s="1"/>
      <c r="C533" s="1"/>
      <c r="D533" s="1"/>
      <c r="E533" s="42"/>
      <c r="F533" s="43"/>
      <c r="G533" s="1"/>
      <c r="H533" s="1"/>
      <c r="I533" s="44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42"/>
      <c r="AE533" s="43"/>
      <c r="AF533" s="43"/>
      <c r="AG533" s="1"/>
    </row>
    <row r="534" spans="1:33" ht="44.25" customHeight="1" x14ac:dyDescent="0.25">
      <c r="A534" s="1"/>
      <c r="B534" s="1"/>
      <c r="C534" s="1"/>
      <c r="D534" s="1"/>
      <c r="E534" s="42"/>
      <c r="F534" s="43"/>
      <c r="G534" s="1"/>
      <c r="H534" s="1"/>
      <c r="I534" s="44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42"/>
      <c r="AE534" s="43"/>
      <c r="AF534" s="43"/>
      <c r="AG534" s="1"/>
    </row>
    <row r="535" spans="1:33" ht="44.25" customHeight="1" x14ac:dyDescent="0.25">
      <c r="A535" s="1"/>
      <c r="B535" s="1"/>
      <c r="C535" s="1"/>
      <c r="D535" s="1"/>
      <c r="E535" s="42"/>
      <c r="F535" s="43"/>
      <c r="G535" s="1"/>
      <c r="H535" s="1"/>
      <c r="I535" s="44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42"/>
      <c r="AE535" s="43"/>
      <c r="AF535" s="43"/>
      <c r="AG535" s="1"/>
    </row>
    <row r="536" spans="1:33" ht="44.25" customHeight="1" x14ac:dyDescent="0.25">
      <c r="A536" s="1"/>
      <c r="B536" s="1"/>
      <c r="C536" s="1"/>
      <c r="D536" s="1"/>
      <c r="E536" s="42"/>
      <c r="F536" s="43"/>
      <c r="G536" s="1"/>
      <c r="H536" s="1"/>
      <c r="I536" s="44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42"/>
      <c r="AE536" s="43"/>
      <c r="AF536" s="43"/>
      <c r="AG536" s="1"/>
    </row>
    <row r="537" spans="1:33" ht="44.25" customHeight="1" x14ac:dyDescent="0.25">
      <c r="A537" s="1"/>
      <c r="B537" s="1"/>
      <c r="C537" s="1"/>
      <c r="D537" s="1"/>
      <c r="E537" s="42"/>
      <c r="F537" s="43"/>
      <c r="G537" s="1"/>
      <c r="H537" s="1"/>
      <c r="I537" s="44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42"/>
      <c r="AE537" s="43"/>
      <c r="AF537" s="43"/>
      <c r="AG537" s="1"/>
    </row>
    <row r="538" spans="1:33" ht="44.25" customHeight="1" x14ac:dyDescent="0.25">
      <c r="A538" s="1"/>
      <c r="B538" s="1"/>
      <c r="C538" s="1"/>
      <c r="D538" s="1"/>
      <c r="E538" s="42"/>
      <c r="F538" s="43"/>
      <c r="G538" s="1"/>
      <c r="H538" s="1"/>
      <c r="I538" s="44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42"/>
      <c r="AE538" s="43"/>
      <c r="AF538" s="43"/>
      <c r="AG538" s="1"/>
    </row>
    <row r="539" spans="1:33" ht="44.25" customHeight="1" x14ac:dyDescent="0.25">
      <c r="A539" s="1"/>
      <c r="B539" s="1"/>
      <c r="C539" s="1"/>
      <c r="D539" s="1"/>
      <c r="E539" s="42"/>
      <c r="F539" s="43"/>
      <c r="G539" s="1"/>
      <c r="H539" s="1"/>
      <c r="I539" s="44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42"/>
      <c r="AE539" s="43"/>
      <c r="AF539" s="43"/>
      <c r="AG539" s="1"/>
    </row>
    <row r="540" spans="1:33" ht="44.25" customHeight="1" x14ac:dyDescent="0.25">
      <c r="A540" s="1"/>
      <c r="B540" s="1"/>
      <c r="C540" s="1"/>
      <c r="D540" s="1"/>
      <c r="E540" s="42"/>
      <c r="F540" s="43"/>
      <c r="G540" s="1"/>
      <c r="H540" s="1"/>
      <c r="I540" s="44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42"/>
      <c r="AE540" s="43"/>
      <c r="AF540" s="43"/>
      <c r="AG540" s="1"/>
    </row>
    <row r="541" spans="1:33" ht="44.25" customHeight="1" x14ac:dyDescent="0.25">
      <c r="A541" s="1"/>
      <c r="B541" s="1"/>
      <c r="C541" s="1"/>
      <c r="D541" s="1"/>
      <c r="E541" s="42"/>
      <c r="F541" s="43"/>
      <c r="G541" s="1"/>
      <c r="H541" s="1"/>
      <c r="I541" s="44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42"/>
      <c r="AE541" s="43"/>
      <c r="AF541" s="43"/>
      <c r="AG541" s="1"/>
    </row>
    <row r="542" spans="1:33" ht="44.25" customHeight="1" x14ac:dyDescent="0.25">
      <c r="A542" s="1"/>
      <c r="B542" s="1"/>
      <c r="C542" s="1"/>
      <c r="D542" s="1"/>
      <c r="E542" s="42"/>
      <c r="F542" s="43"/>
      <c r="G542" s="1"/>
      <c r="H542" s="1"/>
      <c r="I542" s="44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42"/>
      <c r="AE542" s="43"/>
      <c r="AF542" s="43"/>
      <c r="AG542" s="1"/>
    </row>
    <row r="543" spans="1:33" ht="44.25" customHeight="1" x14ac:dyDescent="0.25">
      <c r="A543" s="1"/>
      <c r="B543" s="1"/>
      <c r="C543" s="1"/>
      <c r="D543" s="1"/>
      <c r="E543" s="42"/>
      <c r="F543" s="43"/>
      <c r="G543" s="1"/>
      <c r="H543" s="1"/>
      <c r="I543" s="44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42"/>
      <c r="AE543" s="43"/>
      <c r="AF543" s="43"/>
      <c r="AG543" s="1"/>
    </row>
    <row r="544" spans="1:33" ht="44.25" customHeight="1" x14ac:dyDescent="0.25">
      <c r="A544" s="1"/>
      <c r="B544" s="1"/>
      <c r="C544" s="1"/>
      <c r="D544" s="1"/>
      <c r="E544" s="42"/>
      <c r="F544" s="43"/>
      <c r="G544" s="1"/>
      <c r="H544" s="1"/>
      <c r="I544" s="44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42"/>
      <c r="AE544" s="43"/>
      <c r="AF544" s="43"/>
      <c r="AG544" s="1"/>
    </row>
    <row r="545" spans="1:33" ht="44.25" customHeight="1" x14ac:dyDescent="0.25">
      <c r="A545" s="1"/>
      <c r="B545" s="1"/>
      <c r="C545" s="1"/>
      <c r="D545" s="1"/>
      <c r="E545" s="42"/>
      <c r="F545" s="43"/>
      <c r="G545" s="1"/>
      <c r="H545" s="1"/>
      <c r="I545" s="44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42"/>
      <c r="AE545" s="43"/>
      <c r="AF545" s="43"/>
      <c r="AG545" s="1"/>
    </row>
    <row r="546" spans="1:33" ht="44.25" customHeight="1" x14ac:dyDescent="0.25">
      <c r="A546" s="1"/>
      <c r="B546" s="1"/>
      <c r="C546" s="1"/>
      <c r="D546" s="1"/>
      <c r="E546" s="42"/>
      <c r="F546" s="43"/>
      <c r="G546" s="1"/>
      <c r="H546" s="1"/>
      <c r="I546" s="44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42"/>
      <c r="AE546" s="43"/>
      <c r="AF546" s="43"/>
      <c r="AG546" s="1"/>
    </row>
    <row r="547" spans="1:33" ht="44.25" customHeight="1" x14ac:dyDescent="0.25">
      <c r="A547" s="1"/>
      <c r="B547" s="1"/>
      <c r="C547" s="1"/>
      <c r="D547" s="1"/>
      <c r="E547" s="42"/>
      <c r="F547" s="43"/>
      <c r="G547" s="1"/>
      <c r="H547" s="1"/>
      <c r="I547" s="44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42"/>
      <c r="AE547" s="43"/>
      <c r="AF547" s="43"/>
      <c r="AG547" s="1"/>
    </row>
    <row r="548" spans="1:33" ht="44.25" customHeight="1" x14ac:dyDescent="0.25">
      <c r="A548" s="1"/>
      <c r="B548" s="1"/>
      <c r="C548" s="1"/>
      <c r="D548" s="1"/>
      <c r="E548" s="42"/>
      <c r="F548" s="43"/>
      <c r="G548" s="1"/>
      <c r="H548" s="1"/>
      <c r="I548" s="44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42"/>
      <c r="AE548" s="43"/>
      <c r="AF548" s="43"/>
      <c r="AG548" s="1"/>
    </row>
    <row r="549" spans="1:33" ht="44.25" customHeight="1" x14ac:dyDescent="0.25">
      <c r="A549" s="1"/>
      <c r="B549" s="1"/>
      <c r="C549" s="1"/>
      <c r="D549" s="1"/>
      <c r="E549" s="42"/>
      <c r="F549" s="43"/>
      <c r="G549" s="1"/>
      <c r="H549" s="1"/>
      <c r="I549" s="44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42"/>
      <c r="AE549" s="43"/>
      <c r="AF549" s="43"/>
      <c r="AG549" s="1"/>
    </row>
    <row r="550" spans="1:33" ht="44.25" customHeight="1" x14ac:dyDescent="0.25">
      <c r="A550" s="1"/>
      <c r="B550" s="1"/>
      <c r="C550" s="1"/>
      <c r="D550" s="1"/>
      <c r="E550" s="42"/>
      <c r="F550" s="43"/>
      <c r="G550" s="1"/>
      <c r="H550" s="1"/>
      <c r="I550" s="44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42"/>
      <c r="AE550" s="43"/>
      <c r="AF550" s="43"/>
      <c r="AG550" s="1"/>
    </row>
    <row r="551" spans="1:33" ht="44.25" customHeight="1" x14ac:dyDescent="0.25">
      <c r="A551" s="1"/>
      <c r="B551" s="1"/>
      <c r="C551" s="1"/>
      <c r="D551" s="1"/>
      <c r="E551" s="42"/>
      <c r="F551" s="43"/>
      <c r="G551" s="1"/>
      <c r="H551" s="1"/>
      <c r="I551" s="44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42"/>
      <c r="AE551" s="43"/>
      <c r="AF551" s="43"/>
      <c r="AG551" s="1"/>
    </row>
    <row r="552" spans="1:33" ht="44.25" customHeight="1" x14ac:dyDescent="0.25">
      <c r="A552" s="1"/>
      <c r="B552" s="1"/>
      <c r="C552" s="1"/>
      <c r="D552" s="1"/>
      <c r="E552" s="42"/>
      <c r="F552" s="43"/>
      <c r="G552" s="1"/>
      <c r="H552" s="1"/>
      <c r="I552" s="44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42"/>
      <c r="AE552" s="43"/>
      <c r="AF552" s="43"/>
      <c r="AG552" s="1"/>
    </row>
    <row r="553" spans="1:33" ht="44.25" customHeight="1" x14ac:dyDescent="0.25">
      <c r="A553" s="1"/>
      <c r="B553" s="1"/>
      <c r="C553" s="1"/>
      <c r="D553" s="1"/>
      <c r="E553" s="42"/>
      <c r="F553" s="43"/>
      <c r="G553" s="1"/>
      <c r="H553" s="1"/>
      <c r="I553" s="44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42"/>
      <c r="AE553" s="43"/>
      <c r="AF553" s="43"/>
      <c r="AG553" s="1"/>
    </row>
    <row r="554" spans="1:33" ht="44.25" customHeight="1" x14ac:dyDescent="0.25">
      <c r="A554" s="1"/>
      <c r="B554" s="1"/>
      <c r="C554" s="1"/>
      <c r="D554" s="1"/>
      <c r="E554" s="42"/>
      <c r="F554" s="43"/>
      <c r="G554" s="1"/>
      <c r="H554" s="1"/>
      <c r="I554" s="44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42"/>
      <c r="AE554" s="43"/>
      <c r="AF554" s="43"/>
      <c r="AG554" s="1"/>
    </row>
    <row r="555" spans="1:33" ht="44.25" customHeight="1" x14ac:dyDescent="0.25">
      <c r="A555" s="1"/>
      <c r="B555" s="1"/>
      <c r="C555" s="1"/>
      <c r="D555" s="1"/>
      <c r="E555" s="42"/>
      <c r="F555" s="43"/>
      <c r="G555" s="1"/>
      <c r="H555" s="1"/>
      <c r="I555" s="44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42"/>
      <c r="AE555" s="43"/>
      <c r="AF555" s="43"/>
      <c r="AG555" s="1"/>
    </row>
    <row r="556" spans="1:33" ht="44.25" customHeight="1" x14ac:dyDescent="0.25">
      <c r="A556" s="1"/>
      <c r="B556" s="1"/>
      <c r="C556" s="1"/>
      <c r="D556" s="1"/>
      <c r="E556" s="42"/>
      <c r="F556" s="43"/>
      <c r="G556" s="1"/>
      <c r="H556" s="1"/>
      <c r="I556" s="44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42"/>
      <c r="AE556" s="43"/>
      <c r="AF556" s="43"/>
      <c r="AG556" s="1"/>
    </row>
    <row r="557" spans="1:33" ht="44.25" customHeight="1" x14ac:dyDescent="0.25">
      <c r="A557" s="1"/>
      <c r="B557" s="1"/>
      <c r="C557" s="1"/>
      <c r="D557" s="1"/>
      <c r="E557" s="42"/>
      <c r="F557" s="43"/>
      <c r="G557" s="1"/>
      <c r="H557" s="1"/>
      <c r="I557" s="44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42"/>
      <c r="AE557" s="43"/>
      <c r="AF557" s="43"/>
      <c r="AG557" s="1"/>
    </row>
    <row r="558" spans="1:33" ht="44.25" customHeight="1" x14ac:dyDescent="0.25">
      <c r="A558" s="1"/>
      <c r="B558" s="1"/>
      <c r="C558" s="1"/>
      <c r="D558" s="1"/>
      <c r="E558" s="42"/>
      <c r="F558" s="43"/>
      <c r="G558" s="1"/>
      <c r="H558" s="1"/>
      <c r="I558" s="44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42"/>
      <c r="AE558" s="43"/>
      <c r="AF558" s="43"/>
      <c r="AG558" s="1"/>
    </row>
    <row r="559" spans="1:33" ht="44.25" customHeight="1" x14ac:dyDescent="0.25">
      <c r="A559" s="1"/>
      <c r="B559" s="1"/>
      <c r="C559" s="1"/>
      <c r="D559" s="1"/>
      <c r="E559" s="42"/>
      <c r="F559" s="43"/>
      <c r="G559" s="1"/>
      <c r="H559" s="1"/>
      <c r="I559" s="44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42"/>
      <c r="AE559" s="43"/>
      <c r="AF559" s="43"/>
      <c r="AG559" s="1"/>
    </row>
    <row r="560" spans="1:33" ht="44.25" customHeight="1" x14ac:dyDescent="0.25">
      <c r="A560" s="1"/>
      <c r="B560" s="1"/>
      <c r="C560" s="1"/>
      <c r="D560" s="1"/>
      <c r="E560" s="42"/>
      <c r="F560" s="43"/>
      <c r="G560" s="1"/>
      <c r="H560" s="1"/>
      <c r="I560" s="44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42"/>
      <c r="AE560" s="43"/>
      <c r="AF560" s="43"/>
      <c r="AG560" s="1"/>
    </row>
    <row r="561" spans="1:33" ht="44.25" customHeight="1" x14ac:dyDescent="0.25">
      <c r="A561" s="1"/>
      <c r="B561" s="1"/>
      <c r="C561" s="1"/>
      <c r="D561" s="1"/>
      <c r="E561" s="42"/>
      <c r="F561" s="43"/>
      <c r="G561" s="1"/>
      <c r="H561" s="1"/>
      <c r="I561" s="44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42"/>
      <c r="AE561" s="43"/>
      <c r="AF561" s="43"/>
      <c r="AG561" s="1"/>
    </row>
    <row r="562" spans="1:33" ht="44.25" customHeight="1" x14ac:dyDescent="0.25">
      <c r="A562" s="1"/>
      <c r="B562" s="1"/>
      <c r="C562" s="1"/>
      <c r="D562" s="1"/>
      <c r="E562" s="42"/>
      <c r="F562" s="43"/>
      <c r="G562" s="1"/>
      <c r="H562" s="1"/>
      <c r="I562" s="44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42"/>
      <c r="AE562" s="43"/>
      <c r="AF562" s="43"/>
      <c r="AG562" s="1"/>
    </row>
    <row r="563" spans="1:33" ht="44.25" customHeight="1" x14ac:dyDescent="0.25">
      <c r="A563" s="1"/>
      <c r="B563" s="1"/>
      <c r="C563" s="1"/>
      <c r="D563" s="1"/>
      <c r="E563" s="42"/>
      <c r="F563" s="43"/>
      <c r="G563" s="1"/>
      <c r="H563" s="1"/>
      <c r="I563" s="44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42"/>
      <c r="AE563" s="43"/>
      <c r="AF563" s="43"/>
      <c r="AG563" s="1"/>
    </row>
    <row r="564" spans="1:33" ht="44.25" customHeight="1" x14ac:dyDescent="0.25">
      <c r="A564" s="1"/>
      <c r="B564" s="1"/>
      <c r="C564" s="1"/>
      <c r="D564" s="1"/>
      <c r="E564" s="42"/>
      <c r="F564" s="43"/>
      <c r="G564" s="1"/>
      <c r="H564" s="1"/>
      <c r="I564" s="44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42"/>
      <c r="AE564" s="43"/>
      <c r="AF564" s="43"/>
      <c r="AG564" s="1"/>
    </row>
    <row r="565" spans="1:33" ht="44.25" customHeight="1" x14ac:dyDescent="0.25">
      <c r="A565" s="1"/>
      <c r="B565" s="1"/>
      <c r="C565" s="1"/>
      <c r="D565" s="1"/>
      <c r="E565" s="42"/>
      <c r="F565" s="43"/>
      <c r="G565" s="1"/>
      <c r="H565" s="1"/>
      <c r="I565" s="44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42"/>
      <c r="AE565" s="43"/>
      <c r="AF565" s="43"/>
      <c r="AG565" s="1"/>
    </row>
    <row r="566" spans="1:33" ht="44.25" customHeight="1" x14ac:dyDescent="0.25">
      <c r="A566" s="1"/>
      <c r="B566" s="1"/>
      <c r="C566" s="1"/>
      <c r="D566" s="1"/>
      <c r="E566" s="42"/>
      <c r="F566" s="43"/>
      <c r="G566" s="1"/>
      <c r="H566" s="1"/>
      <c r="I566" s="44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42"/>
      <c r="AE566" s="43"/>
      <c r="AF566" s="43"/>
      <c r="AG566" s="1"/>
    </row>
    <row r="567" spans="1:33" ht="44.25" customHeight="1" x14ac:dyDescent="0.25">
      <c r="A567" s="1"/>
      <c r="B567" s="1"/>
      <c r="C567" s="1"/>
      <c r="D567" s="1"/>
      <c r="E567" s="42"/>
      <c r="F567" s="43"/>
      <c r="G567" s="1"/>
      <c r="H567" s="1"/>
      <c r="I567" s="44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42"/>
      <c r="AE567" s="43"/>
      <c r="AF567" s="43"/>
      <c r="AG567" s="1"/>
    </row>
    <row r="568" spans="1:33" ht="44.25" customHeight="1" x14ac:dyDescent="0.25">
      <c r="A568" s="1"/>
      <c r="B568" s="1"/>
      <c r="C568" s="1"/>
      <c r="D568" s="1"/>
      <c r="E568" s="42"/>
      <c r="F568" s="43"/>
      <c r="G568" s="1"/>
      <c r="H568" s="1"/>
      <c r="I568" s="44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42"/>
      <c r="AE568" s="43"/>
      <c r="AF568" s="43"/>
      <c r="AG568" s="1"/>
    </row>
    <row r="569" spans="1:33" ht="44.25" customHeight="1" x14ac:dyDescent="0.25">
      <c r="A569" s="1"/>
      <c r="B569" s="1"/>
      <c r="C569" s="1"/>
      <c r="D569" s="1"/>
      <c r="E569" s="42"/>
      <c r="F569" s="43"/>
      <c r="G569" s="1"/>
      <c r="H569" s="1"/>
      <c r="I569" s="44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42"/>
      <c r="AE569" s="43"/>
      <c r="AF569" s="43"/>
      <c r="AG569" s="1"/>
    </row>
    <row r="570" spans="1:33" ht="44.25" customHeight="1" x14ac:dyDescent="0.25">
      <c r="A570" s="1"/>
      <c r="B570" s="1"/>
      <c r="C570" s="1"/>
      <c r="D570" s="1"/>
      <c r="E570" s="42"/>
      <c r="F570" s="43"/>
      <c r="G570" s="1"/>
      <c r="H570" s="1"/>
      <c r="I570" s="44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42"/>
      <c r="AE570" s="43"/>
      <c r="AF570" s="43"/>
      <c r="AG570" s="1"/>
    </row>
    <row r="571" spans="1:33" ht="44.25" customHeight="1" x14ac:dyDescent="0.25">
      <c r="A571" s="1"/>
      <c r="B571" s="1"/>
      <c r="C571" s="1"/>
      <c r="D571" s="1"/>
      <c r="E571" s="42"/>
      <c r="F571" s="43"/>
      <c r="G571" s="1"/>
      <c r="H571" s="1"/>
      <c r="I571" s="44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42"/>
      <c r="AE571" s="43"/>
      <c r="AF571" s="43"/>
      <c r="AG571" s="1"/>
    </row>
    <row r="572" spans="1:33" ht="44.25" customHeight="1" x14ac:dyDescent="0.25">
      <c r="A572" s="1"/>
      <c r="B572" s="1"/>
      <c r="C572" s="1"/>
      <c r="D572" s="1"/>
      <c r="E572" s="42"/>
      <c r="F572" s="43"/>
      <c r="G572" s="1"/>
      <c r="H572" s="1"/>
      <c r="I572" s="44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42"/>
      <c r="AE572" s="43"/>
      <c r="AF572" s="43"/>
      <c r="AG572" s="1"/>
    </row>
    <row r="573" spans="1:33" ht="44.25" customHeight="1" x14ac:dyDescent="0.25">
      <c r="A573" s="1"/>
      <c r="B573" s="1"/>
      <c r="C573" s="1"/>
      <c r="D573" s="1"/>
      <c r="E573" s="42"/>
      <c r="F573" s="43"/>
      <c r="G573" s="1"/>
      <c r="H573" s="1"/>
      <c r="I573" s="44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42"/>
      <c r="AE573" s="43"/>
      <c r="AF573" s="43"/>
      <c r="AG573" s="1"/>
    </row>
    <row r="574" spans="1:33" ht="44.25" customHeight="1" x14ac:dyDescent="0.25">
      <c r="A574" s="1"/>
      <c r="B574" s="1"/>
      <c r="C574" s="1"/>
      <c r="D574" s="1"/>
      <c r="E574" s="42"/>
      <c r="F574" s="43"/>
      <c r="G574" s="1"/>
      <c r="H574" s="1"/>
      <c r="I574" s="44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42"/>
      <c r="AE574" s="43"/>
      <c r="AF574" s="43"/>
      <c r="AG574" s="1"/>
    </row>
    <row r="575" spans="1:33" ht="44.25" customHeight="1" x14ac:dyDescent="0.25">
      <c r="A575" s="1"/>
      <c r="B575" s="1"/>
      <c r="C575" s="1"/>
      <c r="D575" s="1"/>
      <c r="E575" s="42"/>
      <c r="F575" s="43"/>
      <c r="G575" s="1"/>
      <c r="H575" s="1"/>
      <c r="I575" s="44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42"/>
      <c r="AE575" s="43"/>
      <c r="AF575" s="43"/>
      <c r="AG575" s="1"/>
    </row>
    <row r="576" spans="1:33" ht="44.25" customHeight="1" x14ac:dyDescent="0.25">
      <c r="A576" s="1"/>
      <c r="B576" s="1"/>
      <c r="C576" s="1"/>
      <c r="D576" s="1"/>
      <c r="E576" s="42"/>
      <c r="F576" s="43"/>
      <c r="G576" s="1"/>
      <c r="H576" s="1"/>
      <c r="I576" s="44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42"/>
      <c r="AE576" s="43"/>
      <c r="AF576" s="43"/>
      <c r="AG576" s="1"/>
    </row>
    <row r="577" spans="1:33" ht="44.25" customHeight="1" x14ac:dyDescent="0.25">
      <c r="A577" s="1"/>
      <c r="B577" s="1"/>
      <c r="C577" s="1"/>
      <c r="D577" s="1"/>
      <c r="E577" s="42"/>
      <c r="F577" s="43"/>
      <c r="G577" s="1"/>
      <c r="H577" s="1"/>
      <c r="I577" s="44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42"/>
      <c r="AE577" s="43"/>
      <c r="AF577" s="43"/>
      <c r="AG577" s="1"/>
    </row>
    <row r="578" spans="1:33" ht="44.25" customHeight="1" x14ac:dyDescent="0.25">
      <c r="A578" s="1"/>
      <c r="B578" s="1"/>
      <c r="C578" s="1"/>
      <c r="D578" s="1"/>
      <c r="E578" s="42"/>
      <c r="F578" s="43"/>
      <c r="G578" s="1"/>
      <c r="H578" s="1"/>
      <c r="I578" s="44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42"/>
      <c r="AE578" s="43"/>
      <c r="AF578" s="43"/>
      <c r="AG578" s="1"/>
    </row>
    <row r="579" spans="1:33" ht="44.25" customHeight="1" x14ac:dyDescent="0.25">
      <c r="A579" s="1"/>
      <c r="B579" s="1"/>
      <c r="C579" s="1"/>
      <c r="D579" s="1"/>
      <c r="E579" s="42"/>
      <c r="F579" s="43"/>
      <c r="G579" s="1"/>
      <c r="H579" s="1"/>
      <c r="I579" s="44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42"/>
      <c r="AE579" s="43"/>
      <c r="AF579" s="43"/>
      <c r="AG579" s="1"/>
    </row>
    <row r="580" spans="1:33" ht="44.25" customHeight="1" x14ac:dyDescent="0.25">
      <c r="A580" s="1"/>
      <c r="B580" s="1"/>
      <c r="C580" s="1"/>
      <c r="D580" s="1"/>
      <c r="E580" s="42"/>
      <c r="F580" s="43"/>
      <c r="G580" s="1"/>
      <c r="H580" s="1"/>
      <c r="I580" s="44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42"/>
      <c r="AE580" s="43"/>
      <c r="AF580" s="43"/>
      <c r="AG580" s="1"/>
    </row>
    <row r="581" spans="1:33" ht="44.25" customHeight="1" x14ac:dyDescent="0.25">
      <c r="A581" s="1"/>
      <c r="B581" s="1"/>
      <c r="C581" s="1"/>
      <c r="D581" s="1"/>
      <c r="E581" s="42"/>
      <c r="F581" s="43"/>
      <c r="G581" s="1"/>
      <c r="H581" s="1"/>
      <c r="I581" s="44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42"/>
      <c r="AE581" s="43"/>
      <c r="AF581" s="43"/>
      <c r="AG581" s="1"/>
    </row>
    <row r="582" spans="1:33" ht="44.25" customHeight="1" x14ac:dyDescent="0.25">
      <c r="A582" s="1"/>
      <c r="B582" s="1"/>
      <c r="C582" s="1"/>
      <c r="D582" s="1"/>
      <c r="E582" s="42"/>
      <c r="F582" s="43"/>
      <c r="G582" s="1"/>
      <c r="H582" s="1"/>
      <c r="I582" s="44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42"/>
      <c r="AE582" s="43"/>
      <c r="AF582" s="43"/>
      <c r="AG582" s="1"/>
    </row>
    <row r="583" spans="1:33" ht="44.25" customHeight="1" x14ac:dyDescent="0.25">
      <c r="A583" s="1"/>
      <c r="B583" s="1"/>
      <c r="C583" s="1"/>
      <c r="D583" s="1"/>
      <c r="E583" s="42"/>
      <c r="F583" s="43"/>
      <c r="G583" s="1"/>
      <c r="H583" s="1"/>
      <c r="I583" s="44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42"/>
      <c r="AE583" s="43"/>
      <c r="AF583" s="43"/>
      <c r="AG583" s="1"/>
    </row>
    <row r="584" spans="1:33" ht="44.25" customHeight="1" x14ac:dyDescent="0.25">
      <c r="A584" s="1"/>
      <c r="B584" s="1"/>
      <c r="C584" s="1"/>
      <c r="D584" s="1"/>
      <c r="E584" s="42"/>
      <c r="F584" s="43"/>
      <c r="G584" s="1"/>
      <c r="H584" s="1"/>
      <c r="I584" s="44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42"/>
      <c r="AE584" s="43"/>
      <c r="AF584" s="43"/>
      <c r="AG584" s="1"/>
    </row>
    <row r="585" spans="1:33" ht="44.25" customHeight="1" x14ac:dyDescent="0.25">
      <c r="A585" s="1"/>
      <c r="B585" s="1"/>
      <c r="C585" s="1"/>
      <c r="D585" s="1"/>
      <c r="E585" s="42"/>
      <c r="F585" s="43"/>
      <c r="G585" s="1"/>
      <c r="H585" s="1"/>
      <c r="I585" s="44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42"/>
      <c r="AE585" s="43"/>
      <c r="AF585" s="43"/>
      <c r="AG585" s="1"/>
    </row>
    <row r="586" spans="1:33" ht="44.25" customHeight="1" x14ac:dyDescent="0.25">
      <c r="A586" s="1"/>
      <c r="B586" s="1"/>
      <c r="C586" s="1"/>
      <c r="D586" s="1"/>
      <c r="E586" s="42"/>
      <c r="F586" s="43"/>
      <c r="G586" s="1"/>
      <c r="H586" s="1"/>
      <c r="I586" s="44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42"/>
      <c r="AE586" s="43"/>
      <c r="AF586" s="43"/>
      <c r="AG586" s="1"/>
    </row>
    <row r="587" spans="1:33" ht="44.25" customHeight="1" x14ac:dyDescent="0.25">
      <c r="A587" s="1"/>
      <c r="B587" s="1"/>
      <c r="C587" s="1"/>
      <c r="D587" s="1"/>
      <c r="E587" s="42"/>
      <c r="F587" s="43"/>
      <c r="G587" s="1"/>
      <c r="H587" s="1"/>
      <c r="I587" s="44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42"/>
      <c r="AE587" s="43"/>
      <c r="AF587" s="43"/>
      <c r="AG587" s="1"/>
    </row>
    <row r="588" spans="1:33" ht="44.25" customHeight="1" x14ac:dyDescent="0.25">
      <c r="A588" s="1"/>
      <c r="B588" s="1"/>
      <c r="C588" s="1"/>
      <c r="D588" s="1"/>
      <c r="E588" s="42"/>
      <c r="F588" s="43"/>
      <c r="G588" s="1"/>
      <c r="H588" s="1"/>
      <c r="I588" s="44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42"/>
      <c r="AE588" s="43"/>
      <c r="AF588" s="43"/>
      <c r="AG588" s="1"/>
    </row>
    <row r="589" spans="1:33" ht="44.25" customHeight="1" x14ac:dyDescent="0.25">
      <c r="A589" s="1"/>
      <c r="B589" s="1"/>
      <c r="C589" s="1"/>
      <c r="D589" s="1"/>
      <c r="E589" s="42"/>
      <c r="F589" s="43"/>
      <c r="G589" s="1"/>
      <c r="H589" s="1"/>
      <c r="I589" s="44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42"/>
      <c r="AE589" s="43"/>
      <c r="AF589" s="43"/>
      <c r="AG589" s="1"/>
    </row>
    <row r="590" spans="1:33" ht="44.25" customHeight="1" x14ac:dyDescent="0.25">
      <c r="A590" s="1"/>
      <c r="B590" s="1"/>
      <c r="C590" s="1"/>
      <c r="D590" s="1"/>
      <c r="E590" s="42"/>
      <c r="F590" s="43"/>
      <c r="G590" s="1"/>
      <c r="H590" s="1"/>
      <c r="I590" s="44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42"/>
      <c r="AE590" s="43"/>
      <c r="AF590" s="43"/>
      <c r="AG590" s="1"/>
    </row>
    <row r="591" spans="1:33" ht="44.25" customHeight="1" x14ac:dyDescent="0.25">
      <c r="A591" s="1"/>
      <c r="B591" s="1"/>
      <c r="C591" s="1"/>
      <c r="D591" s="1"/>
      <c r="E591" s="42"/>
      <c r="F591" s="43"/>
      <c r="G591" s="1"/>
      <c r="H591" s="1"/>
      <c r="I591" s="44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42"/>
      <c r="AE591" s="43"/>
      <c r="AF591" s="43"/>
      <c r="AG591" s="1"/>
    </row>
    <row r="592" spans="1:33" ht="44.25" customHeight="1" x14ac:dyDescent="0.25">
      <c r="A592" s="1"/>
      <c r="B592" s="1"/>
      <c r="C592" s="1"/>
      <c r="D592" s="1"/>
      <c r="E592" s="42"/>
      <c r="F592" s="43"/>
      <c r="G592" s="1"/>
      <c r="H592" s="1"/>
      <c r="I592" s="44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42"/>
      <c r="AE592" s="43"/>
      <c r="AF592" s="43"/>
      <c r="AG592" s="1"/>
    </row>
    <row r="593" spans="1:33" ht="44.25" customHeight="1" x14ac:dyDescent="0.25">
      <c r="A593" s="1"/>
      <c r="B593" s="1"/>
      <c r="C593" s="1"/>
      <c r="D593" s="1"/>
      <c r="E593" s="42"/>
      <c r="F593" s="43"/>
      <c r="G593" s="1"/>
      <c r="H593" s="1"/>
      <c r="I593" s="44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42"/>
      <c r="AE593" s="43"/>
      <c r="AF593" s="43"/>
      <c r="AG593" s="1"/>
    </row>
    <row r="594" spans="1:33" ht="44.25" customHeight="1" x14ac:dyDescent="0.25">
      <c r="A594" s="1"/>
      <c r="B594" s="1"/>
      <c r="C594" s="1"/>
      <c r="D594" s="1"/>
      <c r="E594" s="42"/>
      <c r="F594" s="43"/>
      <c r="G594" s="1"/>
      <c r="H594" s="1"/>
      <c r="I594" s="44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42"/>
      <c r="AE594" s="43"/>
      <c r="AF594" s="43"/>
      <c r="AG594" s="1"/>
    </row>
    <row r="595" spans="1:33" ht="44.25" customHeight="1" x14ac:dyDescent="0.25">
      <c r="A595" s="1"/>
      <c r="B595" s="1"/>
      <c r="C595" s="1"/>
      <c r="D595" s="1"/>
      <c r="E595" s="42"/>
      <c r="F595" s="43"/>
      <c r="G595" s="1"/>
      <c r="H595" s="1"/>
      <c r="I595" s="44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42"/>
      <c r="AE595" s="43"/>
      <c r="AF595" s="43"/>
      <c r="AG595" s="1"/>
    </row>
    <row r="596" spans="1:33" ht="44.25" customHeight="1" x14ac:dyDescent="0.25">
      <c r="A596" s="1"/>
      <c r="B596" s="1"/>
      <c r="C596" s="1"/>
      <c r="D596" s="1"/>
      <c r="E596" s="42"/>
      <c r="F596" s="43"/>
      <c r="G596" s="1"/>
      <c r="H596" s="1"/>
      <c r="I596" s="44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42"/>
      <c r="AE596" s="43"/>
      <c r="AF596" s="43"/>
      <c r="AG596" s="1"/>
    </row>
    <row r="597" spans="1:33" ht="44.25" customHeight="1" x14ac:dyDescent="0.25">
      <c r="A597" s="1"/>
      <c r="B597" s="1"/>
      <c r="C597" s="1"/>
      <c r="D597" s="1"/>
      <c r="E597" s="42"/>
      <c r="F597" s="43"/>
      <c r="G597" s="1"/>
      <c r="H597" s="1"/>
      <c r="I597" s="44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42"/>
      <c r="AE597" s="43"/>
      <c r="AF597" s="43"/>
      <c r="AG597" s="1"/>
    </row>
    <row r="598" spans="1:33" ht="44.25" customHeight="1" x14ac:dyDescent="0.25">
      <c r="A598" s="1"/>
      <c r="B598" s="1"/>
      <c r="C598" s="1"/>
      <c r="D598" s="1"/>
      <c r="E598" s="42"/>
      <c r="F598" s="43"/>
      <c r="G598" s="1"/>
      <c r="H598" s="1"/>
      <c r="I598" s="44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42"/>
      <c r="AE598" s="43"/>
      <c r="AF598" s="43"/>
      <c r="AG598" s="1"/>
    </row>
    <row r="599" spans="1:33" ht="44.25" customHeight="1" x14ac:dyDescent="0.25">
      <c r="A599" s="1"/>
      <c r="B599" s="1"/>
      <c r="C599" s="1"/>
      <c r="D599" s="1"/>
      <c r="E599" s="42"/>
      <c r="F599" s="43"/>
      <c r="G599" s="1"/>
      <c r="H599" s="1"/>
      <c r="I599" s="44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42"/>
      <c r="AE599" s="43"/>
      <c r="AF599" s="43"/>
      <c r="AG599" s="1"/>
    </row>
    <row r="600" spans="1:33" ht="44.25" customHeight="1" x14ac:dyDescent="0.25">
      <c r="A600" s="1"/>
      <c r="B600" s="1"/>
      <c r="C600" s="1"/>
      <c r="D600" s="1"/>
      <c r="E600" s="42"/>
      <c r="F600" s="43"/>
      <c r="G600" s="1"/>
      <c r="H600" s="1"/>
      <c r="I600" s="44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42"/>
      <c r="AE600" s="43"/>
      <c r="AF600" s="43"/>
      <c r="AG600" s="1"/>
    </row>
    <row r="601" spans="1:33" ht="44.25" customHeight="1" x14ac:dyDescent="0.25">
      <c r="A601" s="1"/>
      <c r="B601" s="1"/>
      <c r="C601" s="1"/>
      <c r="D601" s="1"/>
      <c r="E601" s="42"/>
      <c r="F601" s="43"/>
      <c r="G601" s="1"/>
      <c r="H601" s="1"/>
      <c r="I601" s="44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42"/>
      <c r="AE601" s="43"/>
      <c r="AF601" s="43"/>
      <c r="AG601" s="1"/>
    </row>
    <row r="602" spans="1:33" ht="44.25" customHeight="1" x14ac:dyDescent="0.25">
      <c r="A602" s="1"/>
      <c r="B602" s="1"/>
      <c r="C602" s="1"/>
      <c r="D602" s="1"/>
      <c r="E602" s="42"/>
      <c r="F602" s="43"/>
      <c r="G602" s="1"/>
      <c r="H602" s="1"/>
      <c r="I602" s="44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42"/>
      <c r="AE602" s="43"/>
      <c r="AF602" s="43"/>
      <c r="AG602" s="1"/>
    </row>
    <row r="603" spans="1:33" ht="44.25" customHeight="1" x14ac:dyDescent="0.25">
      <c r="A603" s="1"/>
      <c r="B603" s="1"/>
      <c r="C603" s="1"/>
      <c r="D603" s="1"/>
      <c r="E603" s="42"/>
      <c r="F603" s="43"/>
      <c r="G603" s="1"/>
      <c r="H603" s="1"/>
      <c r="I603" s="44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42"/>
      <c r="AE603" s="43"/>
      <c r="AF603" s="43"/>
      <c r="AG603" s="1"/>
    </row>
    <row r="604" spans="1:33" ht="44.25" customHeight="1" x14ac:dyDescent="0.25">
      <c r="A604" s="1"/>
      <c r="B604" s="1"/>
      <c r="C604" s="1"/>
      <c r="D604" s="1"/>
      <c r="E604" s="42"/>
      <c r="F604" s="43"/>
      <c r="G604" s="1"/>
      <c r="H604" s="1"/>
      <c r="I604" s="44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42"/>
      <c r="AE604" s="43"/>
      <c r="AF604" s="43"/>
      <c r="AG604" s="1"/>
    </row>
    <row r="605" spans="1:33" ht="44.25" customHeight="1" x14ac:dyDescent="0.25">
      <c r="A605" s="1"/>
      <c r="B605" s="1"/>
      <c r="C605" s="1"/>
      <c r="D605" s="1"/>
      <c r="E605" s="42"/>
      <c r="F605" s="43"/>
      <c r="G605" s="1"/>
      <c r="H605" s="1"/>
      <c r="I605" s="44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42"/>
      <c r="AE605" s="43"/>
      <c r="AF605" s="43"/>
      <c r="AG605" s="1"/>
    </row>
    <row r="606" spans="1:33" ht="44.25" customHeight="1" x14ac:dyDescent="0.25">
      <c r="A606" s="1"/>
      <c r="B606" s="1"/>
      <c r="C606" s="1"/>
      <c r="D606" s="1"/>
      <c r="E606" s="42"/>
      <c r="F606" s="43"/>
      <c r="G606" s="1"/>
      <c r="H606" s="1"/>
      <c r="I606" s="44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42"/>
      <c r="AE606" s="43"/>
      <c r="AF606" s="43"/>
      <c r="AG606" s="1"/>
    </row>
    <row r="607" spans="1:33" ht="44.25" customHeight="1" x14ac:dyDescent="0.25">
      <c r="A607" s="1"/>
      <c r="B607" s="1"/>
      <c r="C607" s="1"/>
      <c r="D607" s="1"/>
      <c r="E607" s="42"/>
      <c r="F607" s="43"/>
      <c r="G607" s="1"/>
      <c r="H607" s="1"/>
      <c r="I607" s="44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42"/>
      <c r="AE607" s="43"/>
      <c r="AF607" s="43"/>
      <c r="AG607" s="1"/>
    </row>
    <row r="608" spans="1:33" ht="44.25" customHeight="1" x14ac:dyDescent="0.25">
      <c r="A608" s="1"/>
      <c r="B608" s="1"/>
      <c r="C608" s="1"/>
      <c r="D608" s="1"/>
      <c r="E608" s="42"/>
      <c r="F608" s="43"/>
      <c r="G608" s="1"/>
      <c r="H608" s="1"/>
      <c r="I608" s="44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42"/>
      <c r="AE608" s="43"/>
      <c r="AF608" s="43"/>
      <c r="AG608" s="1"/>
    </row>
    <row r="609" spans="1:33" ht="44.25" customHeight="1" x14ac:dyDescent="0.25">
      <c r="A609" s="1"/>
      <c r="B609" s="1"/>
      <c r="C609" s="1"/>
      <c r="D609" s="1"/>
      <c r="E609" s="42"/>
      <c r="F609" s="43"/>
      <c r="G609" s="1"/>
      <c r="H609" s="1"/>
      <c r="I609" s="44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42"/>
      <c r="AE609" s="43"/>
      <c r="AF609" s="43"/>
      <c r="AG609" s="1"/>
    </row>
    <row r="610" spans="1:33" ht="44.25" customHeight="1" x14ac:dyDescent="0.25">
      <c r="A610" s="1"/>
      <c r="B610" s="1"/>
      <c r="C610" s="1"/>
      <c r="D610" s="1"/>
      <c r="E610" s="42"/>
      <c r="F610" s="43"/>
      <c r="G610" s="1"/>
      <c r="H610" s="1"/>
      <c r="I610" s="44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42"/>
      <c r="AE610" s="43"/>
      <c r="AF610" s="43"/>
      <c r="AG610" s="1"/>
    </row>
    <row r="611" spans="1:33" ht="44.25" customHeight="1" x14ac:dyDescent="0.25">
      <c r="A611" s="1"/>
      <c r="B611" s="1"/>
      <c r="C611" s="1"/>
      <c r="D611" s="1"/>
      <c r="E611" s="42"/>
      <c r="F611" s="43"/>
      <c r="G611" s="1"/>
      <c r="H611" s="1"/>
      <c r="I611" s="44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42"/>
      <c r="AE611" s="43"/>
      <c r="AF611" s="43"/>
      <c r="AG611" s="1"/>
    </row>
    <row r="612" spans="1:33" ht="44.25" customHeight="1" x14ac:dyDescent="0.25">
      <c r="A612" s="1"/>
      <c r="B612" s="1"/>
      <c r="C612" s="1"/>
      <c r="D612" s="1"/>
      <c r="E612" s="42"/>
      <c r="F612" s="43"/>
      <c r="G612" s="1"/>
      <c r="H612" s="1"/>
      <c r="I612" s="44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42"/>
      <c r="AE612" s="43"/>
      <c r="AF612" s="43"/>
      <c r="AG612" s="1"/>
    </row>
    <row r="613" spans="1:33" ht="44.25" customHeight="1" x14ac:dyDescent="0.25">
      <c r="A613" s="1"/>
      <c r="B613" s="1"/>
      <c r="C613" s="1"/>
      <c r="D613" s="1"/>
      <c r="E613" s="42"/>
      <c r="F613" s="43"/>
      <c r="G613" s="1"/>
      <c r="H613" s="1"/>
      <c r="I613" s="44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42"/>
      <c r="AE613" s="43"/>
      <c r="AF613" s="43"/>
      <c r="AG613" s="1"/>
    </row>
    <row r="614" spans="1:33" ht="44.25" customHeight="1" x14ac:dyDescent="0.25">
      <c r="A614" s="1"/>
      <c r="B614" s="1"/>
      <c r="C614" s="1"/>
      <c r="D614" s="1"/>
      <c r="E614" s="42"/>
      <c r="F614" s="43"/>
      <c r="G614" s="1"/>
      <c r="H614" s="1"/>
      <c r="I614" s="44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42"/>
      <c r="AE614" s="43"/>
      <c r="AF614" s="43"/>
      <c r="AG614" s="1"/>
    </row>
    <row r="615" spans="1:33" ht="44.25" customHeight="1" x14ac:dyDescent="0.25">
      <c r="A615" s="1"/>
      <c r="B615" s="1"/>
      <c r="C615" s="1"/>
      <c r="D615" s="1"/>
      <c r="E615" s="42"/>
      <c r="F615" s="43"/>
      <c r="G615" s="1"/>
      <c r="H615" s="1"/>
      <c r="I615" s="44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42"/>
      <c r="AE615" s="43"/>
      <c r="AF615" s="43"/>
      <c r="AG615" s="1"/>
    </row>
    <row r="616" spans="1:33" ht="44.25" customHeight="1" x14ac:dyDescent="0.25">
      <c r="A616" s="1"/>
      <c r="B616" s="1"/>
      <c r="C616" s="1"/>
      <c r="D616" s="1"/>
      <c r="E616" s="42"/>
      <c r="F616" s="43"/>
      <c r="G616" s="1"/>
      <c r="H616" s="1"/>
      <c r="I616" s="44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42"/>
      <c r="AE616" s="43"/>
      <c r="AF616" s="43"/>
      <c r="AG616" s="1"/>
    </row>
    <row r="617" spans="1:33" ht="44.25" customHeight="1" x14ac:dyDescent="0.25">
      <c r="A617" s="1"/>
      <c r="B617" s="1"/>
      <c r="C617" s="1"/>
      <c r="D617" s="1"/>
      <c r="E617" s="42"/>
      <c r="F617" s="43"/>
      <c r="G617" s="1"/>
      <c r="H617" s="1"/>
      <c r="I617" s="44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42"/>
      <c r="AE617" s="43"/>
      <c r="AF617" s="43"/>
      <c r="AG617" s="1"/>
    </row>
    <row r="618" spans="1:33" ht="44.25" customHeight="1" x14ac:dyDescent="0.25">
      <c r="A618" s="1"/>
      <c r="B618" s="1"/>
      <c r="C618" s="1"/>
      <c r="D618" s="1"/>
      <c r="E618" s="42"/>
      <c r="F618" s="43"/>
      <c r="G618" s="1"/>
      <c r="H618" s="1"/>
      <c r="I618" s="44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42"/>
      <c r="AE618" s="43"/>
      <c r="AF618" s="43"/>
      <c r="AG618" s="1"/>
    </row>
    <row r="619" spans="1:33" ht="44.25" customHeight="1" x14ac:dyDescent="0.25">
      <c r="A619" s="1"/>
      <c r="B619" s="1"/>
      <c r="C619" s="1"/>
      <c r="D619" s="1"/>
      <c r="E619" s="42"/>
      <c r="F619" s="43"/>
      <c r="G619" s="1"/>
      <c r="H619" s="1"/>
      <c r="I619" s="44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42"/>
      <c r="AE619" s="43"/>
      <c r="AF619" s="43"/>
      <c r="AG619" s="1"/>
    </row>
    <row r="620" spans="1:33" ht="44.25" customHeight="1" x14ac:dyDescent="0.25">
      <c r="A620" s="1"/>
      <c r="B620" s="1"/>
      <c r="C620" s="1"/>
      <c r="D620" s="1"/>
      <c r="E620" s="42"/>
      <c r="F620" s="43"/>
      <c r="G620" s="1"/>
      <c r="H620" s="1"/>
      <c r="I620" s="44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42"/>
      <c r="AE620" s="43"/>
      <c r="AF620" s="43"/>
      <c r="AG620" s="1"/>
    </row>
    <row r="621" spans="1:33" ht="44.25" customHeight="1" x14ac:dyDescent="0.25">
      <c r="A621" s="1"/>
      <c r="B621" s="1"/>
      <c r="C621" s="1"/>
      <c r="D621" s="1"/>
      <c r="E621" s="42"/>
      <c r="F621" s="43"/>
      <c r="G621" s="1"/>
      <c r="H621" s="1"/>
      <c r="I621" s="44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42"/>
      <c r="AE621" s="43"/>
      <c r="AF621" s="43"/>
      <c r="AG621" s="1"/>
    </row>
    <row r="622" spans="1:33" ht="44.25" customHeight="1" x14ac:dyDescent="0.25">
      <c r="A622" s="1"/>
      <c r="B622" s="1"/>
      <c r="C622" s="1"/>
      <c r="D622" s="1"/>
      <c r="E622" s="42"/>
      <c r="F622" s="43"/>
      <c r="G622" s="1"/>
      <c r="H622" s="1"/>
      <c r="I622" s="44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42"/>
      <c r="AE622" s="43"/>
      <c r="AF622" s="43"/>
      <c r="AG622" s="1"/>
    </row>
    <row r="623" spans="1:33" ht="44.25" customHeight="1" x14ac:dyDescent="0.25">
      <c r="A623" s="1"/>
      <c r="B623" s="1"/>
      <c r="C623" s="1"/>
      <c r="D623" s="1"/>
      <c r="E623" s="42"/>
      <c r="F623" s="43"/>
      <c r="G623" s="1"/>
      <c r="H623" s="1"/>
      <c r="I623" s="44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42"/>
      <c r="AE623" s="43"/>
      <c r="AF623" s="43"/>
      <c r="AG623" s="1"/>
    </row>
    <row r="624" spans="1:33" ht="44.25" customHeight="1" x14ac:dyDescent="0.25">
      <c r="A624" s="1"/>
      <c r="B624" s="1"/>
      <c r="C624" s="1"/>
      <c r="D624" s="1"/>
      <c r="E624" s="42"/>
      <c r="F624" s="43"/>
      <c r="G624" s="1"/>
      <c r="H624" s="1"/>
      <c r="I624" s="44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42"/>
      <c r="AE624" s="43"/>
      <c r="AF624" s="43"/>
      <c r="AG624" s="1"/>
    </row>
    <row r="625" spans="1:33" ht="44.25" customHeight="1" x14ac:dyDescent="0.25">
      <c r="A625" s="1"/>
      <c r="B625" s="1"/>
      <c r="C625" s="1"/>
      <c r="D625" s="1"/>
      <c r="E625" s="42"/>
      <c r="F625" s="43"/>
      <c r="G625" s="1"/>
      <c r="H625" s="1"/>
      <c r="I625" s="44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42"/>
      <c r="AE625" s="43"/>
      <c r="AF625" s="43"/>
      <c r="AG625" s="1"/>
    </row>
    <row r="626" spans="1:33" ht="44.25" customHeight="1" x14ac:dyDescent="0.25">
      <c r="A626" s="1"/>
      <c r="B626" s="1"/>
      <c r="C626" s="1"/>
      <c r="D626" s="1"/>
      <c r="E626" s="42"/>
      <c r="F626" s="43"/>
      <c r="G626" s="1"/>
      <c r="H626" s="1"/>
      <c r="I626" s="44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42"/>
      <c r="AE626" s="43"/>
      <c r="AF626" s="43"/>
      <c r="AG626" s="1"/>
    </row>
    <row r="627" spans="1:33" ht="44.25" customHeight="1" x14ac:dyDescent="0.25">
      <c r="A627" s="1"/>
      <c r="B627" s="1"/>
      <c r="C627" s="1"/>
      <c r="D627" s="1"/>
      <c r="E627" s="42"/>
      <c r="F627" s="43"/>
      <c r="G627" s="1"/>
      <c r="H627" s="1"/>
      <c r="I627" s="44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42"/>
      <c r="AE627" s="43"/>
      <c r="AF627" s="43"/>
      <c r="AG627" s="1"/>
    </row>
    <row r="628" spans="1:33" ht="44.25" customHeight="1" x14ac:dyDescent="0.25">
      <c r="A628" s="1"/>
      <c r="B628" s="1"/>
      <c r="C628" s="1"/>
      <c r="D628" s="1"/>
      <c r="E628" s="42"/>
      <c r="F628" s="43"/>
      <c r="G628" s="1"/>
      <c r="H628" s="1"/>
      <c r="I628" s="44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42"/>
      <c r="AE628" s="43"/>
      <c r="AF628" s="43"/>
      <c r="AG628" s="1"/>
    </row>
    <row r="629" spans="1:33" ht="44.25" customHeight="1" x14ac:dyDescent="0.25">
      <c r="A629" s="1"/>
      <c r="B629" s="1"/>
      <c r="C629" s="1"/>
      <c r="D629" s="1"/>
      <c r="E629" s="42"/>
      <c r="F629" s="43"/>
      <c r="G629" s="1"/>
      <c r="H629" s="1"/>
      <c r="I629" s="44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42"/>
      <c r="AE629" s="43"/>
      <c r="AF629" s="43"/>
      <c r="AG629" s="1"/>
    </row>
    <row r="630" spans="1:33" ht="44.25" customHeight="1" x14ac:dyDescent="0.25">
      <c r="A630" s="1"/>
      <c r="B630" s="1"/>
      <c r="C630" s="1"/>
      <c r="D630" s="1"/>
      <c r="E630" s="42"/>
      <c r="F630" s="43"/>
      <c r="G630" s="1"/>
      <c r="H630" s="1"/>
      <c r="I630" s="44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42"/>
      <c r="AE630" s="43"/>
      <c r="AF630" s="43"/>
      <c r="AG630" s="1"/>
    </row>
    <row r="631" spans="1:33" ht="44.25" customHeight="1" x14ac:dyDescent="0.25">
      <c r="A631" s="1"/>
      <c r="B631" s="1"/>
      <c r="C631" s="1"/>
      <c r="D631" s="1"/>
      <c r="E631" s="42"/>
      <c r="F631" s="43"/>
      <c r="G631" s="1"/>
      <c r="H631" s="1"/>
      <c r="I631" s="44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42"/>
      <c r="AE631" s="43"/>
      <c r="AF631" s="43"/>
      <c r="AG631" s="1"/>
    </row>
    <row r="632" spans="1:33" ht="44.25" customHeight="1" x14ac:dyDescent="0.25">
      <c r="A632" s="1"/>
      <c r="B632" s="1"/>
      <c r="C632" s="1"/>
      <c r="D632" s="1"/>
      <c r="E632" s="42"/>
      <c r="F632" s="43"/>
      <c r="G632" s="1"/>
      <c r="H632" s="1"/>
      <c r="I632" s="44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42"/>
      <c r="AE632" s="43"/>
      <c r="AF632" s="43"/>
      <c r="AG632" s="1"/>
    </row>
    <row r="633" spans="1:33" ht="44.25" customHeight="1" x14ac:dyDescent="0.25">
      <c r="A633" s="1"/>
      <c r="B633" s="1"/>
      <c r="C633" s="1"/>
      <c r="D633" s="1"/>
      <c r="E633" s="42"/>
      <c r="F633" s="43"/>
      <c r="G633" s="1"/>
      <c r="H633" s="1"/>
      <c r="I633" s="44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42"/>
      <c r="AE633" s="43"/>
      <c r="AF633" s="43"/>
      <c r="AG633" s="1"/>
    </row>
    <row r="634" spans="1:33" ht="44.25" customHeight="1" x14ac:dyDescent="0.25">
      <c r="A634" s="1"/>
      <c r="B634" s="1"/>
      <c r="C634" s="1"/>
      <c r="D634" s="1"/>
      <c r="E634" s="42"/>
      <c r="F634" s="43"/>
      <c r="G634" s="1"/>
      <c r="H634" s="1"/>
      <c r="I634" s="44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42"/>
      <c r="AE634" s="43"/>
      <c r="AF634" s="43"/>
      <c r="AG634" s="1"/>
    </row>
    <row r="635" spans="1:33" ht="44.25" customHeight="1" x14ac:dyDescent="0.25">
      <c r="A635" s="1"/>
      <c r="B635" s="1"/>
      <c r="C635" s="1"/>
      <c r="D635" s="1"/>
      <c r="E635" s="42"/>
      <c r="F635" s="43"/>
      <c r="G635" s="1"/>
      <c r="H635" s="1"/>
      <c r="I635" s="44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42"/>
      <c r="AE635" s="43"/>
      <c r="AF635" s="43"/>
      <c r="AG635" s="1"/>
    </row>
    <row r="636" spans="1:33" ht="44.25" customHeight="1" x14ac:dyDescent="0.25">
      <c r="A636" s="1"/>
      <c r="B636" s="1"/>
      <c r="C636" s="1"/>
      <c r="D636" s="1"/>
      <c r="E636" s="42"/>
      <c r="F636" s="43"/>
      <c r="G636" s="1"/>
      <c r="H636" s="1"/>
      <c r="I636" s="44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42"/>
      <c r="AE636" s="43"/>
      <c r="AF636" s="43"/>
      <c r="AG636" s="1"/>
    </row>
    <row r="637" spans="1:33" ht="44.25" customHeight="1" x14ac:dyDescent="0.25">
      <c r="A637" s="1"/>
      <c r="B637" s="1"/>
      <c r="C637" s="1"/>
      <c r="D637" s="1"/>
      <c r="E637" s="42"/>
      <c r="F637" s="43"/>
      <c r="G637" s="1"/>
      <c r="H637" s="1"/>
      <c r="I637" s="44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42"/>
      <c r="AE637" s="43"/>
      <c r="AF637" s="43"/>
      <c r="AG637" s="1"/>
    </row>
    <row r="638" spans="1:33" ht="44.25" customHeight="1" x14ac:dyDescent="0.25">
      <c r="A638" s="1"/>
      <c r="B638" s="1"/>
      <c r="C638" s="1"/>
      <c r="D638" s="1"/>
      <c r="E638" s="42"/>
      <c r="F638" s="43"/>
      <c r="G638" s="1"/>
      <c r="H638" s="1"/>
      <c r="I638" s="44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42"/>
      <c r="AE638" s="43"/>
      <c r="AF638" s="43"/>
      <c r="AG638" s="1"/>
    </row>
    <row r="639" spans="1:33" ht="44.25" customHeight="1" x14ac:dyDescent="0.25">
      <c r="A639" s="1"/>
      <c r="B639" s="1"/>
      <c r="C639" s="1"/>
      <c r="D639" s="1"/>
      <c r="E639" s="42"/>
      <c r="F639" s="43"/>
      <c r="G639" s="1"/>
      <c r="H639" s="1"/>
      <c r="I639" s="44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42"/>
      <c r="AE639" s="43"/>
      <c r="AF639" s="43"/>
      <c r="AG639" s="1"/>
    </row>
    <row r="640" spans="1:33" ht="44.25" customHeight="1" x14ac:dyDescent="0.25">
      <c r="A640" s="1"/>
      <c r="B640" s="1"/>
      <c r="C640" s="1"/>
      <c r="D640" s="1"/>
      <c r="E640" s="42"/>
      <c r="F640" s="43"/>
      <c r="G640" s="1"/>
      <c r="H640" s="1"/>
      <c r="I640" s="44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42"/>
      <c r="AE640" s="43"/>
      <c r="AF640" s="43"/>
      <c r="AG640" s="1"/>
    </row>
    <row r="641" spans="1:33" ht="44.25" customHeight="1" x14ac:dyDescent="0.25">
      <c r="A641" s="1"/>
      <c r="B641" s="1"/>
      <c r="C641" s="1"/>
      <c r="D641" s="1"/>
      <c r="E641" s="42"/>
      <c r="F641" s="43"/>
      <c r="G641" s="1"/>
      <c r="H641" s="1"/>
      <c r="I641" s="44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42"/>
      <c r="AE641" s="43"/>
      <c r="AF641" s="43"/>
      <c r="AG641" s="1"/>
    </row>
    <row r="642" spans="1:33" ht="44.25" customHeight="1" x14ac:dyDescent="0.25">
      <c r="A642" s="1"/>
      <c r="B642" s="1"/>
      <c r="C642" s="1"/>
      <c r="D642" s="1"/>
      <c r="E642" s="42"/>
      <c r="F642" s="43"/>
      <c r="G642" s="1"/>
      <c r="H642" s="1"/>
      <c r="I642" s="44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42"/>
      <c r="AE642" s="43"/>
      <c r="AF642" s="43"/>
      <c r="AG642" s="1"/>
    </row>
    <row r="643" spans="1:33" ht="44.25" customHeight="1" x14ac:dyDescent="0.25">
      <c r="A643" s="1"/>
      <c r="B643" s="1"/>
      <c r="C643" s="1"/>
      <c r="D643" s="1"/>
      <c r="E643" s="42"/>
      <c r="F643" s="43"/>
      <c r="G643" s="1"/>
      <c r="H643" s="1"/>
      <c r="I643" s="44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42"/>
      <c r="AE643" s="43"/>
      <c r="AF643" s="43"/>
      <c r="AG643" s="1"/>
    </row>
    <row r="644" spans="1:33" ht="44.25" customHeight="1" x14ac:dyDescent="0.25">
      <c r="A644" s="1"/>
      <c r="B644" s="1"/>
      <c r="C644" s="1"/>
      <c r="D644" s="1"/>
      <c r="E644" s="42"/>
      <c r="F644" s="43"/>
      <c r="G644" s="1"/>
      <c r="H644" s="1"/>
      <c r="I644" s="44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42"/>
      <c r="AE644" s="43"/>
      <c r="AF644" s="43"/>
      <c r="AG644" s="1"/>
    </row>
    <row r="645" spans="1:33" ht="44.25" customHeight="1" x14ac:dyDescent="0.25">
      <c r="A645" s="1"/>
      <c r="B645" s="1"/>
      <c r="C645" s="1"/>
      <c r="D645" s="1"/>
      <c r="E645" s="42"/>
      <c r="F645" s="43"/>
      <c r="G645" s="1"/>
      <c r="H645" s="1"/>
      <c r="I645" s="44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42"/>
      <c r="AE645" s="43"/>
      <c r="AF645" s="43"/>
      <c r="AG645" s="1"/>
    </row>
    <row r="646" spans="1:33" ht="44.25" customHeight="1" x14ac:dyDescent="0.25">
      <c r="A646" s="1"/>
      <c r="B646" s="1"/>
      <c r="C646" s="1"/>
      <c r="D646" s="1"/>
      <c r="E646" s="42"/>
      <c r="F646" s="43"/>
      <c r="G646" s="1"/>
      <c r="H646" s="1"/>
      <c r="I646" s="44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42"/>
      <c r="AE646" s="43"/>
      <c r="AF646" s="43"/>
      <c r="AG646" s="1"/>
    </row>
    <row r="647" spans="1:33" ht="44.25" customHeight="1" x14ac:dyDescent="0.25">
      <c r="A647" s="1"/>
      <c r="B647" s="1"/>
      <c r="C647" s="1"/>
      <c r="D647" s="1"/>
      <c r="E647" s="42"/>
      <c r="F647" s="43"/>
      <c r="G647" s="1"/>
      <c r="H647" s="1"/>
      <c r="I647" s="44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42"/>
      <c r="AE647" s="43"/>
      <c r="AF647" s="43"/>
      <c r="AG647" s="1"/>
    </row>
    <row r="648" spans="1:33" ht="44.25" customHeight="1" x14ac:dyDescent="0.25">
      <c r="A648" s="1"/>
      <c r="B648" s="1"/>
      <c r="C648" s="1"/>
      <c r="D648" s="1"/>
      <c r="E648" s="42"/>
      <c r="F648" s="43"/>
      <c r="G648" s="1"/>
      <c r="H648" s="1"/>
      <c r="I648" s="44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42"/>
      <c r="AE648" s="43"/>
      <c r="AF648" s="43"/>
      <c r="AG648" s="1"/>
    </row>
    <row r="649" spans="1:33" ht="44.25" customHeight="1" x14ac:dyDescent="0.25">
      <c r="A649" s="1"/>
      <c r="B649" s="1"/>
      <c r="C649" s="1"/>
      <c r="D649" s="1"/>
      <c r="E649" s="42"/>
      <c r="F649" s="43"/>
      <c r="G649" s="1"/>
      <c r="H649" s="1"/>
      <c r="I649" s="44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42"/>
      <c r="AE649" s="43"/>
      <c r="AF649" s="43"/>
      <c r="AG649" s="1"/>
    </row>
    <row r="650" spans="1:33" ht="44.25" customHeight="1" x14ac:dyDescent="0.25">
      <c r="A650" s="1"/>
      <c r="B650" s="1"/>
      <c r="C650" s="1"/>
      <c r="D650" s="1"/>
      <c r="E650" s="42"/>
      <c r="F650" s="43"/>
      <c r="G650" s="1"/>
      <c r="H650" s="1"/>
      <c r="I650" s="44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42"/>
      <c r="AE650" s="43"/>
      <c r="AF650" s="43"/>
      <c r="AG650" s="1"/>
    </row>
    <row r="651" spans="1:33" ht="44.25" customHeight="1" x14ac:dyDescent="0.25">
      <c r="A651" s="1"/>
      <c r="B651" s="1"/>
      <c r="C651" s="1"/>
      <c r="D651" s="1"/>
      <c r="E651" s="42"/>
      <c r="F651" s="43"/>
      <c r="G651" s="1"/>
      <c r="H651" s="1"/>
      <c r="I651" s="44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42"/>
      <c r="AE651" s="43"/>
      <c r="AF651" s="43"/>
      <c r="AG651" s="1"/>
    </row>
    <row r="652" spans="1:33" ht="44.25" customHeight="1" x14ac:dyDescent="0.25">
      <c r="A652" s="1"/>
      <c r="B652" s="1"/>
      <c r="C652" s="1"/>
      <c r="D652" s="1"/>
      <c r="E652" s="42"/>
      <c r="F652" s="43"/>
      <c r="G652" s="1"/>
      <c r="H652" s="1"/>
      <c r="I652" s="44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42"/>
      <c r="AE652" s="43"/>
      <c r="AF652" s="43"/>
      <c r="AG652" s="1"/>
    </row>
    <row r="653" spans="1:33" ht="44.25" customHeight="1" x14ac:dyDescent="0.25">
      <c r="A653" s="1"/>
      <c r="B653" s="1"/>
      <c r="C653" s="1"/>
      <c r="D653" s="1"/>
      <c r="E653" s="42"/>
      <c r="F653" s="43"/>
      <c r="G653" s="1"/>
      <c r="H653" s="1"/>
      <c r="I653" s="44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42"/>
      <c r="AE653" s="43"/>
      <c r="AF653" s="43"/>
      <c r="AG653" s="1"/>
    </row>
    <row r="654" spans="1:33" ht="44.25" customHeight="1" x14ac:dyDescent="0.25">
      <c r="A654" s="1"/>
      <c r="B654" s="1"/>
      <c r="C654" s="1"/>
      <c r="D654" s="1"/>
      <c r="E654" s="42"/>
      <c r="F654" s="43"/>
      <c r="G654" s="1"/>
      <c r="H654" s="1"/>
      <c r="I654" s="44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42"/>
      <c r="AE654" s="43"/>
      <c r="AF654" s="43"/>
      <c r="AG654" s="1"/>
    </row>
    <row r="655" spans="1:33" ht="44.25" customHeight="1" x14ac:dyDescent="0.25">
      <c r="A655" s="1"/>
      <c r="B655" s="1"/>
      <c r="C655" s="1"/>
      <c r="D655" s="1"/>
      <c r="E655" s="42"/>
      <c r="F655" s="43"/>
      <c r="G655" s="1"/>
      <c r="H655" s="1"/>
      <c r="I655" s="44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42"/>
      <c r="AE655" s="43"/>
      <c r="AF655" s="43"/>
      <c r="AG655" s="1"/>
    </row>
    <row r="656" spans="1:33" ht="44.25" customHeight="1" x14ac:dyDescent="0.25">
      <c r="A656" s="1"/>
      <c r="B656" s="1"/>
      <c r="C656" s="1"/>
      <c r="D656" s="1"/>
      <c r="E656" s="42"/>
      <c r="F656" s="43"/>
      <c r="G656" s="1"/>
      <c r="H656" s="1"/>
      <c r="I656" s="44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42"/>
      <c r="AE656" s="43"/>
      <c r="AF656" s="43"/>
      <c r="AG656" s="1"/>
    </row>
    <row r="657" spans="1:33" ht="44.25" customHeight="1" x14ac:dyDescent="0.25">
      <c r="A657" s="1"/>
      <c r="B657" s="1"/>
      <c r="C657" s="1"/>
      <c r="D657" s="1"/>
      <c r="E657" s="42"/>
      <c r="F657" s="43"/>
      <c r="G657" s="1"/>
      <c r="H657" s="1"/>
      <c r="I657" s="44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42"/>
      <c r="AE657" s="43"/>
      <c r="AF657" s="43"/>
      <c r="AG657" s="1"/>
    </row>
    <row r="658" spans="1:33" ht="44.25" customHeight="1" x14ac:dyDescent="0.25">
      <c r="A658" s="1"/>
      <c r="B658" s="1"/>
      <c r="C658" s="1"/>
      <c r="D658" s="1"/>
      <c r="E658" s="42"/>
      <c r="F658" s="43"/>
      <c r="G658" s="1"/>
      <c r="H658" s="1"/>
      <c r="I658" s="44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42"/>
      <c r="AE658" s="43"/>
      <c r="AF658" s="43"/>
      <c r="AG658" s="1"/>
    </row>
    <row r="659" spans="1:33" ht="44.25" customHeight="1" x14ac:dyDescent="0.25">
      <c r="A659" s="1"/>
      <c r="B659" s="1"/>
      <c r="C659" s="1"/>
      <c r="D659" s="1"/>
      <c r="E659" s="42"/>
      <c r="F659" s="43"/>
      <c r="G659" s="1"/>
      <c r="H659" s="1"/>
      <c r="I659" s="44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42"/>
      <c r="AE659" s="43"/>
      <c r="AF659" s="43"/>
      <c r="AG659" s="1"/>
    </row>
    <row r="660" spans="1:33" ht="44.25" customHeight="1" x14ac:dyDescent="0.25">
      <c r="A660" s="1"/>
      <c r="B660" s="1"/>
      <c r="C660" s="1"/>
      <c r="D660" s="1"/>
      <c r="E660" s="42"/>
      <c r="F660" s="43"/>
      <c r="G660" s="1"/>
      <c r="H660" s="1"/>
      <c r="I660" s="44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42"/>
      <c r="AE660" s="43"/>
      <c r="AF660" s="43"/>
      <c r="AG660" s="1"/>
    </row>
    <row r="661" spans="1:33" ht="44.25" customHeight="1" x14ac:dyDescent="0.25">
      <c r="A661" s="1"/>
      <c r="B661" s="1"/>
      <c r="C661" s="1"/>
      <c r="D661" s="1"/>
      <c r="E661" s="42"/>
      <c r="F661" s="43"/>
      <c r="G661" s="1"/>
      <c r="H661" s="1"/>
      <c r="I661" s="44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42"/>
      <c r="AE661" s="43"/>
      <c r="AF661" s="43"/>
      <c r="AG661" s="1"/>
    </row>
    <row r="662" spans="1:33" ht="44.25" customHeight="1" x14ac:dyDescent="0.25">
      <c r="A662" s="1"/>
      <c r="B662" s="1"/>
      <c r="C662" s="1"/>
      <c r="D662" s="1"/>
      <c r="E662" s="42"/>
      <c r="F662" s="43"/>
      <c r="G662" s="1"/>
      <c r="H662" s="1"/>
      <c r="I662" s="44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42"/>
      <c r="AE662" s="43"/>
      <c r="AF662" s="43"/>
      <c r="AG662" s="1"/>
    </row>
    <row r="663" spans="1:33" ht="44.25" customHeight="1" x14ac:dyDescent="0.25">
      <c r="A663" s="1"/>
      <c r="B663" s="1"/>
      <c r="C663" s="1"/>
      <c r="D663" s="1"/>
      <c r="E663" s="42"/>
      <c r="F663" s="43"/>
      <c r="G663" s="1"/>
      <c r="H663" s="1"/>
      <c r="I663" s="44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42"/>
      <c r="AE663" s="43"/>
      <c r="AF663" s="43"/>
      <c r="AG663" s="1"/>
    </row>
    <row r="664" spans="1:33" ht="44.25" customHeight="1" x14ac:dyDescent="0.25">
      <c r="A664" s="1"/>
      <c r="B664" s="1"/>
      <c r="C664" s="1"/>
      <c r="D664" s="1"/>
      <c r="E664" s="42"/>
      <c r="F664" s="43"/>
      <c r="G664" s="1"/>
      <c r="H664" s="1"/>
      <c r="I664" s="44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42"/>
      <c r="AE664" s="43"/>
      <c r="AF664" s="43"/>
      <c r="AG664" s="1"/>
    </row>
    <row r="665" spans="1:33" ht="44.25" customHeight="1" x14ac:dyDescent="0.25">
      <c r="A665" s="1"/>
      <c r="B665" s="1"/>
      <c r="C665" s="1"/>
      <c r="D665" s="1"/>
      <c r="E665" s="42"/>
      <c r="F665" s="43"/>
      <c r="G665" s="1"/>
      <c r="H665" s="1"/>
      <c r="I665" s="44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42"/>
      <c r="AE665" s="43"/>
      <c r="AF665" s="43"/>
      <c r="AG665" s="1"/>
    </row>
    <row r="666" spans="1:33" ht="44.25" customHeight="1" x14ac:dyDescent="0.25">
      <c r="A666" s="1"/>
      <c r="B666" s="1"/>
      <c r="C666" s="1"/>
      <c r="D666" s="1"/>
      <c r="E666" s="42"/>
      <c r="F666" s="43"/>
      <c r="G666" s="1"/>
      <c r="H666" s="1"/>
      <c r="I666" s="44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42"/>
      <c r="AE666" s="43"/>
      <c r="AF666" s="43"/>
      <c r="AG666" s="1"/>
    </row>
    <row r="667" spans="1:33" ht="44.25" customHeight="1" x14ac:dyDescent="0.25">
      <c r="A667" s="1"/>
      <c r="B667" s="1"/>
      <c r="C667" s="1"/>
      <c r="D667" s="1"/>
      <c r="E667" s="42"/>
      <c r="F667" s="43"/>
      <c r="G667" s="1"/>
      <c r="H667" s="1"/>
      <c r="I667" s="44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42"/>
      <c r="AE667" s="43"/>
      <c r="AF667" s="43"/>
      <c r="AG667" s="1"/>
    </row>
    <row r="668" spans="1:33" ht="44.25" customHeight="1" x14ac:dyDescent="0.25">
      <c r="A668" s="1"/>
      <c r="B668" s="1"/>
      <c r="C668" s="1"/>
      <c r="D668" s="1"/>
      <c r="E668" s="42"/>
      <c r="F668" s="43"/>
      <c r="G668" s="1"/>
      <c r="H668" s="1"/>
      <c r="I668" s="44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42"/>
      <c r="AE668" s="43"/>
      <c r="AF668" s="43"/>
      <c r="AG668" s="1"/>
    </row>
    <row r="669" spans="1:33" ht="44.25" customHeight="1" x14ac:dyDescent="0.25">
      <c r="A669" s="1"/>
      <c r="B669" s="1"/>
      <c r="C669" s="1"/>
      <c r="D669" s="1"/>
      <c r="E669" s="42"/>
      <c r="F669" s="43"/>
      <c r="G669" s="1"/>
      <c r="H669" s="1"/>
      <c r="I669" s="44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42"/>
      <c r="AE669" s="43"/>
      <c r="AF669" s="43"/>
      <c r="AG669" s="1"/>
    </row>
    <row r="670" spans="1:33" ht="44.25" customHeight="1" x14ac:dyDescent="0.25">
      <c r="A670" s="1"/>
      <c r="B670" s="1"/>
      <c r="C670" s="1"/>
      <c r="D670" s="1"/>
      <c r="E670" s="42"/>
      <c r="F670" s="43"/>
      <c r="G670" s="1"/>
      <c r="H670" s="1"/>
      <c r="I670" s="44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42"/>
      <c r="AE670" s="43"/>
      <c r="AF670" s="43"/>
      <c r="AG670" s="1"/>
    </row>
    <row r="671" spans="1:33" ht="44.25" customHeight="1" x14ac:dyDescent="0.25">
      <c r="A671" s="1"/>
      <c r="B671" s="1"/>
      <c r="C671" s="1"/>
      <c r="D671" s="1"/>
      <c r="E671" s="42"/>
      <c r="F671" s="43"/>
      <c r="G671" s="1"/>
      <c r="H671" s="1"/>
      <c r="I671" s="44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42"/>
      <c r="AE671" s="43"/>
      <c r="AF671" s="43"/>
      <c r="AG671" s="1"/>
    </row>
    <row r="672" spans="1:33" ht="44.25" customHeight="1" x14ac:dyDescent="0.25">
      <c r="A672" s="1"/>
      <c r="B672" s="1"/>
      <c r="C672" s="1"/>
      <c r="D672" s="1"/>
      <c r="E672" s="42"/>
      <c r="F672" s="43"/>
      <c r="G672" s="1"/>
      <c r="H672" s="1"/>
      <c r="I672" s="44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42"/>
      <c r="AE672" s="43"/>
      <c r="AF672" s="43"/>
      <c r="AG672" s="1"/>
    </row>
    <row r="673" spans="1:33" ht="44.25" customHeight="1" x14ac:dyDescent="0.25">
      <c r="A673" s="1"/>
      <c r="B673" s="1"/>
      <c r="C673" s="1"/>
      <c r="D673" s="1"/>
      <c r="E673" s="42"/>
      <c r="F673" s="43"/>
      <c r="G673" s="1"/>
      <c r="H673" s="1"/>
      <c r="I673" s="44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42"/>
      <c r="AE673" s="43"/>
      <c r="AF673" s="43"/>
      <c r="AG673" s="1"/>
    </row>
    <row r="674" spans="1:33" ht="44.25" customHeight="1" x14ac:dyDescent="0.25">
      <c r="A674" s="1"/>
      <c r="B674" s="1"/>
      <c r="C674" s="1"/>
      <c r="D674" s="1"/>
      <c r="E674" s="42"/>
      <c r="F674" s="43"/>
      <c r="G674" s="1"/>
      <c r="H674" s="1"/>
      <c r="I674" s="44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42"/>
      <c r="AE674" s="43"/>
      <c r="AF674" s="43"/>
      <c r="AG674" s="1"/>
    </row>
    <row r="675" spans="1:33" ht="44.25" customHeight="1" x14ac:dyDescent="0.25">
      <c r="A675" s="1"/>
      <c r="B675" s="1"/>
      <c r="C675" s="1"/>
      <c r="D675" s="1"/>
      <c r="E675" s="42"/>
      <c r="F675" s="43"/>
      <c r="G675" s="1"/>
      <c r="H675" s="1"/>
      <c r="I675" s="44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42"/>
      <c r="AE675" s="43"/>
      <c r="AF675" s="43"/>
      <c r="AG675" s="1"/>
    </row>
    <row r="676" spans="1:33" ht="44.25" customHeight="1" x14ac:dyDescent="0.25">
      <c r="A676" s="1"/>
      <c r="B676" s="1"/>
      <c r="C676" s="1"/>
      <c r="D676" s="1"/>
      <c r="E676" s="42"/>
      <c r="F676" s="43"/>
      <c r="G676" s="1"/>
      <c r="H676" s="1"/>
      <c r="I676" s="44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42"/>
      <c r="AE676" s="43"/>
      <c r="AF676" s="43"/>
      <c r="AG676" s="1"/>
    </row>
    <row r="677" spans="1:33" ht="44.25" customHeight="1" x14ac:dyDescent="0.25">
      <c r="A677" s="1"/>
      <c r="B677" s="1"/>
      <c r="C677" s="1"/>
      <c r="D677" s="1"/>
      <c r="E677" s="42"/>
      <c r="F677" s="43"/>
      <c r="G677" s="1"/>
      <c r="H677" s="1"/>
      <c r="I677" s="44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42"/>
      <c r="AE677" s="43"/>
      <c r="AF677" s="43"/>
      <c r="AG677" s="1"/>
    </row>
    <row r="678" spans="1:33" ht="44.25" customHeight="1" x14ac:dyDescent="0.25">
      <c r="A678" s="1"/>
      <c r="B678" s="1"/>
      <c r="C678" s="1"/>
      <c r="D678" s="1"/>
      <c r="E678" s="42"/>
      <c r="F678" s="43"/>
      <c r="G678" s="1"/>
      <c r="H678" s="1"/>
      <c r="I678" s="44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42"/>
      <c r="AE678" s="43"/>
      <c r="AF678" s="43"/>
      <c r="AG678" s="1"/>
    </row>
    <row r="679" spans="1:33" ht="44.25" customHeight="1" x14ac:dyDescent="0.25">
      <c r="A679" s="1"/>
      <c r="B679" s="1"/>
      <c r="C679" s="1"/>
      <c r="D679" s="1"/>
      <c r="E679" s="42"/>
      <c r="F679" s="43"/>
      <c r="G679" s="1"/>
      <c r="H679" s="1"/>
      <c r="I679" s="44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42"/>
      <c r="AE679" s="43"/>
      <c r="AF679" s="43"/>
      <c r="AG679" s="1"/>
    </row>
    <row r="680" spans="1:33" ht="44.25" customHeight="1" x14ac:dyDescent="0.25">
      <c r="A680" s="1"/>
      <c r="B680" s="1"/>
      <c r="C680" s="1"/>
      <c r="D680" s="1"/>
      <c r="E680" s="42"/>
      <c r="F680" s="43"/>
      <c r="G680" s="1"/>
      <c r="H680" s="1"/>
      <c r="I680" s="44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42"/>
      <c r="AE680" s="43"/>
      <c r="AF680" s="43"/>
      <c r="AG680" s="1"/>
    </row>
    <row r="681" spans="1:33" ht="44.25" customHeight="1" x14ac:dyDescent="0.25">
      <c r="A681" s="1"/>
      <c r="B681" s="1"/>
      <c r="C681" s="1"/>
      <c r="D681" s="1"/>
      <c r="E681" s="42"/>
      <c r="F681" s="43"/>
      <c r="G681" s="1"/>
      <c r="H681" s="1"/>
      <c r="I681" s="44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42"/>
      <c r="AE681" s="43"/>
      <c r="AF681" s="43"/>
      <c r="AG681" s="1"/>
    </row>
    <row r="682" spans="1:33" ht="44.25" customHeight="1" x14ac:dyDescent="0.25">
      <c r="A682" s="1"/>
      <c r="B682" s="1"/>
      <c r="C682" s="1"/>
      <c r="D682" s="1"/>
      <c r="E682" s="42"/>
      <c r="F682" s="43"/>
      <c r="G682" s="1"/>
      <c r="H682" s="1"/>
      <c r="I682" s="44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42"/>
      <c r="AE682" s="43"/>
      <c r="AF682" s="43"/>
      <c r="AG682" s="1"/>
    </row>
    <row r="683" spans="1:33" ht="44.25" customHeight="1" x14ac:dyDescent="0.25">
      <c r="A683" s="1"/>
      <c r="B683" s="1"/>
      <c r="C683" s="1"/>
      <c r="D683" s="1"/>
      <c r="E683" s="42"/>
      <c r="F683" s="43"/>
      <c r="G683" s="1"/>
      <c r="H683" s="1"/>
      <c r="I683" s="44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42"/>
      <c r="AE683" s="43"/>
      <c r="AF683" s="43"/>
      <c r="AG683" s="1"/>
    </row>
    <row r="684" spans="1:33" ht="44.25" customHeight="1" x14ac:dyDescent="0.25">
      <c r="A684" s="1"/>
      <c r="B684" s="1"/>
      <c r="C684" s="1"/>
      <c r="D684" s="1"/>
      <c r="E684" s="42"/>
      <c r="F684" s="43"/>
      <c r="G684" s="1"/>
      <c r="H684" s="1"/>
      <c r="I684" s="44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42"/>
      <c r="AE684" s="43"/>
      <c r="AF684" s="43"/>
      <c r="AG684" s="1"/>
    </row>
    <row r="685" spans="1:33" ht="44.25" customHeight="1" x14ac:dyDescent="0.25">
      <c r="A685" s="1"/>
      <c r="B685" s="1"/>
      <c r="C685" s="1"/>
      <c r="D685" s="1"/>
      <c r="E685" s="42"/>
      <c r="F685" s="43"/>
      <c r="G685" s="1"/>
      <c r="H685" s="1"/>
      <c r="I685" s="44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42"/>
      <c r="AE685" s="43"/>
      <c r="AF685" s="43"/>
      <c r="AG685" s="1"/>
    </row>
    <row r="686" spans="1:33" ht="44.25" customHeight="1" x14ac:dyDescent="0.25">
      <c r="A686" s="1"/>
      <c r="B686" s="1"/>
      <c r="C686" s="1"/>
      <c r="D686" s="1"/>
      <c r="E686" s="42"/>
      <c r="F686" s="43"/>
      <c r="G686" s="1"/>
      <c r="H686" s="1"/>
      <c r="I686" s="44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42"/>
      <c r="AE686" s="43"/>
      <c r="AF686" s="43"/>
      <c r="AG686" s="1"/>
    </row>
    <row r="687" spans="1:33" ht="44.25" customHeight="1" x14ac:dyDescent="0.25">
      <c r="A687" s="1"/>
      <c r="B687" s="1"/>
      <c r="C687" s="1"/>
      <c r="D687" s="1"/>
      <c r="E687" s="42"/>
      <c r="F687" s="43"/>
      <c r="G687" s="1"/>
      <c r="H687" s="1"/>
      <c r="I687" s="44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42"/>
      <c r="AE687" s="43"/>
      <c r="AF687" s="43"/>
      <c r="AG687" s="1"/>
    </row>
    <row r="688" spans="1:33" ht="44.25" customHeight="1" x14ac:dyDescent="0.25">
      <c r="A688" s="1"/>
      <c r="B688" s="1"/>
      <c r="C688" s="1"/>
      <c r="D688" s="1"/>
      <c r="E688" s="42"/>
      <c r="F688" s="43"/>
      <c r="G688" s="1"/>
      <c r="H688" s="1"/>
      <c r="I688" s="44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42"/>
      <c r="AE688" s="43"/>
      <c r="AF688" s="43"/>
      <c r="AG688" s="1"/>
    </row>
    <row r="689" spans="1:33" ht="44.25" customHeight="1" x14ac:dyDescent="0.25">
      <c r="A689" s="1"/>
      <c r="B689" s="1"/>
      <c r="C689" s="1"/>
      <c r="D689" s="1"/>
      <c r="E689" s="42"/>
      <c r="F689" s="43"/>
      <c r="G689" s="1"/>
      <c r="H689" s="1"/>
      <c r="I689" s="44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42"/>
      <c r="AE689" s="43"/>
      <c r="AF689" s="43"/>
      <c r="AG689" s="1"/>
    </row>
    <row r="690" spans="1:33" ht="44.25" customHeight="1" x14ac:dyDescent="0.25">
      <c r="A690" s="1"/>
      <c r="B690" s="1"/>
      <c r="C690" s="1"/>
      <c r="D690" s="1"/>
      <c r="E690" s="42"/>
      <c r="F690" s="43"/>
      <c r="G690" s="1"/>
      <c r="H690" s="1"/>
      <c r="I690" s="44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42"/>
      <c r="AE690" s="43"/>
      <c r="AF690" s="43"/>
      <c r="AG690" s="1"/>
    </row>
    <row r="691" spans="1:33" ht="44.25" customHeight="1" x14ac:dyDescent="0.25">
      <c r="A691" s="1"/>
      <c r="B691" s="1"/>
      <c r="C691" s="1"/>
      <c r="D691" s="1"/>
      <c r="E691" s="42"/>
      <c r="F691" s="43"/>
      <c r="G691" s="1"/>
      <c r="H691" s="1"/>
      <c r="I691" s="44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42"/>
      <c r="AE691" s="43"/>
      <c r="AF691" s="43"/>
      <c r="AG691" s="1"/>
    </row>
    <row r="692" spans="1:33" ht="44.25" customHeight="1" x14ac:dyDescent="0.25">
      <c r="A692" s="1"/>
      <c r="B692" s="1"/>
      <c r="C692" s="1"/>
      <c r="D692" s="1"/>
      <c r="E692" s="42"/>
      <c r="F692" s="43"/>
      <c r="G692" s="1"/>
      <c r="H692" s="1"/>
      <c r="I692" s="44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42"/>
      <c r="AE692" s="43"/>
      <c r="AF692" s="43"/>
      <c r="AG692" s="1"/>
    </row>
    <row r="693" spans="1:33" ht="44.25" customHeight="1" x14ac:dyDescent="0.25">
      <c r="A693" s="1"/>
      <c r="B693" s="1"/>
      <c r="C693" s="1"/>
      <c r="D693" s="1"/>
      <c r="E693" s="42"/>
      <c r="F693" s="43"/>
      <c r="G693" s="1"/>
      <c r="H693" s="1"/>
      <c r="I693" s="44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42"/>
      <c r="AE693" s="43"/>
      <c r="AF693" s="43"/>
      <c r="AG693" s="1"/>
    </row>
    <row r="694" spans="1:33" ht="44.25" customHeight="1" x14ac:dyDescent="0.25">
      <c r="A694" s="1"/>
      <c r="B694" s="1"/>
      <c r="C694" s="1"/>
      <c r="D694" s="1"/>
      <c r="E694" s="42"/>
      <c r="F694" s="43"/>
      <c r="G694" s="1"/>
      <c r="H694" s="1"/>
      <c r="I694" s="44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42"/>
      <c r="AE694" s="43"/>
      <c r="AF694" s="43"/>
      <c r="AG694" s="1"/>
    </row>
    <row r="695" spans="1:33" ht="44.25" customHeight="1" x14ac:dyDescent="0.25">
      <c r="A695" s="1"/>
      <c r="B695" s="1"/>
      <c r="C695" s="1"/>
      <c r="D695" s="1"/>
      <c r="E695" s="42"/>
      <c r="F695" s="43"/>
      <c r="G695" s="1"/>
      <c r="H695" s="1"/>
      <c r="I695" s="44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42"/>
      <c r="AE695" s="43"/>
      <c r="AF695" s="43"/>
      <c r="AG695" s="1"/>
    </row>
    <row r="696" spans="1:33" ht="44.25" customHeight="1" x14ac:dyDescent="0.25">
      <c r="A696" s="1"/>
      <c r="B696" s="1"/>
      <c r="C696" s="1"/>
      <c r="D696" s="1"/>
      <c r="E696" s="42"/>
      <c r="F696" s="43"/>
      <c r="G696" s="1"/>
      <c r="H696" s="1"/>
      <c r="I696" s="44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42"/>
      <c r="AE696" s="43"/>
      <c r="AF696" s="43"/>
      <c r="AG696" s="1"/>
    </row>
    <row r="697" spans="1:33" ht="44.25" customHeight="1" x14ac:dyDescent="0.25">
      <c r="A697" s="1"/>
      <c r="B697" s="1"/>
      <c r="C697" s="1"/>
      <c r="D697" s="1"/>
      <c r="E697" s="42"/>
      <c r="F697" s="43"/>
      <c r="G697" s="1"/>
      <c r="H697" s="1"/>
      <c r="I697" s="44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42"/>
      <c r="AE697" s="43"/>
      <c r="AF697" s="43"/>
      <c r="AG697" s="1"/>
    </row>
    <row r="698" spans="1:33" ht="44.25" customHeight="1" x14ac:dyDescent="0.25">
      <c r="A698" s="1"/>
      <c r="B698" s="1"/>
      <c r="C698" s="1"/>
      <c r="D698" s="1"/>
      <c r="E698" s="42"/>
      <c r="F698" s="43"/>
      <c r="G698" s="1"/>
      <c r="H698" s="1"/>
      <c r="I698" s="44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42"/>
      <c r="AE698" s="43"/>
      <c r="AF698" s="43"/>
      <c r="AG698" s="1"/>
    </row>
    <row r="699" spans="1:33" ht="44.25" customHeight="1" x14ac:dyDescent="0.25">
      <c r="A699" s="1"/>
      <c r="B699" s="1"/>
      <c r="C699" s="1"/>
      <c r="D699" s="1"/>
      <c r="E699" s="42"/>
      <c r="F699" s="43"/>
      <c r="G699" s="1"/>
      <c r="H699" s="1"/>
      <c r="I699" s="44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42"/>
      <c r="AE699" s="43"/>
      <c r="AF699" s="43"/>
      <c r="AG699" s="1"/>
    </row>
    <row r="700" spans="1:33" ht="44.25" customHeight="1" x14ac:dyDescent="0.25">
      <c r="A700" s="1"/>
      <c r="B700" s="1"/>
      <c r="C700" s="1"/>
      <c r="D700" s="1"/>
      <c r="E700" s="42"/>
      <c r="F700" s="43"/>
      <c r="G700" s="1"/>
      <c r="H700" s="1"/>
      <c r="I700" s="44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42"/>
      <c r="AE700" s="43"/>
      <c r="AF700" s="43"/>
      <c r="AG700" s="1"/>
    </row>
    <row r="701" spans="1:33" ht="44.25" customHeight="1" x14ac:dyDescent="0.25">
      <c r="A701" s="1"/>
      <c r="B701" s="1"/>
      <c r="C701" s="1"/>
      <c r="D701" s="1"/>
      <c r="E701" s="42"/>
      <c r="F701" s="43"/>
      <c r="G701" s="1"/>
      <c r="H701" s="1"/>
      <c r="I701" s="44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42"/>
      <c r="AE701" s="43"/>
      <c r="AF701" s="43"/>
      <c r="AG701" s="1"/>
    </row>
    <row r="702" spans="1:33" ht="44.25" customHeight="1" x14ac:dyDescent="0.25">
      <c r="A702" s="1"/>
      <c r="B702" s="1"/>
      <c r="C702" s="1"/>
      <c r="D702" s="1"/>
      <c r="E702" s="42"/>
      <c r="F702" s="43"/>
      <c r="G702" s="1"/>
      <c r="H702" s="1"/>
      <c r="I702" s="44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42"/>
      <c r="AE702" s="43"/>
      <c r="AF702" s="43"/>
      <c r="AG702" s="1"/>
    </row>
    <row r="703" spans="1:33" ht="44.25" customHeight="1" x14ac:dyDescent="0.25">
      <c r="A703" s="1"/>
      <c r="B703" s="1"/>
      <c r="C703" s="1"/>
      <c r="D703" s="1"/>
      <c r="E703" s="42"/>
      <c r="F703" s="43"/>
      <c r="G703" s="1"/>
      <c r="H703" s="1"/>
      <c r="I703" s="44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42"/>
      <c r="AE703" s="43"/>
      <c r="AF703" s="43"/>
      <c r="AG703" s="1"/>
    </row>
    <row r="704" spans="1:33" ht="44.25" customHeight="1" x14ac:dyDescent="0.25">
      <c r="A704" s="1"/>
      <c r="B704" s="1"/>
      <c r="C704" s="1"/>
      <c r="D704" s="1"/>
      <c r="E704" s="42"/>
      <c r="F704" s="43"/>
      <c r="G704" s="1"/>
      <c r="H704" s="1"/>
      <c r="I704" s="44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42"/>
      <c r="AE704" s="43"/>
      <c r="AF704" s="43"/>
      <c r="AG704" s="1"/>
    </row>
    <row r="705" spans="1:33" ht="44.25" customHeight="1" x14ac:dyDescent="0.25">
      <c r="A705" s="1"/>
      <c r="B705" s="1"/>
      <c r="C705" s="1"/>
      <c r="D705" s="1"/>
      <c r="E705" s="42"/>
      <c r="F705" s="43"/>
      <c r="G705" s="1"/>
      <c r="H705" s="1"/>
      <c r="I705" s="44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42"/>
      <c r="AE705" s="43"/>
      <c r="AF705" s="43"/>
      <c r="AG705" s="1"/>
    </row>
    <row r="706" spans="1:33" ht="44.25" customHeight="1" x14ac:dyDescent="0.25">
      <c r="A706" s="1"/>
      <c r="B706" s="1"/>
      <c r="C706" s="1"/>
      <c r="D706" s="1"/>
      <c r="E706" s="42"/>
      <c r="F706" s="43"/>
      <c r="G706" s="1"/>
      <c r="H706" s="1"/>
      <c r="I706" s="44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42"/>
      <c r="AE706" s="43"/>
      <c r="AF706" s="43"/>
      <c r="AG706" s="1"/>
    </row>
    <row r="707" spans="1:33" ht="44.25" customHeight="1" x14ac:dyDescent="0.25">
      <c r="A707" s="1"/>
      <c r="B707" s="1"/>
      <c r="C707" s="1"/>
      <c r="D707" s="1"/>
      <c r="E707" s="42"/>
      <c r="F707" s="43"/>
      <c r="G707" s="1"/>
      <c r="H707" s="1"/>
      <c r="I707" s="44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42"/>
      <c r="AE707" s="43"/>
      <c r="AF707" s="43"/>
      <c r="AG707" s="1"/>
    </row>
    <row r="708" spans="1:33" ht="44.25" customHeight="1" x14ac:dyDescent="0.25">
      <c r="A708" s="1"/>
      <c r="B708" s="1"/>
      <c r="C708" s="1"/>
      <c r="D708" s="1"/>
      <c r="E708" s="42"/>
      <c r="F708" s="43"/>
      <c r="G708" s="1"/>
      <c r="H708" s="1"/>
      <c r="I708" s="44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42"/>
      <c r="AE708" s="43"/>
      <c r="AF708" s="43"/>
      <c r="AG708" s="1"/>
    </row>
    <row r="709" spans="1:33" ht="44.25" customHeight="1" x14ac:dyDescent="0.25">
      <c r="A709" s="1"/>
      <c r="B709" s="1"/>
      <c r="C709" s="1"/>
      <c r="D709" s="1"/>
      <c r="E709" s="42"/>
      <c r="F709" s="43"/>
      <c r="G709" s="1"/>
      <c r="H709" s="1"/>
      <c r="I709" s="44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42"/>
      <c r="AE709" s="43"/>
      <c r="AF709" s="43"/>
      <c r="AG709" s="1"/>
    </row>
    <row r="710" spans="1:33" ht="44.25" customHeight="1" x14ac:dyDescent="0.25">
      <c r="A710" s="1"/>
      <c r="B710" s="1"/>
      <c r="C710" s="1"/>
      <c r="D710" s="1"/>
      <c r="E710" s="42"/>
      <c r="F710" s="43"/>
      <c r="G710" s="1"/>
      <c r="H710" s="1"/>
      <c r="I710" s="44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42"/>
      <c r="AE710" s="43"/>
      <c r="AF710" s="43"/>
      <c r="AG710" s="1"/>
    </row>
    <row r="711" spans="1:33" ht="44.25" customHeight="1" x14ac:dyDescent="0.25">
      <c r="A711" s="1"/>
      <c r="B711" s="1"/>
      <c r="C711" s="1"/>
      <c r="D711" s="1"/>
      <c r="E711" s="42"/>
      <c r="F711" s="43"/>
      <c r="G711" s="1"/>
      <c r="H711" s="1"/>
      <c r="I711" s="44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42"/>
      <c r="AE711" s="43"/>
      <c r="AF711" s="43"/>
      <c r="AG711" s="1"/>
    </row>
    <row r="712" spans="1:33" ht="44.25" customHeight="1" x14ac:dyDescent="0.25">
      <c r="A712" s="1"/>
      <c r="B712" s="1"/>
      <c r="C712" s="1"/>
      <c r="D712" s="1"/>
      <c r="E712" s="42"/>
      <c r="F712" s="43"/>
      <c r="G712" s="1"/>
      <c r="H712" s="1"/>
      <c r="I712" s="44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42"/>
      <c r="AE712" s="43"/>
      <c r="AF712" s="43"/>
      <c r="AG712" s="1"/>
    </row>
    <row r="713" spans="1:33" ht="44.25" customHeight="1" x14ac:dyDescent="0.25">
      <c r="A713" s="1"/>
      <c r="B713" s="1"/>
      <c r="C713" s="1"/>
      <c r="D713" s="1"/>
      <c r="E713" s="42"/>
      <c r="F713" s="43"/>
      <c r="G713" s="1"/>
      <c r="H713" s="1"/>
      <c r="I713" s="44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42"/>
      <c r="AE713" s="43"/>
      <c r="AF713" s="43"/>
      <c r="AG713" s="1"/>
    </row>
    <row r="714" spans="1:33" ht="44.25" customHeight="1" x14ac:dyDescent="0.25">
      <c r="A714" s="1"/>
      <c r="B714" s="1"/>
      <c r="C714" s="1"/>
      <c r="D714" s="1"/>
      <c r="E714" s="42"/>
      <c r="F714" s="43"/>
      <c r="G714" s="1"/>
      <c r="H714" s="1"/>
      <c r="I714" s="44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42"/>
      <c r="AE714" s="43"/>
      <c r="AF714" s="43"/>
      <c r="AG714" s="1"/>
    </row>
    <row r="715" spans="1:33" ht="44.25" customHeight="1" x14ac:dyDescent="0.25">
      <c r="A715" s="1"/>
      <c r="B715" s="1"/>
      <c r="C715" s="1"/>
      <c r="D715" s="1"/>
      <c r="E715" s="42"/>
      <c r="F715" s="43"/>
      <c r="G715" s="1"/>
      <c r="H715" s="1"/>
      <c r="I715" s="44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42"/>
      <c r="AE715" s="43"/>
      <c r="AF715" s="43"/>
      <c r="AG715" s="1"/>
    </row>
    <row r="716" spans="1:33" ht="44.25" customHeight="1" x14ac:dyDescent="0.25">
      <c r="A716" s="1"/>
      <c r="B716" s="1"/>
      <c r="C716" s="1"/>
      <c r="D716" s="1"/>
      <c r="E716" s="42"/>
      <c r="F716" s="43"/>
      <c r="G716" s="1"/>
      <c r="H716" s="1"/>
      <c r="I716" s="44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42"/>
      <c r="AE716" s="43"/>
      <c r="AF716" s="43"/>
      <c r="AG716" s="1"/>
    </row>
    <row r="717" spans="1:33" ht="44.25" customHeight="1" x14ac:dyDescent="0.25">
      <c r="A717" s="1"/>
      <c r="B717" s="1"/>
      <c r="C717" s="1"/>
      <c r="D717" s="1"/>
      <c r="E717" s="42"/>
      <c r="F717" s="43"/>
      <c r="G717" s="1"/>
      <c r="H717" s="1"/>
      <c r="I717" s="44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42"/>
      <c r="AE717" s="43"/>
      <c r="AF717" s="43"/>
      <c r="AG717" s="1"/>
    </row>
    <row r="718" spans="1:33" ht="44.25" customHeight="1" x14ac:dyDescent="0.25">
      <c r="A718" s="1"/>
      <c r="B718" s="1"/>
      <c r="C718" s="1"/>
      <c r="D718" s="1"/>
      <c r="E718" s="42"/>
      <c r="F718" s="43"/>
      <c r="G718" s="1"/>
      <c r="H718" s="1"/>
      <c r="I718" s="44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42"/>
      <c r="AE718" s="43"/>
      <c r="AF718" s="43"/>
      <c r="AG718" s="1"/>
    </row>
    <row r="719" spans="1:33" ht="44.25" customHeight="1" x14ac:dyDescent="0.25">
      <c r="A719" s="1"/>
      <c r="B719" s="1"/>
      <c r="C719" s="1"/>
      <c r="D719" s="1"/>
      <c r="E719" s="42"/>
      <c r="F719" s="43"/>
      <c r="G719" s="1"/>
      <c r="H719" s="1"/>
      <c r="I719" s="44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42"/>
      <c r="AE719" s="43"/>
      <c r="AF719" s="43"/>
      <c r="AG719" s="1"/>
    </row>
    <row r="720" spans="1:33" ht="44.25" customHeight="1" x14ac:dyDescent="0.25">
      <c r="A720" s="1"/>
      <c r="B720" s="1"/>
      <c r="C720" s="1"/>
      <c r="D720" s="1"/>
      <c r="E720" s="42"/>
      <c r="F720" s="43"/>
      <c r="G720" s="1"/>
      <c r="H720" s="1"/>
      <c r="I720" s="44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42"/>
      <c r="AE720" s="43"/>
      <c r="AF720" s="43"/>
      <c r="AG720" s="1"/>
    </row>
    <row r="721" spans="1:33" ht="44.25" customHeight="1" x14ac:dyDescent="0.25">
      <c r="A721" s="1"/>
      <c r="B721" s="1"/>
      <c r="C721" s="1"/>
      <c r="D721" s="1"/>
      <c r="E721" s="42"/>
      <c r="F721" s="43"/>
      <c r="G721" s="1"/>
      <c r="H721" s="1"/>
      <c r="I721" s="44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42"/>
      <c r="AE721" s="43"/>
      <c r="AF721" s="43"/>
      <c r="AG721" s="1"/>
    </row>
    <row r="722" spans="1:33" ht="44.25" customHeight="1" x14ac:dyDescent="0.25">
      <c r="A722" s="1"/>
      <c r="B722" s="1"/>
      <c r="C722" s="1"/>
      <c r="D722" s="1"/>
      <c r="E722" s="42"/>
      <c r="F722" s="43"/>
      <c r="G722" s="1"/>
      <c r="H722" s="1"/>
      <c r="I722" s="44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42"/>
      <c r="AE722" s="43"/>
      <c r="AF722" s="43"/>
      <c r="AG722" s="1"/>
    </row>
    <row r="723" spans="1:33" ht="44.25" customHeight="1" x14ac:dyDescent="0.25">
      <c r="A723" s="1"/>
      <c r="B723" s="1"/>
      <c r="C723" s="1"/>
      <c r="D723" s="1"/>
      <c r="E723" s="42"/>
      <c r="F723" s="43"/>
      <c r="G723" s="1"/>
      <c r="H723" s="1"/>
      <c r="I723" s="44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42"/>
      <c r="AE723" s="43"/>
      <c r="AF723" s="43"/>
      <c r="AG723" s="1"/>
    </row>
    <row r="724" spans="1:33" ht="44.25" customHeight="1" x14ac:dyDescent="0.25">
      <c r="A724" s="1"/>
      <c r="B724" s="1"/>
      <c r="C724" s="1"/>
      <c r="D724" s="1"/>
      <c r="E724" s="42"/>
      <c r="F724" s="43"/>
      <c r="G724" s="1"/>
      <c r="H724" s="1"/>
      <c r="I724" s="44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42"/>
      <c r="AE724" s="43"/>
      <c r="AF724" s="43"/>
      <c r="AG724" s="1"/>
    </row>
    <row r="725" spans="1:33" ht="44.25" customHeight="1" x14ac:dyDescent="0.25">
      <c r="A725" s="1"/>
      <c r="B725" s="1"/>
      <c r="C725" s="1"/>
      <c r="D725" s="1"/>
      <c r="E725" s="42"/>
      <c r="F725" s="43"/>
      <c r="G725" s="1"/>
      <c r="H725" s="1"/>
      <c r="I725" s="44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42"/>
      <c r="AE725" s="43"/>
      <c r="AF725" s="43"/>
      <c r="AG725" s="1"/>
    </row>
    <row r="726" spans="1:33" ht="44.25" customHeight="1" x14ac:dyDescent="0.25">
      <c r="A726" s="1"/>
      <c r="B726" s="1"/>
      <c r="C726" s="1"/>
      <c r="D726" s="1"/>
      <c r="E726" s="42"/>
      <c r="F726" s="43"/>
      <c r="G726" s="1"/>
      <c r="H726" s="1"/>
      <c r="I726" s="44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42"/>
      <c r="AE726" s="43"/>
      <c r="AF726" s="43"/>
      <c r="AG726" s="1"/>
    </row>
    <row r="727" spans="1:33" ht="44.25" customHeight="1" x14ac:dyDescent="0.25">
      <c r="A727" s="1"/>
      <c r="B727" s="1"/>
      <c r="C727" s="1"/>
      <c r="D727" s="1"/>
      <c r="E727" s="42"/>
      <c r="F727" s="43"/>
      <c r="G727" s="1"/>
      <c r="H727" s="1"/>
      <c r="I727" s="44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42"/>
      <c r="AE727" s="43"/>
      <c r="AF727" s="43"/>
      <c r="AG727" s="1"/>
    </row>
    <row r="728" spans="1:33" ht="44.25" customHeight="1" x14ac:dyDescent="0.25">
      <c r="A728" s="1"/>
      <c r="B728" s="1"/>
      <c r="C728" s="1"/>
      <c r="D728" s="1"/>
      <c r="E728" s="42"/>
      <c r="F728" s="43"/>
      <c r="G728" s="1"/>
      <c r="H728" s="1"/>
      <c r="I728" s="44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42"/>
      <c r="AE728" s="43"/>
      <c r="AF728" s="43"/>
      <c r="AG728" s="1"/>
    </row>
    <row r="729" spans="1:33" ht="44.25" customHeight="1" x14ac:dyDescent="0.25">
      <c r="A729" s="1"/>
      <c r="B729" s="1"/>
      <c r="C729" s="1"/>
      <c r="D729" s="1"/>
      <c r="E729" s="42"/>
      <c r="F729" s="43"/>
      <c r="G729" s="1"/>
      <c r="H729" s="1"/>
      <c r="I729" s="44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42"/>
      <c r="AE729" s="43"/>
      <c r="AF729" s="43"/>
      <c r="AG729" s="1"/>
    </row>
    <row r="730" spans="1:33" ht="44.25" customHeight="1" x14ac:dyDescent="0.25">
      <c r="A730" s="1"/>
      <c r="B730" s="1"/>
      <c r="C730" s="1"/>
      <c r="D730" s="1"/>
      <c r="E730" s="42"/>
      <c r="F730" s="43"/>
      <c r="G730" s="1"/>
      <c r="H730" s="1"/>
      <c r="I730" s="44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42"/>
      <c r="AE730" s="43"/>
      <c r="AF730" s="43"/>
      <c r="AG730" s="1"/>
    </row>
    <row r="731" spans="1:33" ht="44.25" customHeight="1" x14ac:dyDescent="0.25">
      <c r="A731" s="1"/>
      <c r="B731" s="1"/>
      <c r="C731" s="1"/>
      <c r="D731" s="1"/>
      <c r="E731" s="42"/>
      <c r="F731" s="43"/>
      <c r="G731" s="1"/>
      <c r="H731" s="1"/>
      <c r="I731" s="44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42"/>
      <c r="AE731" s="43"/>
      <c r="AF731" s="43"/>
      <c r="AG731" s="1"/>
    </row>
    <row r="732" spans="1:33" ht="44.25" customHeight="1" x14ac:dyDescent="0.25">
      <c r="A732" s="1"/>
      <c r="B732" s="1"/>
      <c r="C732" s="1"/>
      <c r="D732" s="1"/>
      <c r="E732" s="42"/>
      <c r="F732" s="43"/>
      <c r="G732" s="1"/>
      <c r="H732" s="1"/>
      <c r="I732" s="44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42"/>
      <c r="AE732" s="43"/>
      <c r="AF732" s="43"/>
      <c r="AG732" s="1"/>
    </row>
    <row r="733" spans="1:33" ht="44.25" customHeight="1" x14ac:dyDescent="0.25">
      <c r="A733" s="1"/>
      <c r="B733" s="1"/>
      <c r="C733" s="1"/>
      <c r="D733" s="1"/>
      <c r="E733" s="42"/>
      <c r="F733" s="43"/>
      <c r="G733" s="1"/>
      <c r="H733" s="1"/>
      <c r="I733" s="44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42"/>
      <c r="AE733" s="43"/>
      <c r="AF733" s="43"/>
      <c r="AG733" s="1"/>
    </row>
    <row r="734" spans="1:33" ht="44.25" customHeight="1" x14ac:dyDescent="0.25">
      <c r="A734" s="1"/>
      <c r="B734" s="1"/>
      <c r="C734" s="1"/>
      <c r="D734" s="1"/>
      <c r="E734" s="42"/>
      <c r="F734" s="43"/>
      <c r="G734" s="1"/>
      <c r="H734" s="1"/>
      <c r="I734" s="44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42"/>
      <c r="AE734" s="43"/>
      <c r="AF734" s="43"/>
      <c r="AG734" s="1"/>
    </row>
    <row r="735" spans="1:33" ht="44.25" customHeight="1" x14ac:dyDescent="0.25">
      <c r="A735" s="1"/>
      <c r="B735" s="1"/>
      <c r="C735" s="1"/>
      <c r="D735" s="1"/>
      <c r="E735" s="42"/>
      <c r="F735" s="43"/>
      <c r="G735" s="1"/>
      <c r="H735" s="1"/>
      <c r="I735" s="44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42"/>
      <c r="AE735" s="43"/>
      <c r="AF735" s="43"/>
      <c r="AG735" s="1"/>
    </row>
    <row r="736" spans="1:33" ht="44.25" customHeight="1" x14ac:dyDescent="0.25">
      <c r="A736" s="1"/>
      <c r="B736" s="1"/>
      <c r="C736" s="1"/>
      <c r="D736" s="1"/>
      <c r="E736" s="42"/>
      <c r="F736" s="43"/>
      <c r="G736" s="1"/>
      <c r="H736" s="1"/>
      <c r="I736" s="44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42"/>
      <c r="AE736" s="43"/>
      <c r="AF736" s="43"/>
      <c r="AG736" s="1"/>
    </row>
    <row r="737" spans="1:33" ht="44.25" customHeight="1" x14ac:dyDescent="0.25">
      <c r="A737" s="1"/>
      <c r="B737" s="1"/>
      <c r="C737" s="1"/>
      <c r="D737" s="1"/>
      <c r="E737" s="42"/>
      <c r="F737" s="43"/>
      <c r="G737" s="1"/>
      <c r="H737" s="1"/>
      <c r="I737" s="44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42"/>
      <c r="AE737" s="43"/>
      <c r="AF737" s="43"/>
      <c r="AG737" s="1"/>
    </row>
    <row r="738" spans="1:33" ht="44.25" customHeight="1" x14ac:dyDescent="0.25">
      <c r="A738" s="1"/>
      <c r="B738" s="1"/>
      <c r="C738" s="1"/>
      <c r="D738" s="1"/>
      <c r="E738" s="42"/>
      <c r="F738" s="43"/>
      <c r="G738" s="1"/>
      <c r="H738" s="1"/>
      <c r="I738" s="44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42"/>
      <c r="AE738" s="43"/>
      <c r="AF738" s="43"/>
      <c r="AG738" s="1"/>
    </row>
    <row r="739" spans="1:33" ht="44.25" customHeight="1" x14ac:dyDescent="0.25">
      <c r="A739" s="1"/>
      <c r="B739" s="1"/>
      <c r="C739" s="1"/>
      <c r="D739" s="1"/>
      <c r="E739" s="42"/>
      <c r="F739" s="43"/>
      <c r="G739" s="1"/>
      <c r="H739" s="1"/>
      <c r="I739" s="44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42"/>
      <c r="AE739" s="43"/>
      <c r="AF739" s="43"/>
      <c r="AG739" s="1"/>
    </row>
    <row r="740" spans="1:33" ht="44.25" customHeight="1" x14ac:dyDescent="0.25">
      <c r="A740" s="1"/>
      <c r="B740" s="1"/>
      <c r="C740" s="1"/>
      <c r="D740" s="1"/>
      <c r="E740" s="42"/>
      <c r="F740" s="43"/>
      <c r="G740" s="1"/>
      <c r="H740" s="1"/>
      <c r="I740" s="44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42"/>
      <c r="AE740" s="43"/>
      <c r="AF740" s="43"/>
      <c r="AG740" s="1"/>
    </row>
    <row r="741" spans="1:33" ht="44.25" customHeight="1" x14ac:dyDescent="0.25">
      <c r="A741" s="1"/>
      <c r="B741" s="1"/>
      <c r="C741" s="1"/>
      <c r="D741" s="1"/>
      <c r="E741" s="42"/>
      <c r="F741" s="43"/>
      <c r="G741" s="1"/>
      <c r="H741" s="1"/>
      <c r="I741" s="44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42"/>
      <c r="AE741" s="43"/>
      <c r="AF741" s="43"/>
      <c r="AG741" s="1"/>
    </row>
    <row r="742" spans="1:33" ht="44.25" customHeight="1" x14ac:dyDescent="0.25">
      <c r="A742" s="1"/>
      <c r="B742" s="1"/>
      <c r="C742" s="1"/>
      <c r="D742" s="1"/>
      <c r="E742" s="42"/>
      <c r="F742" s="43"/>
      <c r="G742" s="1"/>
      <c r="H742" s="1"/>
      <c r="I742" s="44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42"/>
      <c r="AE742" s="43"/>
      <c r="AF742" s="43"/>
      <c r="AG742" s="1"/>
    </row>
    <row r="743" spans="1:33" ht="44.25" customHeight="1" x14ac:dyDescent="0.25">
      <c r="A743" s="1"/>
      <c r="B743" s="1"/>
      <c r="C743" s="1"/>
      <c r="D743" s="1"/>
      <c r="E743" s="42"/>
      <c r="F743" s="43"/>
      <c r="G743" s="1"/>
      <c r="H743" s="1"/>
      <c r="I743" s="44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42"/>
      <c r="AE743" s="43"/>
      <c r="AF743" s="43"/>
      <c r="AG743" s="1"/>
    </row>
    <row r="744" spans="1:33" ht="44.25" customHeight="1" x14ac:dyDescent="0.25">
      <c r="A744" s="1"/>
      <c r="B744" s="1"/>
      <c r="C744" s="1"/>
      <c r="D744" s="1"/>
      <c r="E744" s="42"/>
      <c r="F744" s="43"/>
      <c r="G744" s="1"/>
      <c r="H744" s="1"/>
      <c r="I744" s="44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42"/>
      <c r="AE744" s="43"/>
      <c r="AF744" s="43"/>
      <c r="AG744" s="1"/>
    </row>
    <row r="745" spans="1:33" ht="44.25" customHeight="1" x14ac:dyDescent="0.25">
      <c r="A745" s="1"/>
      <c r="B745" s="1"/>
      <c r="C745" s="1"/>
      <c r="D745" s="1"/>
      <c r="E745" s="42"/>
      <c r="F745" s="43"/>
      <c r="G745" s="1"/>
      <c r="H745" s="1"/>
      <c r="I745" s="44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42"/>
      <c r="AE745" s="43"/>
      <c r="AF745" s="43"/>
      <c r="AG745" s="1"/>
    </row>
    <row r="746" spans="1:33" ht="44.25" customHeight="1" x14ac:dyDescent="0.25">
      <c r="A746" s="1"/>
      <c r="B746" s="1"/>
      <c r="C746" s="1"/>
      <c r="D746" s="1"/>
      <c r="E746" s="42"/>
      <c r="F746" s="43"/>
      <c r="G746" s="1"/>
      <c r="H746" s="1"/>
      <c r="I746" s="44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42"/>
      <c r="AE746" s="43"/>
      <c r="AF746" s="43"/>
      <c r="AG746" s="1"/>
    </row>
    <row r="747" spans="1:33" ht="44.25" customHeight="1" x14ac:dyDescent="0.25">
      <c r="A747" s="1"/>
      <c r="B747" s="1"/>
      <c r="C747" s="1"/>
      <c r="D747" s="1"/>
      <c r="E747" s="42"/>
      <c r="F747" s="43"/>
      <c r="G747" s="1"/>
      <c r="H747" s="1"/>
      <c r="I747" s="44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42"/>
      <c r="AE747" s="43"/>
      <c r="AF747" s="43"/>
      <c r="AG747" s="1"/>
    </row>
    <row r="748" spans="1:33" ht="44.25" customHeight="1" x14ac:dyDescent="0.25">
      <c r="A748" s="1"/>
      <c r="B748" s="1"/>
      <c r="C748" s="1"/>
      <c r="D748" s="1"/>
      <c r="E748" s="42"/>
      <c r="F748" s="43"/>
      <c r="G748" s="1"/>
      <c r="H748" s="1"/>
      <c r="I748" s="44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42"/>
      <c r="AE748" s="43"/>
      <c r="AF748" s="43"/>
      <c r="AG748" s="1"/>
    </row>
    <row r="749" spans="1:33" ht="44.25" customHeight="1" x14ac:dyDescent="0.25">
      <c r="A749" s="1"/>
      <c r="B749" s="1"/>
      <c r="C749" s="1"/>
      <c r="D749" s="1"/>
      <c r="E749" s="42"/>
      <c r="F749" s="43"/>
      <c r="G749" s="1"/>
      <c r="H749" s="1"/>
      <c r="I749" s="44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42"/>
      <c r="AE749" s="43"/>
      <c r="AF749" s="43"/>
      <c r="AG749" s="1"/>
    </row>
    <row r="750" spans="1:33" ht="44.25" customHeight="1" x14ac:dyDescent="0.25">
      <c r="A750" s="1"/>
      <c r="B750" s="1"/>
      <c r="C750" s="1"/>
      <c r="D750" s="1"/>
      <c r="E750" s="42"/>
      <c r="F750" s="43"/>
      <c r="G750" s="1"/>
      <c r="H750" s="1"/>
      <c r="I750" s="44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42"/>
      <c r="AE750" s="43"/>
      <c r="AF750" s="43"/>
      <c r="AG750" s="1"/>
    </row>
    <row r="751" spans="1:33" ht="44.25" customHeight="1" x14ac:dyDescent="0.25">
      <c r="A751" s="1"/>
      <c r="B751" s="1"/>
      <c r="C751" s="1"/>
      <c r="D751" s="1"/>
      <c r="E751" s="42"/>
      <c r="F751" s="43"/>
      <c r="G751" s="1"/>
      <c r="H751" s="1"/>
      <c r="I751" s="44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42"/>
      <c r="AE751" s="43"/>
      <c r="AF751" s="43"/>
      <c r="AG751" s="1"/>
    </row>
    <row r="752" spans="1:33" ht="44.25" customHeight="1" x14ac:dyDescent="0.25">
      <c r="A752" s="1"/>
      <c r="B752" s="1"/>
      <c r="C752" s="1"/>
      <c r="D752" s="1"/>
      <c r="E752" s="42"/>
      <c r="F752" s="43"/>
      <c r="G752" s="1"/>
      <c r="H752" s="1"/>
      <c r="I752" s="44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42"/>
      <c r="AE752" s="43"/>
      <c r="AF752" s="43"/>
      <c r="AG752" s="1"/>
    </row>
    <row r="753" spans="1:33" ht="44.25" customHeight="1" x14ac:dyDescent="0.25">
      <c r="A753" s="1"/>
      <c r="B753" s="1"/>
      <c r="C753" s="1"/>
      <c r="D753" s="1"/>
      <c r="E753" s="42"/>
      <c r="F753" s="43"/>
      <c r="G753" s="1"/>
      <c r="H753" s="1"/>
      <c r="I753" s="44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42"/>
      <c r="AE753" s="43"/>
      <c r="AF753" s="43"/>
      <c r="AG753" s="1"/>
    </row>
    <row r="754" spans="1:33" ht="44.25" customHeight="1" x14ac:dyDescent="0.25">
      <c r="A754" s="1"/>
      <c r="B754" s="1"/>
      <c r="C754" s="1"/>
      <c r="D754" s="1"/>
      <c r="E754" s="42"/>
      <c r="F754" s="43"/>
      <c r="G754" s="1"/>
      <c r="H754" s="1"/>
      <c r="I754" s="44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42"/>
      <c r="AE754" s="43"/>
      <c r="AF754" s="43"/>
      <c r="AG754" s="1"/>
    </row>
    <row r="755" spans="1:33" ht="44.25" customHeight="1" x14ac:dyDescent="0.25">
      <c r="A755" s="1"/>
      <c r="B755" s="1"/>
      <c r="C755" s="1"/>
      <c r="D755" s="1"/>
      <c r="E755" s="42"/>
      <c r="F755" s="43"/>
      <c r="G755" s="1"/>
      <c r="H755" s="1"/>
      <c r="I755" s="44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42"/>
      <c r="AE755" s="43"/>
      <c r="AF755" s="43"/>
      <c r="AG755" s="1"/>
    </row>
    <row r="756" spans="1:33" ht="44.25" customHeight="1" x14ac:dyDescent="0.25">
      <c r="A756" s="1"/>
      <c r="B756" s="1"/>
      <c r="C756" s="1"/>
      <c r="D756" s="1"/>
      <c r="E756" s="42"/>
      <c r="F756" s="43"/>
      <c r="G756" s="1"/>
      <c r="H756" s="1"/>
      <c r="I756" s="44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42"/>
      <c r="AE756" s="43"/>
      <c r="AF756" s="43"/>
      <c r="AG756" s="1"/>
    </row>
    <row r="757" spans="1:33" ht="44.25" customHeight="1" x14ac:dyDescent="0.25">
      <c r="A757" s="1"/>
      <c r="B757" s="1"/>
      <c r="C757" s="1"/>
      <c r="D757" s="1"/>
      <c r="E757" s="42"/>
      <c r="F757" s="43"/>
      <c r="G757" s="1"/>
      <c r="H757" s="1"/>
      <c r="I757" s="44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42"/>
      <c r="AE757" s="43"/>
      <c r="AF757" s="43"/>
      <c r="AG757" s="1"/>
    </row>
    <row r="758" spans="1:33" ht="44.25" customHeight="1" x14ac:dyDescent="0.25">
      <c r="A758" s="1"/>
      <c r="B758" s="1"/>
      <c r="C758" s="1"/>
      <c r="D758" s="1"/>
      <c r="E758" s="42"/>
      <c r="F758" s="43"/>
      <c r="G758" s="1"/>
      <c r="H758" s="1"/>
      <c r="I758" s="44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42"/>
      <c r="AE758" s="43"/>
      <c r="AF758" s="43"/>
      <c r="AG758" s="1"/>
    </row>
    <row r="759" spans="1:33" ht="44.25" customHeight="1" x14ac:dyDescent="0.25">
      <c r="A759" s="1"/>
      <c r="B759" s="1"/>
      <c r="C759" s="1"/>
      <c r="D759" s="1"/>
      <c r="E759" s="42"/>
      <c r="F759" s="43"/>
      <c r="G759" s="1"/>
      <c r="H759" s="1"/>
      <c r="I759" s="44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42"/>
      <c r="AE759" s="43"/>
      <c r="AF759" s="43"/>
      <c r="AG759" s="1"/>
    </row>
    <row r="760" spans="1:33" ht="44.25" customHeight="1" x14ac:dyDescent="0.25">
      <c r="A760" s="1"/>
      <c r="B760" s="1"/>
      <c r="C760" s="1"/>
      <c r="D760" s="1"/>
      <c r="E760" s="42"/>
      <c r="F760" s="43"/>
      <c r="G760" s="1"/>
      <c r="H760" s="1"/>
      <c r="I760" s="44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42"/>
      <c r="AE760" s="43"/>
      <c r="AF760" s="43"/>
      <c r="AG760" s="1"/>
    </row>
    <row r="761" spans="1:33" ht="44.25" customHeight="1" x14ac:dyDescent="0.25">
      <c r="A761" s="1"/>
      <c r="B761" s="1"/>
      <c r="C761" s="1"/>
      <c r="D761" s="1"/>
      <c r="E761" s="42"/>
      <c r="F761" s="43"/>
      <c r="G761" s="1"/>
      <c r="H761" s="1"/>
      <c r="I761" s="44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42"/>
      <c r="AE761" s="43"/>
      <c r="AF761" s="43"/>
      <c r="AG761" s="1"/>
    </row>
    <row r="762" spans="1:33" ht="44.25" customHeight="1" x14ac:dyDescent="0.25">
      <c r="A762" s="1"/>
      <c r="B762" s="1"/>
      <c r="C762" s="1"/>
      <c r="D762" s="1"/>
      <c r="E762" s="42"/>
      <c r="F762" s="43"/>
      <c r="G762" s="1"/>
      <c r="H762" s="1"/>
      <c r="I762" s="44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42"/>
      <c r="AE762" s="43"/>
      <c r="AF762" s="43"/>
      <c r="AG762" s="1"/>
    </row>
    <row r="763" spans="1:33" ht="44.25" customHeight="1" x14ac:dyDescent="0.25">
      <c r="A763" s="1"/>
      <c r="B763" s="1"/>
      <c r="C763" s="1"/>
      <c r="D763" s="1"/>
      <c r="E763" s="42"/>
      <c r="F763" s="43"/>
      <c r="G763" s="1"/>
      <c r="H763" s="1"/>
      <c r="I763" s="44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42"/>
      <c r="AE763" s="43"/>
      <c r="AF763" s="43"/>
      <c r="AG763" s="1"/>
    </row>
    <row r="764" spans="1:33" ht="44.25" customHeight="1" x14ac:dyDescent="0.25">
      <c r="A764" s="1"/>
      <c r="B764" s="1"/>
      <c r="C764" s="1"/>
      <c r="D764" s="1"/>
      <c r="E764" s="42"/>
      <c r="F764" s="43"/>
      <c r="G764" s="1"/>
      <c r="H764" s="1"/>
      <c r="I764" s="44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42"/>
      <c r="AE764" s="43"/>
      <c r="AF764" s="43"/>
      <c r="AG764" s="1"/>
    </row>
    <row r="765" spans="1:33" ht="44.25" customHeight="1" x14ac:dyDescent="0.25">
      <c r="A765" s="1"/>
      <c r="B765" s="1"/>
      <c r="C765" s="1"/>
      <c r="D765" s="1"/>
      <c r="E765" s="42"/>
      <c r="F765" s="43"/>
      <c r="G765" s="1"/>
      <c r="H765" s="1"/>
      <c r="I765" s="44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42"/>
      <c r="AE765" s="43"/>
      <c r="AF765" s="43"/>
      <c r="AG765" s="1"/>
    </row>
    <row r="766" spans="1:33" ht="44.25" customHeight="1" x14ac:dyDescent="0.25">
      <c r="A766" s="1"/>
      <c r="B766" s="1"/>
      <c r="C766" s="1"/>
      <c r="D766" s="1"/>
      <c r="E766" s="42"/>
      <c r="F766" s="43"/>
      <c r="G766" s="1"/>
      <c r="H766" s="1"/>
      <c r="I766" s="44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42"/>
      <c r="AE766" s="43"/>
      <c r="AF766" s="43"/>
      <c r="AG766" s="1"/>
    </row>
    <row r="767" spans="1:33" ht="44.25" customHeight="1" x14ac:dyDescent="0.25">
      <c r="A767" s="1"/>
      <c r="B767" s="1"/>
      <c r="C767" s="1"/>
      <c r="D767" s="1"/>
      <c r="E767" s="42"/>
      <c r="F767" s="43"/>
      <c r="G767" s="1"/>
      <c r="H767" s="1"/>
      <c r="I767" s="44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42"/>
      <c r="AE767" s="43"/>
      <c r="AF767" s="43"/>
      <c r="AG767" s="1"/>
    </row>
    <row r="768" spans="1:33" ht="44.25" customHeight="1" x14ac:dyDescent="0.25">
      <c r="A768" s="1"/>
      <c r="B768" s="1"/>
      <c r="C768" s="1"/>
      <c r="D768" s="1"/>
      <c r="E768" s="42"/>
      <c r="F768" s="43"/>
      <c r="G768" s="1"/>
      <c r="H768" s="1"/>
      <c r="I768" s="44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42"/>
      <c r="AE768" s="43"/>
      <c r="AF768" s="43"/>
      <c r="AG768" s="1"/>
    </row>
    <row r="769" spans="1:33" ht="44.25" customHeight="1" x14ac:dyDescent="0.25">
      <c r="A769" s="1"/>
      <c r="B769" s="1"/>
      <c r="C769" s="1"/>
      <c r="D769" s="1"/>
      <c r="E769" s="42"/>
      <c r="F769" s="43"/>
      <c r="G769" s="1"/>
      <c r="H769" s="1"/>
      <c r="I769" s="44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42"/>
      <c r="AE769" s="43"/>
      <c r="AF769" s="43"/>
      <c r="AG769" s="1"/>
    </row>
    <row r="770" spans="1:33" ht="44.25" customHeight="1" x14ac:dyDescent="0.25">
      <c r="A770" s="1"/>
      <c r="B770" s="1"/>
      <c r="C770" s="1"/>
      <c r="D770" s="1"/>
      <c r="E770" s="42"/>
      <c r="F770" s="43"/>
      <c r="G770" s="1"/>
      <c r="H770" s="1"/>
      <c r="I770" s="44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42"/>
      <c r="AE770" s="43"/>
      <c r="AF770" s="43"/>
      <c r="AG770" s="1"/>
    </row>
    <row r="771" spans="1:33" ht="44.25" customHeight="1" x14ac:dyDescent="0.25">
      <c r="A771" s="1"/>
      <c r="B771" s="1"/>
      <c r="C771" s="1"/>
      <c r="D771" s="1"/>
      <c r="E771" s="42"/>
      <c r="F771" s="43"/>
      <c r="G771" s="1"/>
      <c r="H771" s="1"/>
      <c r="I771" s="44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42"/>
      <c r="AE771" s="43"/>
      <c r="AF771" s="43"/>
      <c r="AG771" s="1"/>
    </row>
    <row r="772" spans="1:33" ht="44.25" customHeight="1" x14ac:dyDescent="0.25">
      <c r="A772" s="1"/>
      <c r="B772" s="1"/>
      <c r="C772" s="1"/>
      <c r="D772" s="1"/>
      <c r="E772" s="42"/>
      <c r="F772" s="43"/>
      <c r="G772" s="1"/>
      <c r="H772" s="1"/>
      <c r="I772" s="44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42"/>
      <c r="AE772" s="43"/>
      <c r="AF772" s="43"/>
      <c r="AG772" s="1"/>
    </row>
    <row r="773" spans="1:33" ht="44.25" customHeight="1" x14ac:dyDescent="0.25">
      <c r="A773" s="1"/>
      <c r="B773" s="1"/>
      <c r="C773" s="1"/>
      <c r="D773" s="1"/>
      <c r="E773" s="42"/>
      <c r="F773" s="43"/>
      <c r="G773" s="1"/>
      <c r="H773" s="1"/>
      <c r="I773" s="44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42"/>
      <c r="AE773" s="43"/>
      <c r="AF773" s="43"/>
      <c r="AG773" s="1"/>
    </row>
    <row r="774" spans="1:33" ht="44.25" customHeight="1" x14ac:dyDescent="0.25">
      <c r="A774" s="1"/>
      <c r="B774" s="1"/>
      <c r="C774" s="1"/>
      <c r="D774" s="1"/>
      <c r="E774" s="42"/>
      <c r="F774" s="43"/>
      <c r="G774" s="1"/>
      <c r="H774" s="1"/>
      <c r="I774" s="44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42"/>
      <c r="AE774" s="43"/>
      <c r="AF774" s="43"/>
      <c r="AG774" s="1"/>
    </row>
    <row r="775" spans="1:33" ht="44.25" customHeight="1" x14ac:dyDescent="0.25">
      <c r="A775" s="1"/>
      <c r="B775" s="1"/>
      <c r="C775" s="1"/>
      <c r="D775" s="1"/>
      <c r="E775" s="42"/>
      <c r="F775" s="43"/>
      <c r="G775" s="1"/>
      <c r="H775" s="1"/>
      <c r="I775" s="44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42"/>
      <c r="AE775" s="43"/>
      <c r="AF775" s="43"/>
      <c r="AG775" s="1"/>
    </row>
    <row r="776" spans="1:33" ht="44.25" customHeight="1" x14ac:dyDescent="0.25">
      <c r="A776" s="1"/>
      <c r="B776" s="1"/>
      <c r="C776" s="1"/>
      <c r="D776" s="1"/>
      <c r="E776" s="42"/>
      <c r="F776" s="43"/>
      <c r="G776" s="1"/>
      <c r="H776" s="1"/>
      <c r="I776" s="44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42"/>
      <c r="AE776" s="43"/>
      <c r="AF776" s="43"/>
      <c r="AG776" s="1"/>
    </row>
    <row r="777" spans="1:33" ht="44.25" customHeight="1" x14ac:dyDescent="0.25">
      <c r="A777" s="1"/>
      <c r="B777" s="1"/>
      <c r="C777" s="1"/>
      <c r="D777" s="1"/>
      <c r="E777" s="42"/>
      <c r="F777" s="43"/>
      <c r="G777" s="1"/>
      <c r="H777" s="1"/>
      <c r="I777" s="44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42"/>
      <c r="AE777" s="43"/>
      <c r="AF777" s="43"/>
      <c r="AG777" s="1"/>
    </row>
    <row r="778" spans="1:33" ht="44.25" customHeight="1" x14ac:dyDescent="0.25">
      <c r="A778" s="1"/>
      <c r="B778" s="1"/>
      <c r="C778" s="1"/>
      <c r="D778" s="1"/>
      <c r="E778" s="42"/>
      <c r="F778" s="43"/>
      <c r="G778" s="1"/>
      <c r="H778" s="1"/>
      <c r="I778" s="44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42"/>
      <c r="AE778" s="43"/>
      <c r="AF778" s="43"/>
      <c r="AG778" s="1"/>
    </row>
    <row r="779" spans="1:33" ht="44.25" customHeight="1" x14ac:dyDescent="0.25">
      <c r="A779" s="1"/>
      <c r="B779" s="1"/>
      <c r="C779" s="1"/>
      <c r="D779" s="1"/>
      <c r="E779" s="42"/>
      <c r="F779" s="43"/>
      <c r="G779" s="1"/>
      <c r="H779" s="1"/>
      <c r="I779" s="44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42"/>
      <c r="AE779" s="43"/>
      <c r="AF779" s="43"/>
      <c r="AG779" s="1"/>
    </row>
    <row r="780" spans="1:33" ht="44.25" customHeight="1" x14ac:dyDescent="0.25">
      <c r="A780" s="1"/>
      <c r="B780" s="1"/>
      <c r="C780" s="1"/>
      <c r="D780" s="1"/>
      <c r="E780" s="42"/>
      <c r="F780" s="43"/>
      <c r="G780" s="1"/>
      <c r="H780" s="1"/>
      <c r="I780" s="44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42"/>
      <c r="AE780" s="43"/>
      <c r="AF780" s="43"/>
      <c r="AG780" s="1"/>
    </row>
    <row r="781" spans="1:33" ht="44.25" customHeight="1" x14ac:dyDescent="0.25">
      <c r="A781" s="1"/>
      <c r="B781" s="1"/>
      <c r="C781" s="1"/>
      <c r="D781" s="1"/>
      <c r="E781" s="42"/>
      <c r="F781" s="43"/>
      <c r="G781" s="1"/>
      <c r="H781" s="1"/>
      <c r="I781" s="44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42"/>
      <c r="AE781" s="43"/>
      <c r="AF781" s="43"/>
      <c r="AG781" s="1"/>
    </row>
    <row r="782" spans="1:33" ht="44.25" customHeight="1" x14ac:dyDescent="0.25">
      <c r="A782" s="1"/>
      <c r="B782" s="1"/>
      <c r="C782" s="1"/>
      <c r="D782" s="1"/>
      <c r="E782" s="42"/>
      <c r="F782" s="43"/>
      <c r="G782" s="1"/>
      <c r="H782" s="1"/>
      <c r="I782" s="44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42"/>
      <c r="AE782" s="43"/>
      <c r="AF782" s="43"/>
      <c r="AG782" s="1"/>
    </row>
    <row r="783" spans="1:33" ht="44.25" customHeight="1" x14ac:dyDescent="0.25">
      <c r="A783" s="1"/>
      <c r="B783" s="1"/>
      <c r="C783" s="1"/>
      <c r="D783" s="1"/>
      <c r="E783" s="42"/>
      <c r="F783" s="43"/>
      <c r="G783" s="1"/>
      <c r="H783" s="1"/>
      <c r="I783" s="44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42"/>
      <c r="AE783" s="43"/>
      <c r="AF783" s="43"/>
      <c r="AG783" s="1"/>
    </row>
    <row r="784" spans="1:33" ht="44.25" customHeight="1" x14ac:dyDescent="0.25">
      <c r="A784" s="1"/>
      <c r="B784" s="1"/>
      <c r="C784" s="1"/>
      <c r="D784" s="1"/>
      <c r="E784" s="42"/>
      <c r="F784" s="43"/>
      <c r="G784" s="1"/>
      <c r="H784" s="1"/>
      <c r="I784" s="44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42"/>
      <c r="AE784" s="43"/>
      <c r="AF784" s="43"/>
      <c r="AG784" s="1"/>
    </row>
    <row r="785" spans="1:33" ht="44.25" customHeight="1" x14ac:dyDescent="0.25">
      <c r="A785" s="1"/>
      <c r="B785" s="1"/>
      <c r="C785" s="1"/>
      <c r="D785" s="1"/>
      <c r="E785" s="42"/>
      <c r="F785" s="43"/>
      <c r="G785" s="1"/>
      <c r="H785" s="1"/>
      <c r="I785" s="44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42"/>
      <c r="AE785" s="43"/>
      <c r="AF785" s="43"/>
      <c r="AG785" s="1"/>
    </row>
    <row r="786" spans="1:33" ht="44.25" customHeight="1" x14ac:dyDescent="0.25">
      <c r="A786" s="1"/>
      <c r="B786" s="1"/>
      <c r="C786" s="1"/>
      <c r="D786" s="1"/>
      <c r="E786" s="42"/>
      <c r="F786" s="43"/>
      <c r="G786" s="1"/>
      <c r="H786" s="1"/>
      <c r="I786" s="44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42"/>
      <c r="AE786" s="43"/>
      <c r="AF786" s="43"/>
      <c r="AG786" s="1"/>
    </row>
    <row r="787" spans="1:33" ht="44.25" customHeight="1" x14ac:dyDescent="0.25">
      <c r="A787" s="1"/>
      <c r="B787" s="1"/>
      <c r="C787" s="1"/>
      <c r="D787" s="1"/>
      <c r="E787" s="42"/>
      <c r="F787" s="43"/>
      <c r="G787" s="1"/>
      <c r="H787" s="1"/>
      <c r="I787" s="44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42"/>
      <c r="AE787" s="43"/>
      <c r="AF787" s="43"/>
      <c r="AG787" s="1"/>
    </row>
    <row r="788" spans="1:33" ht="44.25" customHeight="1" x14ac:dyDescent="0.25">
      <c r="A788" s="1"/>
      <c r="B788" s="1"/>
      <c r="C788" s="1"/>
      <c r="D788" s="1"/>
      <c r="E788" s="42"/>
      <c r="F788" s="43"/>
      <c r="G788" s="1"/>
      <c r="H788" s="1"/>
      <c r="I788" s="44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42"/>
      <c r="AE788" s="43"/>
      <c r="AF788" s="43"/>
      <c r="AG788" s="1"/>
    </row>
    <row r="789" spans="1:33" ht="44.25" customHeight="1" x14ac:dyDescent="0.25">
      <c r="A789" s="1"/>
      <c r="B789" s="1"/>
      <c r="C789" s="1"/>
      <c r="D789" s="1"/>
      <c r="E789" s="42"/>
      <c r="F789" s="43"/>
      <c r="G789" s="1"/>
      <c r="H789" s="1"/>
      <c r="I789" s="44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42"/>
      <c r="AE789" s="43"/>
      <c r="AF789" s="43"/>
      <c r="AG789" s="1"/>
    </row>
    <row r="790" spans="1:33" ht="44.25" customHeight="1" x14ac:dyDescent="0.25">
      <c r="A790" s="1"/>
      <c r="B790" s="1"/>
      <c r="C790" s="1"/>
      <c r="D790" s="1"/>
      <c r="E790" s="42"/>
      <c r="F790" s="43"/>
      <c r="G790" s="1"/>
      <c r="H790" s="1"/>
      <c r="I790" s="44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42"/>
      <c r="AE790" s="43"/>
      <c r="AF790" s="43"/>
      <c r="AG790" s="1"/>
    </row>
    <row r="791" spans="1:33" ht="44.25" customHeight="1" x14ac:dyDescent="0.25">
      <c r="A791" s="1"/>
      <c r="B791" s="1"/>
      <c r="C791" s="1"/>
      <c r="D791" s="1"/>
      <c r="E791" s="42"/>
      <c r="F791" s="43"/>
      <c r="G791" s="1"/>
      <c r="H791" s="1"/>
      <c r="I791" s="44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42"/>
      <c r="AE791" s="43"/>
      <c r="AF791" s="43"/>
      <c r="AG791" s="1"/>
    </row>
    <row r="792" spans="1:33" ht="44.25" customHeight="1" x14ac:dyDescent="0.25">
      <c r="A792" s="1"/>
      <c r="B792" s="1"/>
      <c r="C792" s="1"/>
      <c r="D792" s="1"/>
      <c r="E792" s="42"/>
      <c r="F792" s="43"/>
      <c r="G792" s="1"/>
      <c r="H792" s="1"/>
      <c r="I792" s="44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42"/>
      <c r="AE792" s="43"/>
      <c r="AF792" s="43"/>
      <c r="AG792" s="1"/>
    </row>
    <row r="793" spans="1:33" ht="44.25" customHeight="1" x14ac:dyDescent="0.25">
      <c r="A793" s="1"/>
      <c r="B793" s="1"/>
      <c r="C793" s="1"/>
      <c r="D793" s="1"/>
      <c r="E793" s="42"/>
      <c r="F793" s="43"/>
      <c r="G793" s="1"/>
      <c r="H793" s="1"/>
      <c r="I793" s="44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42"/>
      <c r="AE793" s="43"/>
      <c r="AF793" s="43"/>
      <c r="AG793" s="1"/>
    </row>
    <row r="794" spans="1:33" ht="44.25" customHeight="1" x14ac:dyDescent="0.25">
      <c r="A794" s="1"/>
      <c r="B794" s="1"/>
      <c r="C794" s="1"/>
      <c r="D794" s="1"/>
      <c r="E794" s="42"/>
      <c r="F794" s="43"/>
      <c r="G794" s="1"/>
      <c r="H794" s="1"/>
      <c r="I794" s="44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42"/>
      <c r="AE794" s="43"/>
      <c r="AF794" s="43"/>
      <c r="AG794" s="1"/>
    </row>
    <row r="795" spans="1:33" ht="44.25" customHeight="1" x14ac:dyDescent="0.25">
      <c r="A795" s="1"/>
      <c r="B795" s="1"/>
      <c r="C795" s="1"/>
      <c r="D795" s="1"/>
      <c r="E795" s="42"/>
      <c r="F795" s="43"/>
      <c r="G795" s="1"/>
      <c r="H795" s="1"/>
      <c r="I795" s="44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42"/>
      <c r="AE795" s="43"/>
      <c r="AF795" s="43"/>
      <c r="AG795" s="1"/>
    </row>
    <row r="796" spans="1:33" ht="44.25" customHeight="1" x14ac:dyDescent="0.25">
      <c r="A796" s="1"/>
      <c r="B796" s="1"/>
      <c r="C796" s="1"/>
      <c r="D796" s="1"/>
      <c r="E796" s="42"/>
      <c r="F796" s="43"/>
      <c r="G796" s="1"/>
      <c r="H796" s="1"/>
      <c r="I796" s="44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42"/>
      <c r="AE796" s="43"/>
      <c r="AF796" s="43"/>
      <c r="AG796" s="1"/>
    </row>
    <row r="797" spans="1:33" ht="44.25" customHeight="1" x14ac:dyDescent="0.25">
      <c r="A797" s="1"/>
      <c r="B797" s="1"/>
      <c r="C797" s="1"/>
      <c r="D797" s="1"/>
      <c r="E797" s="42"/>
      <c r="F797" s="43"/>
      <c r="G797" s="1"/>
      <c r="H797" s="1"/>
      <c r="I797" s="44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42"/>
      <c r="AE797" s="43"/>
      <c r="AF797" s="43"/>
      <c r="AG797" s="1"/>
    </row>
    <row r="798" spans="1:33" ht="44.25" customHeight="1" x14ac:dyDescent="0.25">
      <c r="A798" s="1"/>
      <c r="B798" s="1"/>
      <c r="C798" s="1"/>
      <c r="D798" s="1"/>
      <c r="E798" s="42"/>
      <c r="F798" s="43"/>
      <c r="G798" s="1"/>
      <c r="H798" s="1"/>
      <c r="I798" s="44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42"/>
      <c r="AE798" s="43"/>
      <c r="AF798" s="43"/>
      <c r="AG798" s="1"/>
    </row>
    <row r="799" spans="1:33" ht="44.25" customHeight="1" x14ac:dyDescent="0.25">
      <c r="A799" s="1"/>
      <c r="B799" s="1"/>
      <c r="C799" s="1"/>
      <c r="D799" s="1"/>
      <c r="E799" s="42"/>
      <c r="F799" s="43"/>
      <c r="G799" s="1"/>
      <c r="H799" s="1"/>
      <c r="I799" s="44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42"/>
      <c r="AE799" s="43"/>
      <c r="AF799" s="43"/>
      <c r="AG799" s="1"/>
    </row>
    <row r="800" spans="1:33" ht="44.25" customHeight="1" x14ac:dyDescent="0.25">
      <c r="A800" s="1"/>
      <c r="B800" s="1"/>
      <c r="C800" s="1"/>
      <c r="D800" s="1"/>
      <c r="E800" s="42"/>
      <c r="F800" s="43"/>
      <c r="G800" s="1"/>
      <c r="H800" s="1"/>
      <c r="I800" s="44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42"/>
      <c r="AE800" s="43"/>
      <c r="AF800" s="43"/>
      <c r="AG800" s="1"/>
    </row>
    <row r="801" spans="1:33" ht="44.25" customHeight="1" x14ac:dyDescent="0.25">
      <c r="A801" s="1"/>
      <c r="B801" s="1"/>
      <c r="C801" s="1"/>
      <c r="D801" s="1"/>
      <c r="E801" s="42"/>
      <c r="F801" s="43"/>
      <c r="G801" s="1"/>
      <c r="H801" s="1"/>
      <c r="I801" s="44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42"/>
      <c r="AE801" s="43"/>
      <c r="AF801" s="43"/>
      <c r="AG801" s="1"/>
    </row>
    <row r="802" spans="1:33" ht="44.25" customHeight="1" x14ac:dyDescent="0.25">
      <c r="A802" s="1"/>
      <c r="B802" s="1"/>
      <c r="C802" s="1"/>
      <c r="D802" s="1"/>
      <c r="E802" s="42"/>
      <c r="F802" s="43"/>
      <c r="G802" s="1"/>
      <c r="H802" s="1"/>
      <c r="I802" s="44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42"/>
      <c r="AE802" s="43"/>
      <c r="AF802" s="43"/>
      <c r="AG802" s="1"/>
    </row>
    <row r="803" spans="1:33" ht="44.25" customHeight="1" x14ac:dyDescent="0.25">
      <c r="A803" s="1"/>
      <c r="B803" s="1"/>
      <c r="C803" s="1"/>
      <c r="D803" s="1"/>
      <c r="E803" s="42"/>
      <c r="F803" s="43"/>
      <c r="G803" s="1"/>
      <c r="H803" s="1"/>
      <c r="I803" s="44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42"/>
      <c r="AE803" s="43"/>
      <c r="AF803" s="43"/>
      <c r="AG803" s="1"/>
    </row>
    <row r="804" spans="1:33" ht="44.25" customHeight="1" x14ac:dyDescent="0.25">
      <c r="A804" s="1"/>
      <c r="B804" s="1"/>
      <c r="C804" s="1"/>
      <c r="D804" s="1"/>
      <c r="E804" s="42"/>
      <c r="F804" s="43"/>
      <c r="G804" s="1"/>
      <c r="H804" s="1"/>
      <c r="I804" s="44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42"/>
      <c r="AE804" s="43"/>
      <c r="AF804" s="43"/>
      <c r="AG804" s="1"/>
    </row>
    <row r="805" spans="1:33" ht="44.25" customHeight="1" x14ac:dyDescent="0.25">
      <c r="A805" s="1"/>
      <c r="B805" s="1"/>
      <c r="C805" s="1"/>
      <c r="D805" s="1"/>
      <c r="E805" s="42"/>
      <c r="F805" s="43"/>
      <c r="G805" s="1"/>
      <c r="H805" s="1"/>
      <c r="I805" s="44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42"/>
      <c r="AE805" s="43"/>
      <c r="AF805" s="43"/>
      <c r="AG805" s="1"/>
    </row>
    <row r="806" spans="1:33" ht="44.25" customHeight="1" x14ac:dyDescent="0.25">
      <c r="A806" s="1"/>
      <c r="B806" s="1"/>
      <c r="C806" s="1"/>
      <c r="D806" s="1"/>
      <c r="E806" s="42"/>
      <c r="F806" s="43"/>
      <c r="G806" s="1"/>
      <c r="H806" s="1"/>
      <c r="I806" s="44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42"/>
      <c r="AE806" s="43"/>
      <c r="AF806" s="43"/>
      <c r="AG806" s="1"/>
    </row>
    <row r="807" spans="1:33" ht="44.25" customHeight="1" x14ac:dyDescent="0.25">
      <c r="A807" s="1"/>
      <c r="B807" s="1"/>
      <c r="C807" s="1"/>
      <c r="D807" s="1"/>
      <c r="E807" s="42"/>
      <c r="F807" s="43"/>
      <c r="G807" s="1"/>
      <c r="H807" s="1"/>
      <c r="I807" s="44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42"/>
      <c r="AE807" s="43"/>
      <c r="AF807" s="43"/>
      <c r="AG807" s="1"/>
    </row>
    <row r="808" spans="1:33" ht="44.25" customHeight="1" x14ac:dyDescent="0.25">
      <c r="A808" s="1"/>
      <c r="B808" s="1"/>
      <c r="C808" s="1"/>
      <c r="D808" s="1"/>
      <c r="E808" s="42"/>
      <c r="F808" s="43"/>
      <c r="G808" s="1"/>
      <c r="H808" s="1"/>
      <c r="I808" s="44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42"/>
      <c r="AE808" s="43"/>
      <c r="AF808" s="43"/>
      <c r="AG808" s="1"/>
    </row>
    <row r="809" spans="1:33" ht="44.25" customHeight="1" x14ac:dyDescent="0.25">
      <c r="A809" s="1"/>
      <c r="B809" s="1"/>
      <c r="C809" s="1"/>
      <c r="D809" s="1"/>
      <c r="E809" s="42"/>
      <c r="F809" s="43"/>
      <c r="G809" s="1"/>
      <c r="H809" s="1"/>
      <c r="I809" s="44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42"/>
      <c r="AE809" s="43"/>
      <c r="AF809" s="43"/>
      <c r="AG809" s="1"/>
    </row>
    <row r="810" spans="1:33" ht="44.25" customHeight="1" x14ac:dyDescent="0.25">
      <c r="A810" s="1"/>
      <c r="B810" s="1"/>
      <c r="C810" s="1"/>
      <c r="D810" s="1"/>
      <c r="E810" s="42"/>
      <c r="F810" s="43"/>
      <c r="G810" s="1"/>
      <c r="H810" s="1"/>
      <c r="I810" s="44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42"/>
      <c r="AE810" s="43"/>
      <c r="AF810" s="43"/>
      <c r="AG810" s="1"/>
    </row>
    <row r="811" spans="1:33" ht="44.25" customHeight="1" x14ac:dyDescent="0.25">
      <c r="A811" s="1"/>
      <c r="B811" s="1"/>
      <c r="C811" s="1"/>
      <c r="D811" s="1"/>
      <c r="E811" s="42"/>
      <c r="F811" s="43"/>
      <c r="G811" s="1"/>
      <c r="H811" s="1"/>
      <c r="I811" s="44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42"/>
      <c r="AE811" s="43"/>
      <c r="AF811" s="43"/>
      <c r="AG811" s="1"/>
    </row>
    <row r="812" spans="1:33" ht="44.25" customHeight="1" x14ac:dyDescent="0.25">
      <c r="A812" s="1"/>
      <c r="B812" s="1"/>
      <c r="C812" s="1"/>
      <c r="D812" s="1"/>
      <c r="E812" s="42"/>
      <c r="F812" s="43"/>
      <c r="G812" s="1"/>
      <c r="H812" s="1"/>
      <c r="I812" s="44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42"/>
      <c r="AE812" s="43"/>
      <c r="AF812" s="43"/>
      <c r="AG812" s="1"/>
    </row>
    <row r="813" spans="1:33" ht="44.25" customHeight="1" x14ac:dyDescent="0.25">
      <c r="A813" s="1"/>
      <c r="B813" s="1"/>
      <c r="C813" s="1"/>
      <c r="D813" s="1"/>
      <c r="E813" s="42"/>
      <c r="F813" s="43"/>
      <c r="G813" s="1"/>
      <c r="H813" s="1"/>
      <c r="I813" s="44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42"/>
      <c r="AE813" s="43"/>
      <c r="AF813" s="43"/>
      <c r="AG813" s="1"/>
    </row>
    <row r="814" spans="1:33" ht="44.25" customHeight="1" x14ac:dyDescent="0.25">
      <c r="A814" s="1"/>
      <c r="B814" s="1"/>
      <c r="C814" s="1"/>
      <c r="D814" s="1"/>
      <c r="E814" s="42"/>
      <c r="F814" s="43"/>
      <c r="G814" s="1"/>
      <c r="H814" s="1"/>
      <c r="I814" s="44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42"/>
      <c r="AE814" s="43"/>
      <c r="AF814" s="43"/>
      <c r="AG814" s="1"/>
    </row>
    <row r="815" spans="1:33" ht="44.25" customHeight="1" x14ac:dyDescent="0.25">
      <c r="A815" s="1"/>
      <c r="B815" s="1"/>
      <c r="C815" s="1"/>
      <c r="D815" s="1"/>
      <c r="E815" s="42"/>
      <c r="F815" s="43"/>
      <c r="G815" s="1"/>
      <c r="H815" s="1"/>
      <c r="I815" s="44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42"/>
      <c r="AE815" s="43"/>
      <c r="AF815" s="43"/>
      <c r="AG815" s="1"/>
    </row>
    <row r="816" spans="1:33" ht="44.25" customHeight="1" x14ac:dyDescent="0.25">
      <c r="A816" s="1"/>
      <c r="B816" s="1"/>
      <c r="C816" s="1"/>
      <c r="D816" s="1"/>
      <c r="E816" s="42"/>
      <c r="F816" s="43"/>
      <c r="G816" s="1"/>
      <c r="H816" s="1"/>
      <c r="I816" s="44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42"/>
      <c r="AE816" s="43"/>
      <c r="AF816" s="43"/>
      <c r="AG816" s="1"/>
    </row>
    <row r="817" spans="1:33" ht="44.25" customHeight="1" x14ac:dyDescent="0.25">
      <c r="A817" s="1"/>
      <c r="B817" s="1"/>
      <c r="C817" s="1"/>
      <c r="D817" s="1"/>
      <c r="E817" s="42"/>
      <c r="F817" s="43"/>
      <c r="G817" s="1"/>
      <c r="H817" s="1"/>
      <c r="I817" s="44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42"/>
      <c r="AE817" s="43"/>
      <c r="AF817" s="43"/>
      <c r="AG817" s="1"/>
    </row>
    <row r="818" spans="1:33" ht="44.25" customHeight="1" x14ac:dyDescent="0.25">
      <c r="A818" s="1"/>
      <c r="B818" s="1"/>
      <c r="C818" s="1"/>
      <c r="D818" s="1"/>
      <c r="E818" s="42"/>
      <c r="F818" s="43"/>
      <c r="G818" s="1"/>
      <c r="H818" s="1"/>
      <c r="I818" s="44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42"/>
      <c r="AE818" s="43"/>
      <c r="AF818" s="43"/>
      <c r="AG818" s="1"/>
    </row>
    <row r="819" spans="1:33" ht="44.25" customHeight="1" x14ac:dyDescent="0.25">
      <c r="A819" s="1"/>
      <c r="B819" s="1"/>
      <c r="C819" s="1"/>
      <c r="D819" s="1"/>
      <c r="E819" s="42"/>
      <c r="F819" s="43"/>
      <c r="G819" s="1"/>
      <c r="H819" s="1"/>
      <c r="I819" s="44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42"/>
      <c r="AE819" s="43"/>
      <c r="AF819" s="43"/>
      <c r="AG819" s="1"/>
    </row>
    <row r="820" spans="1:33" ht="44.25" customHeight="1" x14ac:dyDescent="0.25">
      <c r="A820" s="1"/>
      <c r="B820" s="1"/>
      <c r="C820" s="1"/>
      <c r="D820" s="1"/>
      <c r="E820" s="42"/>
      <c r="F820" s="43"/>
      <c r="G820" s="1"/>
      <c r="H820" s="1"/>
      <c r="I820" s="44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42"/>
      <c r="AE820" s="43"/>
      <c r="AF820" s="43"/>
      <c r="AG820" s="1"/>
    </row>
    <row r="821" spans="1:33" ht="44.25" customHeight="1" x14ac:dyDescent="0.25">
      <c r="A821" s="1"/>
      <c r="B821" s="1"/>
      <c r="C821" s="1"/>
      <c r="D821" s="1"/>
      <c r="E821" s="42"/>
      <c r="F821" s="43"/>
      <c r="G821" s="1"/>
      <c r="H821" s="1"/>
      <c r="I821" s="44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42"/>
      <c r="AE821" s="43"/>
      <c r="AF821" s="43"/>
      <c r="AG821" s="1"/>
    </row>
    <row r="822" spans="1:33" ht="44.25" customHeight="1" x14ac:dyDescent="0.25">
      <c r="A822" s="1"/>
      <c r="B822" s="1"/>
      <c r="C822" s="1"/>
      <c r="D822" s="1"/>
      <c r="E822" s="42"/>
      <c r="F822" s="43"/>
      <c r="G822" s="1"/>
      <c r="H822" s="1"/>
      <c r="I822" s="44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42"/>
      <c r="AE822" s="43"/>
      <c r="AF822" s="43"/>
      <c r="AG822" s="1"/>
    </row>
    <row r="823" spans="1:33" ht="44.25" customHeight="1" x14ac:dyDescent="0.25">
      <c r="A823" s="1"/>
      <c r="B823" s="1"/>
      <c r="C823" s="1"/>
      <c r="D823" s="1"/>
      <c r="E823" s="42"/>
      <c r="F823" s="43"/>
      <c r="G823" s="1"/>
      <c r="H823" s="1"/>
      <c r="I823" s="44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42"/>
      <c r="AE823" s="43"/>
      <c r="AF823" s="43"/>
      <c r="AG823" s="1"/>
    </row>
    <row r="824" spans="1:33" ht="44.25" customHeight="1" x14ac:dyDescent="0.25">
      <c r="A824" s="1"/>
      <c r="B824" s="1"/>
      <c r="C824" s="1"/>
      <c r="D824" s="1"/>
      <c r="E824" s="42"/>
      <c r="F824" s="43"/>
      <c r="G824" s="1"/>
      <c r="H824" s="1"/>
      <c r="I824" s="44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42"/>
      <c r="AE824" s="43"/>
      <c r="AF824" s="43"/>
      <c r="AG824" s="1"/>
    </row>
    <row r="825" spans="1:33" ht="44.25" customHeight="1" x14ac:dyDescent="0.25">
      <c r="A825" s="1"/>
      <c r="B825" s="1"/>
      <c r="C825" s="1"/>
      <c r="D825" s="1"/>
      <c r="E825" s="42"/>
      <c r="F825" s="43"/>
      <c r="G825" s="1"/>
      <c r="H825" s="1"/>
      <c r="I825" s="44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42"/>
      <c r="AE825" s="43"/>
      <c r="AF825" s="43"/>
      <c r="AG825" s="1"/>
    </row>
    <row r="826" spans="1:33" ht="44.25" customHeight="1" x14ac:dyDescent="0.25">
      <c r="A826" s="1"/>
      <c r="B826" s="1"/>
      <c r="C826" s="1"/>
      <c r="D826" s="1"/>
      <c r="E826" s="42"/>
      <c r="F826" s="43"/>
      <c r="G826" s="1"/>
      <c r="H826" s="1"/>
      <c r="I826" s="44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42"/>
      <c r="AE826" s="43"/>
      <c r="AF826" s="43"/>
      <c r="AG826" s="1"/>
    </row>
    <row r="827" spans="1:33" ht="44.25" customHeight="1" x14ac:dyDescent="0.25">
      <c r="A827" s="1"/>
      <c r="B827" s="1"/>
      <c r="C827" s="1"/>
      <c r="D827" s="1"/>
      <c r="E827" s="42"/>
      <c r="F827" s="43"/>
      <c r="G827" s="1"/>
      <c r="H827" s="1"/>
      <c r="I827" s="44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42"/>
      <c r="AE827" s="43"/>
      <c r="AF827" s="43"/>
      <c r="AG827" s="1"/>
    </row>
    <row r="828" spans="1:33" ht="44.25" customHeight="1" x14ac:dyDescent="0.25">
      <c r="A828" s="1"/>
      <c r="B828" s="1"/>
      <c r="C828" s="1"/>
      <c r="D828" s="1"/>
      <c r="E828" s="42"/>
      <c r="F828" s="43"/>
      <c r="G828" s="1"/>
      <c r="H828" s="1"/>
      <c r="I828" s="44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42"/>
      <c r="AE828" s="43"/>
      <c r="AF828" s="43"/>
      <c r="AG828" s="1"/>
    </row>
    <row r="829" spans="1:33" ht="44.25" customHeight="1" x14ac:dyDescent="0.25">
      <c r="A829" s="1"/>
      <c r="B829" s="1"/>
      <c r="C829" s="1"/>
      <c r="D829" s="1"/>
      <c r="E829" s="42"/>
      <c r="F829" s="43"/>
      <c r="G829" s="1"/>
      <c r="H829" s="1"/>
      <c r="I829" s="44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42"/>
      <c r="AE829" s="43"/>
      <c r="AF829" s="43"/>
      <c r="AG829" s="1"/>
    </row>
    <row r="830" spans="1:33" ht="44.25" customHeight="1" x14ac:dyDescent="0.25">
      <c r="A830" s="1"/>
      <c r="B830" s="1"/>
      <c r="C830" s="1"/>
      <c r="D830" s="1"/>
      <c r="E830" s="42"/>
      <c r="F830" s="43"/>
      <c r="G830" s="1"/>
      <c r="H830" s="1"/>
      <c r="I830" s="44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42"/>
      <c r="AE830" s="43"/>
      <c r="AF830" s="43"/>
      <c r="AG830" s="1"/>
    </row>
    <row r="831" spans="1:33" ht="44.25" customHeight="1" x14ac:dyDescent="0.25">
      <c r="A831" s="1"/>
      <c r="B831" s="1"/>
      <c r="C831" s="1"/>
      <c r="D831" s="1"/>
      <c r="E831" s="42"/>
      <c r="F831" s="43"/>
      <c r="G831" s="1"/>
      <c r="H831" s="1"/>
      <c r="I831" s="44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42"/>
      <c r="AE831" s="43"/>
      <c r="AF831" s="43"/>
      <c r="AG831" s="1"/>
    </row>
    <row r="832" spans="1:33" ht="44.25" customHeight="1" x14ac:dyDescent="0.25">
      <c r="A832" s="1"/>
      <c r="B832" s="1"/>
      <c r="C832" s="1"/>
      <c r="D832" s="1"/>
      <c r="E832" s="42"/>
      <c r="F832" s="43"/>
      <c r="G832" s="1"/>
      <c r="H832" s="1"/>
      <c r="I832" s="44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42"/>
      <c r="AE832" s="43"/>
      <c r="AF832" s="43"/>
      <c r="AG832" s="1"/>
    </row>
    <row r="833" spans="1:33" ht="44.25" customHeight="1" x14ac:dyDescent="0.25">
      <c r="A833" s="1"/>
      <c r="B833" s="1"/>
      <c r="C833" s="1"/>
      <c r="D833" s="1"/>
      <c r="E833" s="42"/>
      <c r="F833" s="43"/>
      <c r="G833" s="1"/>
      <c r="H833" s="1"/>
      <c r="I833" s="44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42"/>
      <c r="AE833" s="43"/>
      <c r="AF833" s="43"/>
      <c r="AG833" s="1"/>
    </row>
    <row r="834" spans="1:33" ht="44.25" customHeight="1" x14ac:dyDescent="0.25">
      <c r="A834" s="1"/>
      <c r="B834" s="1"/>
      <c r="C834" s="1"/>
      <c r="D834" s="1"/>
      <c r="E834" s="42"/>
      <c r="F834" s="43"/>
      <c r="G834" s="1"/>
      <c r="H834" s="1"/>
      <c r="I834" s="44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42"/>
      <c r="AE834" s="43"/>
      <c r="AF834" s="43"/>
      <c r="AG834" s="1"/>
    </row>
    <row r="835" spans="1:33" ht="44.25" customHeight="1" x14ac:dyDescent="0.25">
      <c r="A835" s="1"/>
      <c r="B835" s="1"/>
      <c r="C835" s="1"/>
      <c r="D835" s="1"/>
      <c r="E835" s="42"/>
      <c r="F835" s="43"/>
      <c r="G835" s="1"/>
      <c r="H835" s="1"/>
      <c r="I835" s="44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42"/>
      <c r="AE835" s="43"/>
      <c r="AF835" s="43"/>
      <c r="AG835" s="1"/>
    </row>
    <row r="836" spans="1:33" ht="44.25" customHeight="1" x14ac:dyDescent="0.25">
      <c r="A836" s="1"/>
      <c r="B836" s="1"/>
      <c r="C836" s="1"/>
      <c r="D836" s="1"/>
      <c r="E836" s="42"/>
      <c r="F836" s="43"/>
      <c r="G836" s="1"/>
      <c r="H836" s="1"/>
      <c r="I836" s="44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42"/>
      <c r="AE836" s="43"/>
      <c r="AF836" s="43"/>
      <c r="AG836" s="1"/>
    </row>
    <row r="837" spans="1:33" ht="44.25" customHeight="1" x14ac:dyDescent="0.25">
      <c r="A837" s="1"/>
      <c r="B837" s="1"/>
      <c r="C837" s="1"/>
      <c r="D837" s="1"/>
      <c r="E837" s="42"/>
      <c r="F837" s="43"/>
      <c r="G837" s="1"/>
      <c r="H837" s="1"/>
      <c r="I837" s="44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42"/>
      <c r="AE837" s="43"/>
      <c r="AF837" s="43"/>
      <c r="AG837" s="1"/>
    </row>
    <row r="838" spans="1:33" ht="44.25" customHeight="1" x14ac:dyDescent="0.25">
      <c r="A838" s="1"/>
      <c r="B838" s="1"/>
      <c r="C838" s="1"/>
      <c r="D838" s="1"/>
      <c r="E838" s="42"/>
      <c r="F838" s="43"/>
      <c r="G838" s="1"/>
      <c r="H838" s="1"/>
      <c r="I838" s="44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42"/>
      <c r="AE838" s="43"/>
      <c r="AF838" s="43"/>
      <c r="AG838" s="1"/>
    </row>
    <row r="839" spans="1:33" ht="44.25" customHeight="1" x14ac:dyDescent="0.25">
      <c r="A839" s="1"/>
      <c r="B839" s="1"/>
      <c r="C839" s="1"/>
      <c r="D839" s="1"/>
      <c r="E839" s="42"/>
      <c r="F839" s="43"/>
      <c r="G839" s="1"/>
      <c r="H839" s="1"/>
      <c r="I839" s="44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42"/>
      <c r="AE839" s="43"/>
      <c r="AF839" s="43"/>
      <c r="AG839" s="1"/>
    </row>
    <row r="840" spans="1:33" ht="44.25" customHeight="1" x14ac:dyDescent="0.25">
      <c r="A840" s="1"/>
      <c r="B840" s="1"/>
      <c r="C840" s="1"/>
      <c r="D840" s="1"/>
      <c r="E840" s="42"/>
      <c r="F840" s="43"/>
      <c r="G840" s="1"/>
      <c r="H840" s="1"/>
      <c r="I840" s="44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42"/>
      <c r="AE840" s="43"/>
      <c r="AF840" s="43"/>
      <c r="AG840" s="1"/>
    </row>
    <row r="841" spans="1:33" ht="44.25" customHeight="1" x14ac:dyDescent="0.25">
      <c r="A841" s="1"/>
      <c r="B841" s="1"/>
      <c r="C841" s="1"/>
      <c r="D841" s="1"/>
      <c r="E841" s="42"/>
      <c r="F841" s="43"/>
      <c r="G841" s="1"/>
      <c r="H841" s="1"/>
      <c r="I841" s="44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42"/>
      <c r="AE841" s="43"/>
      <c r="AF841" s="43"/>
      <c r="AG841" s="1"/>
    </row>
    <row r="842" spans="1:33" ht="44.25" customHeight="1" x14ac:dyDescent="0.25">
      <c r="A842" s="1"/>
      <c r="B842" s="1"/>
      <c r="C842" s="1"/>
      <c r="D842" s="1"/>
      <c r="E842" s="42"/>
      <c r="F842" s="43"/>
      <c r="G842" s="1"/>
      <c r="H842" s="1"/>
      <c r="I842" s="44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42"/>
      <c r="AE842" s="43"/>
      <c r="AF842" s="43"/>
      <c r="AG842" s="1"/>
    </row>
    <row r="843" spans="1:33" ht="44.25" customHeight="1" x14ac:dyDescent="0.25">
      <c r="A843" s="1"/>
      <c r="B843" s="1"/>
      <c r="C843" s="1"/>
      <c r="D843" s="1"/>
      <c r="E843" s="42"/>
      <c r="F843" s="43"/>
      <c r="G843" s="1"/>
      <c r="H843" s="1"/>
      <c r="I843" s="44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42"/>
      <c r="AE843" s="43"/>
      <c r="AF843" s="43"/>
      <c r="AG843" s="1"/>
    </row>
    <row r="844" spans="1:33" ht="44.25" customHeight="1" x14ac:dyDescent="0.25">
      <c r="A844" s="1"/>
      <c r="B844" s="1"/>
      <c r="C844" s="1"/>
      <c r="D844" s="1"/>
      <c r="E844" s="42"/>
      <c r="F844" s="43"/>
      <c r="G844" s="1"/>
      <c r="H844" s="1"/>
      <c r="I844" s="44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42"/>
      <c r="AE844" s="43"/>
      <c r="AF844" s="43"/>
      <c r="AG844" s="1"/>
    </row>
    <row r="845" spans="1:33" ht="44.25" customHeight="1" x14ac:dyDescent="0.25">
      <c r="A845" s="1"/>
      <c r="B845" s="1"/>
      <c r="C845" s="1"/>
      <c r="D845" s="1"/>
      <c r="E845" s="42"/>
      <c r="F845" s="43"/>
      <c r="G845" s="1"/>
      <c r="H845" s="1"/>
      <c r="I845" s="44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42"/>
      <c r="AE845" s="43"/>
      <c r="AF845" s="43"/>
      <c r="AG845" s="1"/>
    </row>
    <row r="846" spans="1:33" ht="44.25" customHeight="1" x14ac:dyDescent="0.25">
      <c r="A846" s="1"/>
      <c r="B846" s="1"/>
      <c r="C846" s="1"/>
      <c r="D846" s="1"/>
      <c r="E846" s="42"/>
      <c r="F846" s="43"/>
      <c r="G846" s="1"/>
      <c r="H846" s="1"/>
      <c r="I846" s="44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42"/>
      <c r="AE846" s="43"/>
      <c r="AF846" s="43"/>
      <c r="AG846" s="1"/>
    </row>
    <row r="847" spans="1:33" ht="44.25" customHeight="1" x14ac:dyDescent="0.25">
      <c r="A847" s="1"/>
      <c r="B847" s="1"/>
      <c r="C847" s="1"/>
      <c r="D847" s="1"/>
      <c r="E847" s="42"/>
      <c r="F847" s="43"/>
      <c r="G847" s="1"/>
      <c r="H847" s="1"/>
      <c r="I847" s="44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42"/>
      <c r="AE847" s="43"/>
      <c r="AF847" s="43"/>
      <c r="AG847" s="1"/>
    </row>
    <row r="848" spans="1:33" ht="44.25" customHeight="1" x14ac:dyDescent="0.25">
      <c r="A848" s="1"/>
      <c r="B848" s="1"/>
      <c r="C848" s="1"/>
      <c r="D848" s="1"/>
      <c r="E848" s="42"/>
      <c r="F848" s="43"/>
      <c r="G848" s="1"/>
      <c r="H848" s="1"/>
      <c r="I848" s="44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42"/>
      <c r="AE848" s="43"/>
      <c r="AF848" s="43"/>
      <c r="AG848" s="1"/>
    </row>
    <row r="849" spans="1:33" ht="44.25" customHeight="1" x14ac:dyDescent="0.25">
      <c r="A849" s="1"/>
      <c r="B849" s="1"/>
      <c r="C849" s="1"/>
      <c r="D849" s="1"/>
      <c r="E849" s="42"/>
      <c r="F849" s="43"/>
      <c r="G849" s="1"/>
      <c r="H849" s="1"/>
      <c r="I849" s="44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42"/>
      <c r="AE849" s="43"/>
      <c r="AF849" s="43"/>
      <c r="AG849" s="1"/>
    </row>
    <row r="850" spans="1:33" ht="44.25" customHeight="1" x14ac:dyDescent="0.25">
      <c r="A850" s="1"/>
      <c r="B850" s="1"/>
      <c r="C850" s="1"/>
      <c r="D850" s="1"/>
      <c r="E850" s="42"/>
      <c r="F850" s="43"/>
      <c r="G850" s="1"/>
      <c r="H850" s="1"/>
      <c r="I850" s="44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42"/>
      <c r="AE850" s="43"/>
      <c r="AF850" s="43"/>
      <c r="AG850" s="1"/>
    </row>
    <row r="851" spans="1:33" ht="44.25" customHeight="1" x14ac:dyDescent="0.25">
      <c r="A851" s="1"/>
      <c r="B851" s="1"/>
      <c r="C851" s="1"/>
      <c r="D851" s="1"/>
      <c r="E851" s="42"/>
      <c r="F851" s="43"/>
      <c r="G851" s="1"/>
      <c r="H851" s="1"/>
      <c r="I851" s="44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42"/>
      <c r="AE851" s="43"/>
      <c r="AF851" s="43"/>
      <c r="AG851" s="1"/>
    </row>
    <row r="852" spans="1:33" ht="44.25" customHeight="1" x14ac:dyDescent="0.25">
      <c r="A852" s="1"/>
      <c r="B852" s="1"/>
      <c r="C852" s="1"/>
      <c r="D852" s="1"/>
      <c r="E852" s="42"/>
      <c r="F852" s="43"/>
      <c r="G852" s="1"/>
      <c r="H852" s="1"/>
      <c r="I852" s="44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42"/>
      <c r="AE852" s="43"/>
      <c r="AF852" s="43"/>
      <c r="AG852" s="1"/>
    </row>
    <row r="853" spans="1:33" ht="44.25" customHeight="1" x14ac:dyDescent="0.25">
      <c r="A853" s="1"/>
      <c r="B853" s="1"/>
      <c r="C853" s="1"/>
      <c r="D853" s="1"/>
      <c r="E853" s="42"/>
      <c r="F853" s="43"/>
      <c r="G853" s="1"/>
      <c r="H853" s="1"/>
      <c r="I853" s="44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42"/>
      <c r="AE853" s="43"/>
      <c r="AF853" s="43"/>
      <c r="AG853" s="1"/>
    </row>
    <row r="854" spans="1:33" ht="44.25" customHeight="1" x14ac:dyDescent="0.25">
      <c r="A854" s="1"/>
      <c r="B854" s="1"/>
      <c r="C854" s="1"/>
      <c r="D854" s="1"/>
      <c r="E854" s="42"/>
      <c r="F854" s="43"/>
      <c r="G854" s="1"/>
      <c r="H854" s="1"/>
      <c r="I854" s="44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42"/>
      <c r="AE854" s="43"/>
      <c r="AF854" s="43"/>
      <c r="AG854" s="1"/>
    </row>
    <row r="855" spans="1:33" ht="44.25" customHeight="1" x14ac:dyDescent="0.25">
      <c r="A855" s="1"/>
      <c r="B855" s="1"/>
      <c r="C855" s="1"/>
      <c r="D855" s="1"/>
      <c r="E855" s="42"/>
      <c r="F855" s="43"/>
      <c r="G855" s="1"/>
      <c r="H855" s="1"/>
      <c r="I855" s="44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42"/>
      <c r="AE855" s="43"/>
      <c r="AF855" s="43"/>
      <c r="AG855" s="1"/>
    </row>
    <row r="856" spans="1:33" ht="44.25" customHeight="1" x14ac:dyDescent="0.25">
      <c r="A856" s="1"/>
      <c r="B856" s="1"/>
      <c r="C856" s="1"/>
      <c r="D856" s="1"/>
      <c r="E856" s="42"/>
      <c r="F856" s="43"/>
      <c r="G856" s="1"/>
      <c r="H856" s="1"/>
      <c r="I856" s="44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42"/>
      <c r="AE856" s="43"/>
      <c r="AF856" s="43"/>
      <c r="AG856" s="1"/>
    </row>
    <row r="857" spans="1:33" ht="44.25" customHeight="1" x14ac:dyDescent="0.25">
      <c r="A857" s="1"/>
      <c r="B857" s="1"/>
      <c r="C857" s="1"/>
      <c r="D857" s="1"/>
      <c r="E857" s="42"/>
      <c r="F857" s="43"/>
      <c r="G857" s="1"/>
      <c r="H857" s="1"/>
      <c r="I857" s="44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42"/>
      <c r="AE857" s="43"/>
      <c r="AF857" s="43"/>
      <c r="AG857" s="1"/>
    </row>
    <row r="858" spans="1:33" ht="44.25" customHeight="1" x14ac:dyDescent="0.25">
      <c r="A858" s="1"/>
      <c r="B858" s="1"/>
      <c r="C858" s="1"/>
      <c r="D858" s="1"/>
      <c r="E858" s="42"/>
      <c r="F858" s="43"/>
      <c r="G858" s="1"/>
      <c r="H858" s="1"/>
      <c r="I858" s="44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42"/>
      <c r="AE858" s="43"/>
      <c r="AF858" s="43"/>
      <c r="AG858" s="1"/>
    </row>
    <row r="859" spans="1:33" ht="44.25" customHeight="1" x14ac:dyDescent="0.25">
      <c r="A859" s="1"/>
      <c r="B859" s="1"/>
      <c r="C859" s="1"/>
      <c r="D859" s="1"/>
      <c r="E859" s="42"/>
      <c r="F859" s="43"/>
      <c r="G859" s="1"/>
      <c r="H859" s="1"/>
      <c r="I859" s="44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42"/>
      <c r="AE859" s="43"/>
      <c r="AF859" s="43"/>
      <c r="AG859" s="1"/>
    </row>
    <row r="860" spans="1:33" ht="44.25" customHeight="1" x14ac:dyDescent="0.25">
      <c r="A860" s="1"/>
      <c r="B860" s="1"/>
      <c r="C860" s="1"/>
      <c r="D860" s="1"/>
      <c r="E860" s="42"/>
      <c r="F860" s="43"/>
      <c r="G860" s="1"/>
      <c r="H860" s="1"/>
      <c r="I860" s="44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42"/>
      <c r="AE860" s="43"/>
      <c r="AF860" s="43"/>
      <c r="AG860" s="1"/>
    </row>
    <row r="861" spans="1:33" ht="44.25" customHeight="1" x14ac:dyDescent="0.25">
      <c r="A861" s="1"/>
      <c r="B861" s="1"/>
      <c r="C861" s="1"/>
      <c r="D861" s="1"/>
      <c r="E861" s="42"/>
      <c r="F861" s="43"/>
      <c r="G861" s="1"/>
      <c r="H861" s="1"/>
      <c r="I861" s="44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42"/>
      <c r="AE861" s="43"/>
      <c r="AF861" s="43"/>
      <c r="AG861" s="1"/>
    </row>
    <row r="862" spans="1:33" ht="44.25" customHeight="1" x14ac:dyDescent="0.25">
      <c r="A862" s="1"/>
      <c r="B862" s="1"/>
      <c r="C862" s="1"/>
      <c r="D862" s="1"/>
      <c r="E862" s="42"/>
      <c r="F862" s="43"/>
      <c r="G862" s="1"/>
      <c r="H862" s="1"/>
      <c r="I862" s="44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42"/>
      <c r="AE862" s="43"/>
      <c r="AF862" s="43"/>
      <c r="AG862" s="1"/>
    </row>
    <row r="863" spans="1:33" ht="44.25" customHeight="1" x14ac:dyDescent="0.25">
      <c r="A863" s="1"/>
      <c r="B863" s="1"/>
      <c r="C863" s="1"/>
      <c r="D863" s="1"/>
      <c r="E863" s="42"/>
      <c r="F863" s="43"/>
      <c r="G863" s="1"/>
      <c r="H863" s="1"/>
      <c r="I863" s="44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42"/>
      <c r="AE863" s="43"/>
      <c r="AF863" s="43"/>
      <c r="AG863" s="1"/>
    </row>
    <row r="864" spans="1:33" ht="44.25" customHeight="1" x14ac:dyDescent="0.25">
      <c r="A864" s="1"/>
      <c r="B864" s="1"/>
      <c r="C864" s="1"/>
      <c r="D864" s="1"/>
      <c r="E864" s="42"/>
      <c r="F864" s="43"/>
      <c r="G864" s="1"/>
      <c r="H864" s="1"/>
      <c r="I864" s="44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42"/>
      <c r="AE864" s="43"/>
      <c r="AF864" s="43"/>
      <c r="AG864" s="1"/>
    </row>
    <row r="865" spans="1:33" ht="44.25" customHeight="1" x14ac:dyDescent="0.25">
      <c r="A865" s="1"/>
      <c r="B865" s="1"/>
      <c r="C865" s="1"/>
      <c r="D865" s="1"/>
      <c r="E865" s="42"/>
      <c r="F865" s="43"/>
      <c r="G865" s="1"/>
      <c r="H865" s="1"/>
      <c r="I865" s="44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42"/>
      <c r="AE865" s="43"/>
      <c r="AF865" s="43"/>
      <c r="AG865" s="1"/>
    </row>
    <row r="866" spans="1:33" ht="44.25" customHeight="1" x14ac:dyDescent="0.25">
      <c r="A866" s="1"/>
      <c r="B866" s="1"/>
      <c r="C866" s="1"/>
      <c r="D866" s="1"/>
      <c r="E866" s="42"/>
      <c r="F866" s="43"/>
      <c r="G866" s="1"/>
      <c r="H866" s="1"/>
      <c r="I866" s="44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42"/>
      <c r="AE866" s="43"/>
      <c r="AF866" s="43"/>
      <c r="AG866" s="1"/>
    </row>
    <row r="867" spans="1:33" ht="44.25" customHeight="1" x14ac:dyDescent="0.25">
      <c r="A867" s="1"/>
      <c r="B867" s="1"/>
      <c r="C867" s="1"/>
      <c r="D867" s="1"/>
      <c r="E867" s="42"/>
      <c r="F867" s="43"/>
      <c r="G867" s="1"/>
      <c r="H867" s="1"/>
      <c r="I867" s="44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42"/>
      <c r="AE867" s="43"/>
      <c r="AF867" s="43"/>
      <c r="AG867" s="1"/>
    </row>
    <row r="868" spans="1:33" ht="44.25" customHeight="1" x14ac:dyDescent="0.25">
      <c r="A868" s="1"/>
      <c r="B868" s="1"/>
      <c r="C868" s="1"/>
      <c r="D868" s="1"/>
      <c r="E868" s="42"/>
      <c r="F868" s="43"/>
      <c r="G868" s="1"/>
      <c r="H868" s="1"/>
      <c r="I868" s="44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42"/>
      <c r="AE868" s="43"/>
      <c r="AF868" s="43"/>
      <c r="AG868" s="1"/>
    </row>
    <row r="869" spans="1:33" ht="44.25" customHeight="1" x14ac:dyDescent="0.25">
      <c r="A869" s="1"/>
      <c r="B869" s="1"/>
      <c r="C869" s="1"/>
      <c r="D869" s="1"/>
      <c r="E869" s="42"/>
      <c r="F869" s="43"/>
      <c r="G869" s="1"/>
      <c r="H869" s="1"/>
      <c r="I869" s="44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42"/>
      <c r="AE869" s="43"/>
      <c r="AF869" s="43"/>
      <c r="AG869" s="1"/>
    </row>
    <row r="870" spans="1:33" ht="44.25" customHeight="1" x14ac:dyDescent="0.25">
      <c r="A870" s="1"/>
      <c r="B870" s="1"/>
      <c r="C870" s="1"/>
      <c r="D870" s="1"/>
      <c r="E870" s="42"/>
      <c r="F870" s="43"/>
      <c r="G870" s="1"/>
      <c r="H870" s="1"/>
      <c r="I870" s="44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42"/>
      <c r="AE870" s="43"/>
      <c r="AF870" s="43"/>
      <c r="AG870" s="1"/>
    </row>
    <row r="871" spans="1:33" ht="44.25" customHeight="1" x14ac:dyDescent="0.25">
      <c r="A871" s="1"/>
      <c r="B871" s="1"/>
      <c r="C871" s="1"/>
      <c r="D871" s="1"/>
      <c r="E871" s="42"/>
      <c r="F871" s="43"/>
      <c r="G871" s="1"/>
      <c r="H871" s="1"/>
      <c r="I871" s="44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42"/>
      <c r="AE871" s="43"/>
      <c r="AF871" s="43"/>
      <c r="AG871" s="1"/>
    </row>
    <row r="872" spans="1:33" ht="44.25" customHeight="1" x14ac:dyDescent="0.25">
      <c r="A872" s="1"/>
      <c r="B872" s="1"/>
      <c r="C872" s="1"/>
      <c r="D872" s="1"/>
      <c r="E872" s="42"/>
      <c r="F872" s="43"/>
      <c r="G872" s="1"/>
      <c r="H872" s="1"/>
      <c r="I872" s="44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42"/>
      <c r="AE872" s="43"/>
      <c r="AF872" s="43"/>
      <c r="AG872" s="1"/>
    </row>
    <row r="873" spans="1:33" ht="44.25" customHeight="1" x14ac:dyDescent="0.25">
      <c r="A873" s="1"/>
      <c r="B873" s="1"/>
      <c r="C873" s="1"/>
      <c r="D873" s="1"/>
      <c r="E873" s="42"/>
      <c r="F873" s="43"/>
      <c r="G873" s="1"/>
      <c r="H873" s="1"/>
      <c r="I873" s="44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42"/>
      <c r="AE873" s="43"/>
      <c r="AF873" s="43"/>
      <c r="AG873" s="1"/>
    </row>
    <row r="874" spans="1:33" ht="44.25" customHeight="1" x14ac:dyDescent="0.25">
      <c r="A874" s="1"/>
      <c r="B874" s="1"/>
      <c r="C874" s="1"/>
      <c r="D874" s="1"/>
      <c r="E874" s="42"/>
      <c r="F874" s="43"/>
      <c r="G874" s="1"/>
      <c r="H874" s="1"/>
      <c r="I874" s="44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42"/>
      <c r="AE874" s="43"/>
      <c r="AF874" s="43"/>
      <c r="AG874" s="1"/>
    </row>
    <row r="875" spans="1:33" ht="44.25" customHeight="1" x14ac:dyDescent="0.25">
      <c r="A875" s="1"/>
      <c r="B875" s="1"/>
      <c r="C875" s="1"/>
      <c r="D875" s="1"/>
      <c r="E875" s="42"/>
      <c r="F875" s="43"/>
      <c r="G875" s="1"/>
      <c r="H875" s="1"/>
      <c r="I875" s="44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42"/>
      <c r="AE875" s="43"/>
      <c r="AF875" s="43"/>
      <c r="AG875" s="1"/>
    </row>
    <row r="876" spans="1:33" ht="44.25" customHeight="1" x14ac:dyDescent="0.25">
      <c r="A876" s="1"/>
      <c r="B876" s="1"/>
      <c r="C876" s="1"/>
      <c r="D876" s="1"/>
      <c r="E876" s="42"/>
      <c r="F876" s="43"/>
      <c r="G876" s="1"/>
      <c r="H876" s="1"/>
      <c r="I876" s="44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42"/>
      <c r="AE876" s="43"/>
      <c r="AF876" s="43"/>
      <c r="AG876" s="1"/>
    </row>
    <row r="877" spans="1:33" ht="44.25" customHeight="1" x14ac:dyDescent="0.25">
      <c r="A877" s="1"/>
      <c r="B877" s="1"/>
      <c r="C877" s="1"/>
      <c r="D877" s="1"/>
      <c r="E877" s="42"/>
      <c r="F877" s="43"/>
      <c r="G877" s="1"/>
      <c r="H877" s="1"/>
      <c r="I877" s="44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42"/>
      <c r="AE877" s="43"/>
      <c r="AF877" s="43"/>
      <c r="AG877" s="1"/>
    </row>
    <row r="878" spans="1:33" ht="44.25" customHeight="1" x14ac:dyDescent="0.25">
      <c r="A878" s="1"/>
      <c r="B878" s="1"/>
      <c r="C878" s="1"/>
      <c r="D878" s="1"/>
      <c r="E878" s="42"/>
      <c r="F878" s="43"/>
      <c r="G878" s="1"/>
      <c r="H878" s="1"/>
      <c r="I878" s="44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42"/>
      <c r="AE878" s="43"/>
      <c r="AF878" s="43"/>
      <c r="AG878" s="1"/>
    </row>
    <row r="879" spans="1:33" ht="44.25" customHeight="1" x14ac:dyDescent="0.25">
      <c r="A879" s="1"/>
      <c r="B879" s="1"/>
      <c r="C879" s="1"/>
      <c r="D879" s="1"/>
      <c r="E879" s="42"/>
      <c r="F879" s="43"/>
      <c r="G879" s="1"/>
      <c r="H879" s="1"/>
      <c r="I879" s="44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42"/>
      <c r="AE879" s="43"/>
      <c r="AF879" s="43"/>
      <c r="AG879" s="1"/>
    </row>
    <row r="880" spans="1:33" ht="44.25" customHeight="1" x14ac:dyDescent="0.25">
      <c r="A880" s="1"/>
      <c r="B880" s="1"/>
      <c r="C880" s="1"/>
      <c r="D880" s="1"/>
      <c r="E880" s="42"/>
      <c r="F880" s="43"/>
      <c r="G880" s="1"/>
      <c r="H880" s="1"/>
      <c r="I880" s="44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42"/>
      <c r="AE880" s="43"/>
      <c r="AF880" s="43"/>
      <c r="AG880" s="1"/>
    </row>
    <row r="881" spans="1:33" ht="44.25" customHeight="1" x14ac:dyDescent="0.25">
      <c r="A881" s="1"/>
      <c r="B881" s="1"/>
      <c r="C881" s="1"/>
      <c r="D881" s="1"/>
      <c r="E881" s="42"/>
      <c r="F881" s="43"/>
      <c r="G881" s="1"/>
      <c r="H881" s="1"/>
      <c r="I881" s="44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42"/>
      <c r="AE881" s="43"/>
      <c r="AF881" s="43"/>
      <c r="AG881" s="1"/>
    </row>
    <row r="882" spans="1:33" ht="44.25" customHeight="1" x14ac:dyDescent="0.25">
      <c r="A882" s="1"/>
      <c r="B882" s="1"/>
      <c r="C882" s="1"/>
      <c r="D882" s="1"/>
      <c r="E882" s="42"/>
      <c r="F882" s="43"/>
      <c r="G882" s="1"/>
      <c r="H882" s="1"/>
      <c r="I882" s="44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42"/>
      <c r="AE882" s="43"/>
      <c r="AF882" s="43"/>
      <c r="AG882" s="1"/>
    </row>
    <row r="883" spans="1:33" ht="44.25" customHeight="1" x14ac:dyDescent="0.25">
      <c r="A883" s="1"/>
      <c r="B883" s="1"/>
      <c r="C883" s="1"/>
      <c r="D883" s="1"/>
      <c r="E883" s="42"/>
      <c r="F883" s="43"/>
      <c r="G883" s="1"/>
      <c r="H883" s="1"/>
      <c r="I883" s="44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42"/>
      <c r="AE883" s="43"/>
      <c r="AF883" s="43"/>
      <c r="AG883" s="1"/>
    </row>
    <row r="884" spans="1:33" ht="44.25" customHeight="1" x14ac:dyDescent="0.25">
      <c r="A884" s="1"/>
      <c r="B884" s="1"/>
      <c r="C884" s="1"/>
      <c r="D884" s="1"/>
      <c r="E884" s="42"/>
      <c r="F884" s="43"/>
      <c r="G884" s="1"/>
      <c r="H884" s="1"/>
      <c r="I884" s="44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42"/>
      <c r="AE884" s="43"/>
      <c r="AF884" s="43"/>
      <c r="AG884" s="1"/>
    </row>
    <row r="885" spans="1:33" ht="44.25" customHeight="1" x14ac:dyDescent="0.25">
      <c r="A885" s="1"/>
      <c r="B885" s="1"/>
      <c r="C885" s="1"/>
      <c r="D885" s="1"/>
      <c r="E885" s="42"/>
      <c r="F885" s="43"/>
      <c r="G885" s="1"/>
      <c r="H885" s="1"/>
      <c r="I885" s="44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42"/>
      <c r="AE885" s="43"/>
      <c r="AF885" s="43"/>
      <c r="AG885" s="1"/>
    </row>
    <row r="886" spans="1:33" ht="44.25" customHeight="1" x14ac:dyDescent="0.25">
      <c r="A886" s="1"/>
      <c r="B886" s="1"/>
      <c r="C886" s="1"/>
      <c r="D886" s="1"/>
      <c r="E886" s="42"/>
      <c r="F886" s="43"/>
      <c r="G886" s="1"/>
      <c r="H886" s="1"/>
      <c r="I886" s="44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42"/>
      <c r="AE886" s="43"/>
      <c r="AF886" s="43"/>
      <c r="AG886" s="1"/>
    </row>
    <row r="887" spans="1:33" ht="44.25" customHeight="1" x14ac:dyDescent="0.25">
      <c r="A887" s="1"/>
      <c r="B887" s="1"/>
      <c r="C887" s="1"/>
      <c r="D887" s="1"/>
      <c r="E887" s="42"/>
      <c r="F887" s="43"/>
      <c r="G887" s="1"/>
      <c r="H887" s="1"/>
      <c r="I887" s="44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42"/>
      <c r="AE887" s="43"/>
      <c r="AF887" s="43"/>
      <c r="AG887" s="1"/>
    </row>
    <row r="888" spans="1:33" ht="44.25" customHeight="1" x14ac:dyDescent="0.25">
      <c r="A888" s="1"/>
      <c r="B888" s="1"/>
      <c r="C888" s="1"/>
      <c r="D888" s="1"/>
      <c r="E888" s="42"/>
      <c r="F888" s="43"/>
      <c r="G888" s="1"/>
      <c r="H888" s="1"/>
      <c r="I888" s="44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42"/>
      <c r="AE888" s="43"/>
      <c r="AF888" s="43"/>
      <c r="AG888" s="1"/>
    </row>
    <row r="889" spans="1:33" ht="44.25" customHeight="1" x14ac:dyDescent="0.25">
      <c r="A889" s="1"/>
      <c r="B889" s="1"/>
      <c r="C889" s="1"/>
      <c r="D889" s="1"/>
      <c r="E889" s="42"/>
      <c r="F889" s="43"/>
      <c r="G889" s="1"/>
      <c r="H889" s="1"/>
      <c r="I889" s="44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42"/>
      <c r="AE889" s="43"/>
      <c r="AF889" s="43"/>
      <c r="AG889" s="1"/>
    </row>
    <row r="890" spans="1:33" ht="44.25" customHeight="1" x14ac:dyDescent="0.25">
      <c r="A890" s="1"/>
      <c r="B890" s="1"/>
      <c r="C890" s="1"/>
      <c r="D890" s="1"/>
      <c r="E890" s="42"/>
      <c r="F890" s="43"/>
      <c r="G890" s="1"/>
      <c r="H890" s="1"/>
      <c r="I890" s="44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42"/>
      <c r="AE890" s="43"/>
      <c r="AF890" s="43"/>
      <c r="AG890" s="1"/>
    </row>
    <row r="891" spans="1:33" ht="44.25" customHeight="1" x14ac:dyDescent="0.25">
      <c r="A891" s="1"/>
      <c r="B891" s="1"/>
      <c r="C891" s="1"/>
      <c r="D891" s="1"/>
      <c r="E891" s="42"/>
      <c r="F891" s="43"/>
      <c r="G891" s="1"/>
      <c r="H891" s="1"/>
      <c r="I891" s="44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42"/>
      <c r="AE891" s="43"/>
      <c r="AF891" s="43"/>
      <c r="AG891" s="1"/>
    </row>
    <row r="892" spans="1:33" ht="44.25" customHeight="1" x14ac:dyDescent="0.25">
      <c r="A892" s="1"/>
      <c r="B892" s="1"/>
      <c r="C892" s="1"/>
      <c r="D892" s="1"/>
      <c r="E892" s="42"/>
      <c r="F892" s="43"/>
      <c r="G892" s="1"/>
      <c r="H892" s="1"/>
      <c r="I892" s="44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42"/>
      <c r="AE892" s="43"/>
      <c r="AF892" s="43"/>
      <c r="AG892" s="1"/>
    </row>
    <row r="893" spans="1:33" ht="44.25" customHeight="1" x14ac:dyDescent="0.25">
      <c r="A893" s="1"/>
      <c r="B893" s="1"/>
      <c r="C893" s="1"/>
      <c r="D893" s="1"/>
      <c r="E893" s="42"/>
      <c r="F893" s="43"/>
      <c r="G893" s="1"/>
      <c r="H893" s="1"/>
      <c r="I893" s="44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42"/>
      <c r="AE893" s="43"/>
      <c r="AF893" s="43"/>
      <c r="AG893" s="1"/>
    </row>
    <row r="894" spans="1:33" ht="44.25" customHeight="1" x14ac:dyDescent="0.25">
      <c r="A894" s="1"/>
      <c r="B894" s="1"/>
      <c r="C894" s="1"/>
      <c r="D894" s="1"/>
      <c r="E894" s="42"/>
      <c r="F894" s="43"/>
      <c r="G894" s="1"/>
      <c r="H894" s="1"/>
      <c r="I894" s="44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42"/>
      <c r="AE894" s="43"/>
      <c r="AF894" s="43"/>
      <c r="AG894" s="1"/>
    </row>
    <row r="895" spans="1:33" ht="44.25" customHeight="1" x14ac:dyDescent="0.25">
      <c r="A895" s="1"/>
      <c r="B895" s="1"/>
      <c r="C895" s="1"/>
      <c r="D895" s="1"/>
      <c r="E895" s="42"/>
      <c r="F895" s="43"/>
      <c r="G895" s="1"/>
      <c r="H895" s="1"/>
      <c r="I895" s="44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42"/>
      <c r="AE895" s="43"/>
      <c r="AF895" s="43"/>
      <c r="AG895" s="1"/>
    </row>
    <row r="896" spans="1:33" ht="44.25" customHeight="1" x14ac:dyDescent="0.25">
      <c r="A896" s="1"/>
      <c r="B896" s="1"/>
      <c r="C896" s="1"/>
      <c r="D896" s="1"/>
      <c r="E896" s="42"/>
      <c r="F896" s="43"/>
      <c r="G896" s="1"/>
      <c r="H896" s="1"/>
      <c r="I896" s="44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42"/>
      <c r="AE896" s="43"/>
      <c r="AF896" s="43"/>
      <c r="AG896" s="1"/>
    </row>
    <row r="897" spans="1:33" ht="44.25" customHeight="1" x14ac:dyDescent="0.25">
      <c r="A897" s="1"/>
      <c r="B897" s="1"/>
      <c r="C897" s="1"/>
      <c r="D897" s="1"/>
      <c r="E897" s="42"/>
      <c r="F897" s="43"/>
      <c r="G897" s="1"/>
      <c r="H897" s="1"/>
      <c r="I897" s="44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42"/>
      <c r="AE897" s="43"/>
      <c r="AF897" s="43"/>
      <c r="AG897" s="1"/>
    </row>
    <row r="898" spans="1:33" ht="44.25" customHeight="1" x14ac:dyDescent="0.25">
      <c r="A898" s="1"/>
      <c r="B898" s="1"/>
      <c r="C898" s="1"/>
      <c r="D898" s="1"/>
      <c r="E898" s="42"/>
      <c r="F898" s="43"/>
      <c r="G898" s="1"/>
      <c r="H898" s="1"/>
      <c r="I898" s="44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42"/>
      <c r="AE898" s="43"/>
      <c r="AF898" s="43"/>
      <c r="AG898" s="1"/>
    </row>
    <row r="899" spans="1:33" ht="44.25" customHeight="1" x14ac:dyDescent="0.25">
      <c r="A899" s="1"/>
      <c r="B899" s="1"/>
      <c r="C899" s="1"/>
      <c r="D899" s="1"/>
      <c r="E899" s="42"/>
      <c r="F899" s="43"/>
      <c r="G899" s="1"/>
      <c r="H899" s="1"/>
      <c r="I899" s="44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42"/>
      <c r="AE899" s="43"/>
      <c r="AF899" s="43"/>
      <c r="AG899" s="1"/>
    </row>
    <row r="900" spans="1:33" ht="44.25" customHeight="1" x14ac:dyDescent="0.25">
      <c r="A900" s="1"/>
      <c r="B900" s="1"/>
      <c r="C900" s="1"/>
      <c r="D900" s="1"/>
      <c r="E900" s="42"/>
      <c r="F900" s="43"/>
      <c r="G900" s="1"/>
      <c r="H900" s="1"/>
      <c r="I900" s="44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42"/>
      <c r="AE900" s="43"/>
      <c r="AF900" s="43"/>
      <c r="AG900" s="1"/>
    </row>
    <row r="901" spans="1:33" ht="44.25" customHeight="1" x14ac:dyDescent="0.25">
      <c r="A901" s="1"/>
      <c r="B901" s="1"/>
      <c r="C901" s="1"/>
      <c r="D901" s="1"/>
      <c r="E901" s="42"/>
      <c r="F901" s="43"/>
      <c r="G901" s="1"/>
      <c r="H901" s="1"/>
      <c r="I901" s="44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42"/>
      <c r="AE901" s="43"/>
      <c r="AF901" s="43"/>
      <c r="AG901" s="1"/>
    </row>
    <row r="902" spans="1:33" ht="44.25" customHeight="1" x14ac:dyDescent="0.25">
      <c r="A902" s="1"/>
      <c r="B902" s="1"/>
      <c r="C902" s="1"/>
      <c r="D902" s="1"/>
      <c r="E902" s="42"/>
      <c r="F902" s="43"/>
      <c r="G902" s="1"/>
      <c r="H902" s="1"/>
      <c r="I902" s="44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42"/>
      <c r="AE902" s="43"/>
      <c r="AF902" s="43"/>
      <c r="AG902" s="1"/>
    </row>
    <row r="903" spans="1:33" ht="44.25" customHeight="1" x14ac:dyDescent="0.25">
      <c r="A903" s="1"/>
      <c r="B903" s="1"/>
      <c r="C903" s="1"/>
      <c r="D903" s="1"/>
      <c r="E903" s="42"/>
      <c r="F903" s="43"/>
      <c r="G903" s="1"/>
      <c r="H903" s="1"/>
      <c r="I903" s="44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42"/>
      <c r="AE903" s="43"/>
      <c r="AF903" s="43"/>
      <c r="AG903" s="1"/>
    </row>
    <row r="904" spans="1:33" ht="44.25" customHeight="1" x14ac:dyDescent="0.25">
      <c r="A904" s="1"/>
      <c r="B904" s="1"/>
      <c r="C904" s="1"/>
      <c r="D904" s="1"/>
      <c r="E904" s="42"/>
      <c r="F904" s="43"/>
      <c r="G904" s="1"/>
      <c r="H904" s="1"/>
      <c r="I904" s="44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42"/>
      <c r="AE904" s="43"/>
      <c r="AF904" s="43"/>
      <c r="AG904" s="1"/>
    </row>
    <row r="905" spans="1:33" ht="44.25" customHeight="1" x14ac:dyDescent="0.25">
      <c r="A905" s="1"/>
      <c r="B905" s="1"/>
      <c r="C905" s="1"/>
      <c r="D905" s="1"/>
      <c r="E905" s="42"/>
      <c r="F905" s="43"/>
      <c r="G905" s="1"/>
      <c r="H905" s="1"/>
      <c r="I905" s="44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42"/>
      <c r="AE905" s="43"/>
      <c r="AF905" s="43"/>
      <c r="AG905" s="1"/>
    </row>
    <row r="906" spans="1:33" ht="44.25" customHeight="1" x14ac:dyDescent="0.25">
      <c r="A906" s="1"/>
      <c r="B906" s="1"/>
      <c r="C906" s="1"/>
      <c r="D906" s="1"/>
      <c r="E906" s="42"/>
      <c r="F906" s="43"/>
      <c r="G906" s="1"/>
      <c r="H906" s="1"/>
      <c r="I906" s="44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42"/>
      <c r="AE906" s="43"/>
      <c r="AF906" s="43"/>
      <c r="AG906" s="1"/>
    </row>
    <row r="907" spans="1:33" ht="44.25" customHeight="1" x14ac:dyDescent="0.25">
      <c r="A907" s="1"/>
      <c r="B907" s="1"/>
      <c r="C907" s="1"/>
      <c r="D907" s="1"/>
      <c r="E907" s="42"/>
      <c r="F907" s="43"/>
      <c r="G907" s="1"/>
      <c r="H907" s="1"/>
      <c r="I907" s="44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42"/>
      <c r="AE907" s="43"/>
      <c r="AF907" s="43"/>
      <c r="AG907" s="1"/>
    </row>
    <row r="908" spans="1:33" ht="44.25" customHeight="1" x14ac:dyDescent="0.25">
      <c r="A908" s="1"/>
      <c r="B908" s="1"/>
      <c r="C908" s="1"/>
      <c r="D908" s="1"/>
      <c r="E908" s="42"/>
      <c r="F908" s="43"/>
      <c r="G908" s="1"/>
      <c r="H908" s="1"/>
      <c r="I908" s="44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42"/>
      <c r="AE908" s="43"/>
      <c r="AF908" s="43"/>
      <c r="AG908" s="1"/>
    </row>
    <row r="909" spans="1:33" ht="44.25" customHeight="1" x14ac:dyDescent="0.25">
      <c r="A909" s="1"/>
      <c r="B909" s="1"/>
      <c r="C909" s="1"/>
      <c r="D909" s="1"/>
      <c r="E909" s="42"/>
      <c r="F909" s="43"/>
      <c r="G909" s="1"/>
      <c r="H909" s="1"/>
      <c r="I909" s="44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42"/>
      <c r="AE909" s="43"/>
      <c r="AF909" s="43"/>
      <c r="AG909" s="1"/>
    </row>
    <row r="910" spans="1:33" ht="44.25" customHeight="1" x14ac:dyDescent="0.25">
      <c r="A910" s="1"/>
      <c r="B910" s="1"/>
      <c r="C910" s="1"/>
      <c r="D910" s="1"/>
      <c r="E910" s="42"/>
      <c r="F910" s="43"/>
      <c r="G910" s="1"/>
      <c r="H910" s="1"/>
      <c r="I910" s="44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42"/>
      <c r="AE910" s="43"/>
      <c r="AF910" s="43"/>
      <c r="AG910" s="1"/>
    </row>
    <row r="911" spans="1:33" ht="44.25" customHeight="1" x14ac:dyDescent="0.25">
      <c r="A911" s="1"/>
      <c r="B911" s="1"/>
      <c r="C911" s="1"/>
      <c r="D911" s="1"/>
      <c r="E911" s="42"/>
      <c r="F911" s="43"/>
      <c r="G911" s="1"/>
      <c r="H911" s="1"/>
      <c r="I911" s="44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42"/>
      <c r="AE911" s="43"/>
      <c r="AF911" s="43"/>
      <c r="AG911" s="1"/>
    </row>
    <row r="912" spans="1:33" ht="44.25" customHeight="1" x14ac:dyDescent="0.25">
      <c r="A912" s="1"/>
      <c r="B912" s="1"/>
      <c r="C912" s="1"/>
      <c r="D912" s="1"/>
      <c r="E912" s="42"/>
      <c r="F912" s="43"/>
      <c r="G912" s="1"/>
      <c r="H912" s="1"/>
      <c r="I912" s="44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42"/>
      <c r="AE912" s="43"/>
      <c r="AF912" s="43"/>
      <c r="AG912" s="1"/>
    </row>
    <row r="913" spans="1:33" ht="44.25" customHeight="1" x14ac:dyDescent="0.25">
      <c r="A913" s="1"/>
      <c r="B913" s="1"/>
      <c r="C913" s="1"/>
      <c r="D913" s="1"/>
      <c r="E913" s="42"/>
      <c r="F913" s="43"/>
      <c r="G913" s="1"/>
      <c r="H913" s="1"/>
      <c r="I913" s="44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42"/>
      <c r="AE913" s="43"/>
      <c r="AF913" s="43"/>
      <c r="AG913" s="1"/>
    </row>
    <row r="914" spans="1:33" ht="44.25" customHeight="1" x14ac:dyDescent="0.25">
      <c r="A914" s="1"/>
      <c r="B914" s="1"/>
      <c r="C914" s="1"/>
      <c r="D914" s="1"/>
      <c r="E914" s="42"/>
      <c r="F914" s="43"/>
      <c r="G914" s="1"/>
      <c r="H914" s="1"/>
      <c r="I914" s="44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42"/>
      <c r="AE914" s="43"/>
      <c r="AF914" s="43"/>
      <c r="AG914" s="1"/>
    </row>
    <row r="915" spans="1:33" ht="44.25" customHeight="1" x14ac:dyDescent="0.25">
      <c r="A915" s="1"/>
      <c r="B915" s="1"/>
      <c r="C915" s="1"/>
      <c r="D915" s="1"/>
      <c r="E915" s="42"/>
      <c r="F915" s="43"/>
      <c r="G915" s="1"/>
      <c r="H915" s="1"/>
      <c r="I915" s="44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42"/>
      <c r="AE915" s="43"/>
      <c r="AF915" s="43"/>
      <c r="AG915" s="1"/>
    </row>
    <row r="916" spans="1:33" ht="44.25" customHeight="1" x14ac:dyDescent="0.25">
      <c r="A916" s="1"/>
      <c r="B916" s="1"/>
      <c r="C916" s="1"/>
      <c r="D916" s="1"/>
      <c r="E916" s="42"/>
      <c r="F916" s="43"/>
      <c r="G916" s="1"/>
      <c r="H916" s="1"/>
      <c r="I916" s="44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42"/>
      <c r="AE916" s="43"/>
      <c r="AF916" s="43"/>
      <c r="AG916" s="1"/>
    </row>
    <row r="917" spans="1:33" ht="44.25" customHeight="1" x14ac:dyDescent="0.25">
      <c r="A917" s="1"/>
      <c r="B917" s="1"/>
      <c r="C917" s="1"/>
      <c r="D917" s="1"/>
      <c r="E917" s="42"/>
      <c r="F917" s="43"/>
      <c r="G917" s="1"/>
      <c r="H917" s="1"/>
      <c r="I917" s="44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42"/>
      <c r="AE917" s="43"/>
      <c r="AF917" s="43"/>
      <c r="AG917" s="1"/>
    </row>
    <row r="918" spans="1:33" ht="44.25" customHeight="1" x14ac:dyDescent="0.25">
      <c r="A918" s="1"/>
      <c r="B918" s="1"/>
      <c r="C918" s="1"/>
      <c r="D918" s="1"/>
      <c r="E918" s="42"/>
      <c r="F918" s="43"/>
      <c r="G918" s="1"/>
      <c r="H918" s="1"/>
      <c r="I918" s="44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42"/>
      <c r="AE918" s="43"/>
      <c r="AF918" s="43"/>
      <c r="AG918" s="1"/>
    </row>
    <row r="919" spans="1:33" ht="44.25" customHeight="1" x14ac:dyDescent="0.25">
      <c r="A919" s="1"/>
      <c r="B919" s="1"/>
      <c r="C919" s="1"/>
      <c r="D919" s="1"/>
      <c r="E919" s="42"/>
      <c r="F919" s="43"/>
      <c r="G919" s="1"/>
      <c r="H919" s="1"/>
      <c r="I919" s="44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42"/>
      <c r="AE919" s="43"/>
      <c r="AF919" s="43"/>
      <c r="AG919" s="1"/>
    </row>
    <row r="920" spans="1:33" ht="44.25" customHeight="1" x14ac:dyDescent="0.25">
      <c r="A920" s="1"/>
      <c r="B920" s="1"/>
      <c r="C920" s="1"/>
      <c r="D920" s="1"/>
      <c r="E920" s="42"/>
      <c r="F920" s="43"/>
      <c r="G920" s="1"/>
      <c r="H920" s="1"/>
      <c r="I920" s="44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42"/>
      <c r="AE920" s="43"/>
      <c r="AF920" s="43"/>
      <c r="AG920" s="1"/>
    </row>
    <row r="921" spans="1:33" ht="44.25" customHeight="1" x14ac:dyDescent="0.25">
      <c r="A921" s="1"/>
      <c r="B921" s="1"/>
      <c r="C921" s="1"/>
      <c r="D921" s="1"/>
      <c r="E921" s="42"/>
      <c r="F921" s="43"/>
      <c r="G921" s="1"/>
      <c r="H921" s="1"/>
      <c r="I921" s="44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42"/>
      <c r="AE921" s="43"/>
      <c r="AF921" s="43"/>
      <c r="AG921" s="1"/>
    </row>
    <row r="922" spans="1:33" ht="44.25" customHeight="1" x14ac:dyDescent="0.25">
      <c r="A922" s="1"/>
      <c r="B922" s="1"/>
      <c r="C922" s="1"/>
      <c r="D922" s="1"/>
      <c r="E922" s="42"/>
      <c r="F922" s="43"/>
      <c r="G922" s="1"/>
      <c r="H922" s="1"/>
      <c r="I922" s="44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42"/>
      <c r="AE922" s="43"/>
      <c r="AF922" s="43"/>
      <c r="AG922" s="1"/>
    </row>
    <row r="923" spans="1:33" ht="44.25" customHeight="1" x14ac:dyDescent="0.25">
      <c r="A923" s="1"/>
      <c r="B923" s="1"/>
      <c r="C923" s="1"/>
      <c r="D923" s="1"/>
      <c r="E923" s="42"/>
      <c r="F923" s="43"/>
      <c r="G923" s="1"/>
      <c r="H923" s="1"/>
      <c r="I923" s="44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42"/>
      <c r="AE923" s="43"/>
      <c r="AF923" s="43"/>
      <c r="AG923" s="1"/>
    </row>
    <row r="924" spans="1:33" ht="44.25" customHeight="1" x14ac:dyDescent="0.25">
      <c r="A924" s="1"/>
      <c r="B924" s="1"/>
      <c r="C924" s="1"/>
      <c r="D924" s="1"/>
      <c r="E924" s="42"/>
      <c r="F924" s="43"/>
      <c r="G924" s="1"/>
      <c r="H924" s="1"/>
      <c r="I924" s="44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42"/>
      <c r="AE924" s="43"/>
      <c r="AF924" s="43"/>
      <c r="AG924" s="1"/>
    </row>
    <row r="925" spans="1:33" ht="44.25" customHeight="1" x14ac:dyDescent="0.25">
      <c r="A925" s="1"/>
      <c r="B925" s="1"/>
      <c r="C925" s="1"/>
      <c r="D925" s="1"/>
      <c r="E925" s="42"/>
      <c r="F925" s="43"/>
      <c r="G925" s="1"/>
      <c r="H925" s="1"/>
      <c r="I925" s="44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42"/>
      <c r="AE925" s="43"/>
      <c r="AF925" s="43"/>
      <c r="AG925" s="1"/>
    </row>
    <row r="926" spans="1:33" ht="44.25" customHeight="1" x14ac:dyDescent="0.25">
      <c r="A926" s="1"/>
      <c r="B926" s="1"/>
      <c r="C926" s="1"/>
      <c r="D926" s="1"/>
      <c r="E926" s="42"/>
      <c r="F926" s="43"/>
      <c r="G926" s="1"/>
      <c r="H926" s="1"/>
      <c r="I926" s="44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42"/>
      <c r="AE926" s="43"/>
      <c r="AF926" s="43"/>
      <c r="AG926" s="1"/>
    </row>
    <row r="927" spans="1:33" ht="44.25" customHeight="1" x14ac:dyDescent="0.25">
      <c r="A927" s="1"/>
      <c r="B927" s="1"/>
      <c r="C927" s="1"/>
      <c r="D927" s="1"/>
      <c r="E927" s="42"/>
      <c r="F927" s="43"/>
      <c r="G927" s="1"/>
      <c r="H927" s="1"/>
      <c r="I927" s="44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42"/>
      <c r="AE927" s="43"/>
      <c r="AF927" s="43"/>
      <c r="AG927" s="1"/>
    </row>
    <row r="928" spans="1:33" ht="44.25" customHeight="1" x14ac:dyDescent="0.25">
      <c r="A928" s="1"/>
      <c r="B928" s="1"/>
      <c r="C928" s="1"/>
      <c r="D928" s="1"/>
      <c r="E928" s="42"/>
      <c r="F928" s="43"/>
      <c r="G928" s="1"/>
      <c r="H928" s="1"/>
      <c r="I928" s="44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42"/>
      <c r="AE928" s="43"/>
      <c r="AF928" s="43"/>
      <c r="AG928" s="1"/>
    </row>
    <row r="929" spans="1:33" ht="44.25" customHeight="1" x14ac:dyDescent="0.25">
      <c r="A929" s="1"/>
      <c r="B929" s="1"/>
      <c r="C929" s="1"/>
      <c r="D929" s="1"/>
      <c r="E929" s="42"/>
      <c r="F929" s="43"/>
      <c r="G929" s="1"/>
      <c r="H929" s="1"/>
      <c r="I929" s="44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42"/>
      <c r="AE929" s="43"/>
      <c r="AF929" s="43"/>
      <c r="AG929" s="1"/>
    </row>
    <row r="930" spans="1:33" ht="44.25" customHeight="1" x14ac:dyDescent="0.25">
      <c r="A930" s="1"/>
      <c r="B930" s="1"/>
      <c r="C930" s="1"/>
      <c r="D930" s="1"/>
      <c r="E930" s="42"/>
      <c r="F930" s="43"/>
      <c r="G930" s="1"/>
      <c r="H930" s="1"/>
      <c r="I930" s="44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42"/>
      <c r="AE930" s="43"/>
      <c r="AF930" s="43"/>
      <c r="AG930" s="1"/>
    </row>
    <row r="931" spans="1:33" ht="44.25" customHeight="1" x14ac:dyDescent="0.25">
      <c r="A931" s="1"/>
      <c r="B931" s="1"/>
      <c r="C931" s="1"/>
      <c r="D931" s="1"/>
      <c r="E931" s="42"/>
      <c r="F931" s="43"/>
      <c r="G931" s="1"/>
      <c r="H931" s="1"/>
      <c r="I931" s="44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42"/>
      <c r="AE931" s="43"/>
      <c r="AF931" s="43"/>
      <c r="AG931" s="1"/>
    </row>
    <row r="932" spans="1:33" ht="44.25" customHeight="1" x14ac:dyDescent="0.25">
      <c r="A932" s="1"/>
      <c r="B932" s="1"/>
      <c r="C932" s="1"/>
      <c r="D932" s="1"/>
      <c r="E932" s="42"/>
      <c r="F932" s="43"/>
      <c r="G932" s="1"/>
      <c r="H932" s="1"/>
      <c r="I932" s="44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42"/>
      <c r="AE932" s="43"/>
      <c r="AF932" s="43"/>
      <c r="AG932" s="1"/>
    </row>
    <row r="933" spans="1:33" ht="44.25" customHeight="1" x14ac:dyDescent="0.25">
      <c r="A933" s="1"/>
      <c r="B933" s="1"/>
      <c r="C933" s="1"/>
      <c r="D933" s="1"/>
      <c r="E933" s="42"/>
      <c r="F933" s="43"/>
      <c r="G933" s="1"/>
      <c r="H933" s="1"/>
      <c r="I933" s="44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42"/>
      <c r="AE933" s="43"/>
      <c r="AF933" s="43"/>
      <c r="AG933" s="1"/>
    </row>
    <row r="934" spans="1:33" ht="44.25" customHeight="1" x14ac:dyDescent="0.25">
      <c r="A934" s="1"/>
      <c r="B934" s="1"/>
      <c r="C934" s="1"/>
      <c r="D934" s="1"/>
      <c r="E934" s="42"/>
      <c r="F934" s="43"/>
      <c r="G934" s="1"/>
      <c r="H934" s="1"/>
      <c r="I934" s="44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42"/>
      <c r="AE934" s="43"/>
      <c r="AF934" s="43"/>
      <c r="AG934" s="1"/>
    </row>
    <row r="935" spans="1:33" ht="44.25" customHeight="1" x14ac:dyDescent="0.25">
      <c r="A935" s="1"/>
      <c r="B935" s="1"/>
      <c r="C935" s="1"/>
      <c r="D935" s="1"/>
      <c r="E935" s="42"/>
      <c r="F935" s="43"/>
      <c r="G935" s="1"/>
      <c r="H935" s="1"/>
      <c r="I935" s="44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42"/>
      <c r="AE935" s="43"/>
      <c r="AF935" s="43"/>
      <c r="AG935" s="1"/>
    </row>
    <row r="936" spans="1:33" ht="44.25" customHeight="1" x14ac:dyDescent="0.25">
      <c r="A936" s="1"/>
      <c r="B936" s="1"/>
      <c r="C936" s="1"/>
      <c r="D936" s="1"/>
      <c r="E936" s="42"/>
      <c r="F936" s="43"/>
      <c r="G936" s="1"/>
      <c r="H936" s="1"/>
      <c r="I936" s="44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42"/>
      <c r="AE936" s="43"/>
      <c r="AF936" s="43"/>
      <c r="AG936" s="1"/>
    </row>
    <row r="937" spans="1:33" ht="44.25" customHeight="1" x14ac:dyDescent="0.25">
      <c r="A937" s="1"/>
      <c r="B937" s="1"/>
      <c r="C937" s="1"/>
      <c r="D937" s="1"/>
      <c r="E937" s="42"/>
      <c r="F937" s="43"/>
      <c r="G937" s="1"/>
      <c r="H937" s="1"/>
      <c r="I937" s="44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42"/>
      <c r="AE937" s="43"/>
      <c r="AF937" s="43"/>
      <c r="AG937" s="1"/>
    </row>
    <row r="938" spans="1:33" ht="44.25" customHeight="1" x14ac:dyDescent="0.25">
      <c r="A938" s="1"/>
      <c r="B938" s="1"/>
      <c r="C938" s="1"/>
      <c r="D938" s="1"/>
      <c r="E938" s="42"/>
      <c r="F938" s="43"/>
      <c r="G938" s="1"/>
      <c r="H938" s="1"/>
      <c r="I938" s="44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42"/>
      <c r="AE938" s="43"/>
      <c r="AF938" s="43"/>
      <c r="AG938" s="1"/>
    </row>
    <row r="939" spans="1:33" ht="44.25" customHeight="1" x14ac:dyDescent="0.25">
      <c r="A939" s="1"/>
      <c r="B939" s="1"/>
      <c r="C939" s="1"/>
      <c r="D939" s="1"/>
      <c r="E939" s="42"/>
      <c r="F939" s="43"/>
      <c r="G939" s="1"/>
      <c r="H939" s="1"/>
      <c r="I939" s="44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42"/>
      <c r="AE939" s="43"/>
      <c r="AF939" s="43"/>
      <c r="AG939" s="1"/>
    </row>
    <row r="940" spans="1:33" ht="44.25" customHeight="1" x14ac:dyDescent="0.25">
      <c r="A940" s="1"/>
      <c r="B940" s="1"/>
      <c r="C940" s="1"/>
      <c r="D940" s="1"/>
      <c r="E940" s="42"/>
      <c r="F940" s="43"/>
      <c r="G940" s="1"/>
      <c r="H940" s="1"/>
      <c r="I940" s="44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42"/>
      <c r="AE940" s="43"/>
      <c r="AF940" s="43"/>
      <c r="AG940" s="1"/>
    </row>
    <row r="941" spans="1:33" ht="44.25" customHeight="1" x14ac:dyDescent="0.25">
      <c r="A941" s="1"/>
      <c r="B941" s="1"/>
      <c r="C941" s="1"/>
      <c r="D941" s="1"/>
      <c r="E941" s="42"/>
      <c r="F941" s="43"/>
      <c r="G941" s="1"/>
      <c r="H941" s="1"/>
      <c r="I941" s="44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42"/>
      <c r="AE941" s="43"/>
      <c r="AF941" s="43"/>
      <c r="AG941" s="1"/>
    </row>
    <row r="942" spans="1:33" ht="44.25" customHeight="1" x14ac:dyDescent="0.25">
      <c r="A942" s="1"/>
      <c r="B942" s="1"/>
      <c r="C942" s="1"/>
      <c r="D942" s="1"/>
      <c r="E942" s="42"/>
      <c r="F942" s="43"/>
      <c r="G942" s="1"/>
      <c r="H942" s="1"/>
      <c r="I942" s="44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42"/>
      <c r="AE942" s="43"/>
      <c r="AF942" s="43"/>
      <c r="AG942" s="1"/>
    </row>
    <row r="943" spans="1:33" ht="44.25" customHeight="1" x14ac:dyDescent="0.25">
      <c r="A943" s="1"/>
      <c r="B943" s="1"/>
      <c r="C943" s="1"/>
      <c r="D943" s="1"/>
      <c r="E943" s="42"/>
      <c r="F943" s="43"/>
      <c r="G943" s="1"/>
      <c r="H943" s="1"/>
      <c r="I943" s="44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42"/>
      <c r="AE943" s="43"/>
      <c r="AF943" s="43"/>
      <c r="AG943" s="1"/>
    </row>
    <row r="944" spans="1:33" ht="44.25" customHeight="1" x14ac:dyDescent="0.25">
      <c r="A944" s="1"/>
      <c r="B944" s="1"/>
      <c r="C944" s="1"/>
      <c r="D944" s="1"/>
      <c r="E944" s="42"/>
      <c r="F944" s="43"/>
      <c r="G944" s="1"/>
      <c r="H944" s="1"/>
      <c r="I944" s="44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42"/>
      <c r="AE944" s="43"/>
      <c r="AF944" s="43"/>
      <c r="AG944" s="1"/>
    </row>
    <row r="945" spans="1:33" ht="44.25" customHeight="1" x14ac:dyDescent="0.25">
      <c r="A945" s="1"/>
      <c r="B945" s="1"/>
      <c r="C945" s="1"/>
      <c r="D945" s="1"/>
      <c r="E945" s="42"/>
      <c r="F945" s="43"/>
      <c r="G945" s="1"/>
      <c r="H945" s="1"/>
      <c r="I945" s="44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42"/>
      <c r="AE945" s="43"/>
      <c r="AF945" s="43"/>
      <c r="AG945" s="1"/>
    </row>
    <row r="946" spans="1:33" ht="44.25" customHeight="1" x14ac:dyDescent="0.25">
      <c r="A946" s="1"/>
      <c r="B946" s="1"/>
      <c r="C946" s="1"/>
      <c r="D946" s="1"/>
      <c r="E946" s="42"/>
      <c r="F946" s="43"/>
      <c r="G946" s="1"/>
      <c r="H946" s="1"/>
      <c r="I946" s="44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42"/>
      <c r="AE946" s="43"/>
      <c r="AF946" s="43"/>
      <c r="AG946" s="1"/>
    </row>
    <row r="947" spans="1:33" ht="44.25" customHeight="1" x14ac:dyDescent="0.25">
      <c r="A947" s="1"/>
      <c r="B947" s="1"/>
      <c r="C947" s="1"/>
      <c r="D947" s="1"/>
      <c r="E947" s="42"/>
      <c r="F947" s="43"/>
      <c r="G947" s="1"/>
      <c r="H947" s="1"/>
      <c r="I947" s="44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42"/>
      <c r="AE947" s="43"/>
      <c r="AF947" s="43"/>
      <c r="AG947" s="1"/>
    </row>
    <row r="948" spans="1:33" ht="44.25" customHeight="1" x14ac:dyDescent="0.25">
      <c r="A948" s="1"/>
      <c r="B948" s="1"/>
      <c r="C948" s="1"/>
      <c r="D948" s="1"/>
      <c r="E948" s="42"/>
      <c r="F948" s="43"/>
      <c r="G948" s="1"/>
      <c r="H948" s="1"/>
      <c r="I948" s="44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42"/>
      <c r="AE948" s="43"/>
      <c r="AF948" s="43"/>
      <c r="AG948" s="1"/>
    </row>
    <row r="949" spans="1:33" ht="44.25" customHeight="1" x14ac:dyDescent="0.25">
      <c r="A949" s="1"/>
      <c r="B949" s="1"/>
      <c r="C949" s="1"/>
      <c r="D949" s="1"/>
      <c r="E949" s="42"/>
      <c r="F949" s="43"/>
      <c r="G949" s="1"/>
      <c r="H949" s="1"/>
      <c r="I949" s="44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42"/>
      <c r="AE949" s="43"/>
      <c r="AF949" s="43"/>
      <c r="AG949" s="1"/>
    </row>
    <row r="950" spans="1:33" ht="44.25" customHeight="1" x14ac:dyDescent="0.25">
      <c r="A950" s="1"/>
      <c r="B950" s="1"/>
      <c r="C950" s="1"/>
      <c r="D950" s="1"/>
      <c r="E950" s="42"/>
      <c r="F950" s="43"/>
      <c r="G950" s="1"/>
      <c r="H950" s="1"/>
      <c r="I950" s="44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42"/>
      <c r="AE950" s="43"/>
      <c r="AF950" s="43"/>
      <c r="AG950" s="1"/>
    </row>
    <row r="951" spans="1:33" ht="44.25" customHeight="1" x14ac:dyDescent="0.25">
      <c r="A951" s="1"/>
      <c r="B951" s="1"/>
      <c r="C951" s="1"/>
      <c r="D951" s="1"/>
      <c r="E951" s="42"/>
      <c r="F951" s="43"/>
      <c r="G951" s="1"/>
      <c r="H951" s="1"/>
      <c r="I951" s="44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42"/>
      <c r="AE951" s="43"/>
      <c r="AF951" s="43"/>
      <c r="AG951" s="1"/>
    </row>
    <row r="952" spans="1:33" ht="44.25" customHeight="1" x14ac:dyDescent="0.25">
      <c r="A952" s="1"/>
      <c r="B952" s="1"/>
      <c r="C952" s="1"/>
      <c r="D952" s="1"/>
      <c r="E952" s="42"/>
      <c r="F952" s="43"/>
      <c r="G952" s="1"/>
      <c r="H952" s="1"/>
      <c r="I952" s="44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42"/>
      <c r="AE952" s="43"/>
      <c r="AF952" s="43"/>
      <c r="AG952" s="1"/>
    </row>
    <row r="953" spans="1:33" ht="44.25" customHeight="1" x14ac:dyDescent="0.25">
      <c r="A953" s="1"/>
      <c r="B953" s="1"/>
      <c r="C953" s="1"/>
      <c r="D953" s="1"/>
      <c r="E953" s="42"/>
      <c r="F953" s="43"/>
      <c r="G953" s="1"/>
      <c r="H953" s="1"/>
      <c r="I953" s="44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42"/>
      <c r="AE953" s="43"/>
      <c r="AF953" s="43"/>
      <c r="AG953" s="1"/>
    </row>
    <row r="954" spans="1:33" ht="44.25" customHeight="1" x14ac:dyDescent="0.25">
      <c r="A954" s="1"/>
      <c r="B954" s="1"/>
      <c r="C954" s="1"/>
      <c r="D954" s="1"/>
      <c r="E954" s="42"/>
      <c r="F954" s="43"/>
      <c r="G954" s="1"/>
      <c r="H954" s="1"/>
      <c r="I954" s="44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42"/>
      <c r="AE954" s="43"/>
      <c r="AF954" s="43"/>
      <c r="AG954" s="1"/>
    </row>
    <row r="955" spans="1:33" ht="44.25" customHeight="1" x14ac:dyDescent="0.25">
      <c r="A955" s="1"/>
      <c r="B955" s="1"/>
      <c r="C955" s="1"/>
      <c r="D955" s="1"/>
      <c r="E955" s="42"/>
      <c r="F955" s="43"/>
      <c r="G955" s="1"/>
      <c r="H955" s="1"/>
      <c r="I955" s="44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42"/>
      <c r="AE955" s="43"/>
      <c r="AF955" s="43"/>
      <c r="AG955" s="1"/>
    </row>
    <row r="956" spans="1:33" ht="44.25" customHeight="1" x14ac:dyDescent="0.25">
      <c r="A956" s="1"/>
      <c r="B956" s="1"/>
      <c r="C956" s="1"/>
      <c r="D956" s="1"/>
      <c r="E956" s="42"/>
      <c r="F956" s="43"/>
      <c r="G956" s="1"/>
      <c r="H956" s="1"/>
      <c r="I956" s="44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42"/>
      <c r="AE956" s="43"/>
      <c r="AF956" s="43"/>
      <c r="AG956" s="1"/>
    </row>
    <row r="957" spans="1:33" ht="44.25" customHeight="1" x14ac:dyDescent="0.25">
      <c r="A957" s="1"/>
      <c r="B957" s="1"/>
      <c r="C957" s="1"/>
      <c r="D957" s="1"/>
      <c r="E957" s="42"/>
      <c r="F957" s="43"/>
      <c r="G957" s="1"/>
      <c r="H957" s="1"/>
      <c r="I957" s="44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42"/>
      <c r="AE957" s="43"/>
      <c r="AF957" s="43"/>
      <c r="AG957" s="1"/>
    </row>
    <row r="958" spans="1:33" ht="44.25" customHeight="1" x14ac:dyDescent="0.25">
      <c r="A958" s="1"/>
      <c r="B958" s="1"/>
      <c r="C958" s="1"/>
      <c r="D958" s="1"/>
      <c r="E958" s="42"/>
      <c r="F958" s="43"/>
      <c r="G958" s="1"/>
      <c r="H958" s="1"/>
      <c r="I958" s="44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42"/>
      <c r="AE958" s="43"/>
      <c r="AF958" s="43"/>
      <c r="AG958" s="1"/>
    </row>
    <row r="959" spans="1:33" ht="44.25" customHeight="1" x14ac:dyDescent="0.25">
      <c r="A959" s="1"/>
      <c r="B959" s="1"/>
      <c r="C959" s="1"/>
      <c r="D959" s="1"/>
      <c r="E959" s="42"/>
      <c r="F959" s="43"/>
      <c r="G959" s="1"/>
      <c r="H959" s="1"/>
      <c r="I959" s="44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42"/>
      <c r="AE959" s="43"/>
      <c r="AF959" s="43"/>
      <c r="AG959" s="1"/>
    </row>
    <row r="960" spans="1:33" ht="44.25" customHeight="1" x14ac:dyDescent="0.25">
      <c r="A960" s="1"/>
      <c r="B960" s="1"/>
      <c r="C960" s="1"/>
      <c r="D960" s="1"/>
      <c r="E960" s="42"/>
      <c r="F960" s="43"/>
      <c r="G960" s="1"/>
      <c r="H960" s="1"/>
      <c r="I960" s="44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42"/>
      <c r="AE960" s="43"/>
      <c r="AF960" s="43"/>
      <c r="AG960" s="1"/>
    </row>
    <row r="961" spans="1:33" ht="44.25" customHeight="1" x14ac:dyDescent="0.25">
      <c r="A961" s="1"/>
      <c r="B961" s="1"/>
      <c r="C961" s="1"/>
      <c r="D961" s="1"/>
      <c r="E961" s="42"/>
      <c r="F961" s="43"/>
      <c r="G961" s="1"/>
      <c r="H961" s="1"/>
      <c r="I961" s="44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42"/>
      <c r="AE961" s="43"/>
      <c r="AF961" s="43"/>
      <c r="AG961" s="1"/>
    </row>
    <row r="962" spans="1:33" ht="44.25" customHeight="1" x14ac:dyDescent="0.25">
      <c r="A962" s="1"/>
      <c r="B962" s="1"/>
      <c r="C962" s="1"/>
      <c r="D962" s="1"/>
      <c r="E962" s="42"/>
      <c r="F962" s="43"/>
      <c r="G962" s="1"/>
      <c r="H962" s="1"/>
      <c r="I962" s="44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42"/>
      <c r="AE962" s="43"/>
      <c r="AF962" s="43"/>
      <c r="AG962" s="1"/>
    </row>
    <row r="963" spans="1:33" ht="44.25" customHeight="1" x14ac:dyDescent="0.25">
      <c r="A963" s="1"/>
      <c r="B963" s="1"/>
      <c r="C963" s="1"/>
      <c r="D963" s="1"/>
      <c r="E963" s="42"/>
      <c r="F963" s="43"/>
      <c r="G963" s="1"/>
      <c r="H963" s="1"/>
      <c r="I963" s="44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42"/>
      <c r="AE963" s="43"/>
      <c r="AF963" s="43"/>
      <c r="AG963" s="1"/>
    </row>
    <row r="964" spans="1:33" ht="44.25" customHeight="1" x14ac:dyDescent="0.25">
      <c r="A964" s="1"/>
      <c r="B964" s="1"/>
      <c r="C964" s="1"/>
      <c r="D964" s="1"/>
      <c r="E964" s="42"/>
      <c r="F964" s="43"/>
      <c r="G964" s="1"/>
      <c r="H964" s="1"/>
      <c r="I964" s="44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42"/>
      <c r="AE964" s="43"/>
      <c r="AF964" s="43"/>
      <c r="AG964" s="1"/>
    </row>
    <row r="965" spans="1:33" ht="44.25" customHeight="1" x14ac:dyDescent="0.25">
      <c r="A965" s="1"/>
      <c r="B965" s="1"/>
      <c r="C965" s="1"/>
      <c r="D965" s="1"/>
      <c r="E965" s="42"/>
      <c r="F965" s="43"/>
      <c r="G965" s="1"/>
      <c r="H965" s="1"/>
      <c r="I965" s="44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42"/>
      <c r="AE965" s="43"/>
      <c r="AF965" s="43"/>
      <c r="AG965" s="1"/>
    </row>
    <row r="966" spans="1:33" ht="44.25" customHeight="1" x14ac:dyDescent="0.25">
      <c r="A966" s="1"/>
      <c r="B966" s="1"/>
      <c r="C966" s="1"/>
      <c r="D966" s="1"/>
      <c r="E966" s="42"/>
      <c r="F966" s="43"/>
      <c r="G966" s="1"/>
      <c r="H966" s="1"/>
      <c r="I966" s="44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42"/>
      <c r="AE966" s="43"/>
      <c r="AF966" s="43"/>
      <c r="AG966" s="1"/>
    </row>
    <row r="967" spans="1:33" ht="44.25" customHeight="1" x14ac:dyDescent="0.25">
      <c r="A967" s="1"/>
      <c r="B967" s="1"/>
      <c r="C967" s="1"/>
      <c r="D967" s="1"/>
      <c r="E967" s="42"/>
      <c r="F967" s="43"/>
      <c r="G967" s="1"/>
      <c r="H967" s="1"/>
      <c r="I967" s="44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42"/>
      <c r="AE967" s="43"/>
      <c r="AF967" s="43"/>
      <c r="AG967" s="1"/>
    </row>
    <row r="968" spans="1:33" ht="44.25" customHeight="1" x14ac:dyDescent="0.25">
      <c r="A968" s="1"/>
      <c r="B968" s="1"/>
      <c r="C968" s="1"/>
      <c r="D968" s="1"/>
      <c r="E968" s="42"/>
      <c r="F968" s="43"/>
      <c r="G968" s="1"/>
      <c r="H968" s="1"/>
      <c r="I968" s="44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42"/>
      <c r="AE968" s="43"/>
      <c r="AF968" s="43"/>
      <c r="AG968" s="1"/>
    </row>
    <row r="969" spans="1:33" ht="44.25" customHeight="1" x14ac:dyDescent="0.25">
      <c r="A969" s="1"/>
      <c r="B969" s="1"/>
      <c r="C969" s="1"/>
      <c r="D969" s="1"/>
      <c r="E969" s="42"/>
      <c r="F969" s="43"/>
      <c r="G969" s="1"/>
      <c r="H969" s="1"/>
      <c r="I969" s="44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42"/>
      <c r="AE969" s="43"/>
      <c r="AF969" s="43"/>
      <c r="AG969" s="1"/>
    </row>
    <row r="970" spans="1:33" ht="44.25" customHeight="1" x14ac:dyDescent="0.25">
      <c r="A970" s="1"/>
      <c r="B970" s="1"/>
      <c r="C970" s="1"/>
      <c r="D970" s="1"/>
      <c r="E970" s="42"/>
      <c r="F970" s="43"/>
      <c r="G970" s="1"/>
      <c r="H970" s="1"/>
      <c r="I970" s="44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42"/>
      <c r="AE970" s="43"/>
      <c r="AF970" s="43"/>
      <c r="AG970" s="1"/>
    </row>
    <row r="971" spans="1:33" ht="44.25" customHeight="1" x14ac:dyDescent="0.25">
      <c r="A971" s="1"/>
      <c r="B971" s="1"/>
      <c r="C971" s="1"/>
      <c r="D971" s="1"/>
      <c r="E971" s="42"/>
      <c r="F971" s="43"/>
      <c r="G971" s="1"/>
      <c r="H971" s="1"/>
      <c r="I971" s="44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42"/>
      <c r="AE971" s="43"/>
      <c r="AF971" s="43"/>
      <c r="AG971" s="1"/>
    </row>
    <row r="972" spans="1:33" ht="44.25" customHeight="1" x14ac:dyDescent="0.25">
      <c r="A972" s="1"/>
      <c r="B972" s="1"/>
      <c r="C972" s="1"/>
      <c r="D972" s="1"/>
      <c r="E972" s="42"/>
      <c r="F972" s="43"/>
      <c r="G972" s="1"/>
      <c r="H972" s="1"/>
      <c r="I972" s="44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42"/>
      <c r="AE972" s="43"/>
      <c r="AF972" s="43"/>
      <c r="AG972" s="1"/>
    </row>
    <row r="973" spans="1:33" ht="44.25" customHeight="1" x14ac:dyDescent="0.25">
      <c r="A973" s="1"/>
      <c r="B973" s="1"/>
      <c r="C973" s="1"/>
      <c r="D973" s="1"/>
      <c r="E973" s="42"/>
      <c r="F973" s="43"/>
      <c r="G973" s="1"/>
      <c r="H973" s="1"/>
      <c r="I973" s="44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42"/>
      <c r="AE973" s="43"/>
      <c r="AF973" s="43"/>
      <c r="AG973" s="1"/>
    </row>
    <row r="974" spans="1:33" ht="44.25" customHeight="1" x14ac:dyDescent="0.25">
      <c r="A974" s="1"/>
      <c r="B974" s="1"/>
      <c r="C974" s="1"/>
      <c r="D974" s="1"/>
      <c r="E974" s="42"/>
      <c r="F974" s="43"/>
      <c r="G974" s="1"/>
      <c r="H974" s="1"/>
      <c r="I974" s="44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42"/>
      <c r="AE974" s="43"/>
      <c r="AF974" s="43"/>
      <c r="AG974" s="1"/>
    </row>
    <row r="975" spans="1:33" ht="44.25" customHeight="1" x14ac:dyDescent="0.25">
      <c r="A975" s="1"/>
      <c r="B975" s="1"/>
      <c r="C975" s="1"/>
      <c r="D975" s="1"/>
      <c r="E975" s="42"/>
      <c r="F975" s="43"/>
      <c r="G975" s="1"/>
      <c r="H975" s="1"/>
      <c r="I975" s="44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42"/>
      <c r="AE975" s="43"/>
      <c r="AF975" s="43"/>
      <c r="AG975" s="1"/>
    </row>
    <row r="976" spans="1:33" ht="44.25" customHeight="1" x14ac:dyDescent="0.25">
      <c r="A976" s="1"/>
      <c r="B976" s="1"/>
      <c r="C976" s="1"/>
      <c r="D976" s="1"/>
      <c r="E976" s="42"/>
      <c r="F976" s="43"/>
      <c r="G976" s="1"/>
      <c r="H976" s="1"/>
      <c r="I976" s="44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42"/>
      <c r="AE976" s="43"/>
      <c r="AF976" s="43"/>
      <c r="AG976" s="1"/>
    </row>
    <row r="977" spans="1:33" ht="44.25" customHeight="1" x14ac:dyDescent="0.25">
      <c r="A977" s="1"/>
      <c r="B977" s="1"/>
      <c r="C977" s="1"/>
      <c r="D977" s="1"/>
      <c r="E977" s="42"/>
      <c r="F977" s="43"/>
      <c r="G977" s="1"/>
      <c r="H977" s="1"/>
      <c r="I977" s="44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42"/>
      <c r="AE977" s="43"/>
      <c r="AF977" s="43"/>
      <c r="AG977" s="1"/>
    </row>
    <row r="978" spans="1:33" ht="44.25" customHeight="1" x14ac:dyDescent="0.25">
      <c r="A978" s="1"/>
      <c r="B978" s="1"/>
      <c r="C978" s="1"/>
      <c r="D978" s="1"/>
      <c r="E978" s="42"/>
      <c r="F978" s="43"/>
      <c r="G978" s="1"/>
      <c r="H978" s="1"/>
      <c r="I978" s="44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42"/>
      <c r="AE978" s="43"/>
      <c r="AF978" s="43"/>
      <c r="AG978" s="1"/>
    </row>
    <row r="979" spans="1:33" ht="44.25" customHeight="1" x14ac:dyDescent="0.25">
      <c r="A979" s="1"/>
      <c r="B979" s="1"/>
      <c r="C979" s="1"/>
      <c r="D979" s="1"/>
      <c r="E979" s="42"/>
      <c r="F979" s="43"/>
      <c r="G979" s="1"/>
      <c r="H979" s="1"/>
      <c r="I979" s="44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42"/>
      <c r="AE979" s="43"/>
      <c r="AF979" s="43"/>
      <c r="AG979" s="1"/>
    </row>
    <row r="980" spans="1:33" ht="44.25" customHeight="1" x14ac:dyDescent="0.25">
      <c r="A980" s="1"/>
      <c r="B980" s="1"/>
      <c r="C980" s="1"/>
      <c r="D980" s="1"/>
      <c r="E980" s="42"/>
      <c r="F980" s="43"/>
      <c r="G980" s="1"/>
      <c r="H980" s="1"/>
      <c r="I980" s="44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42"/>
      <c r="AE980" s="43"/>
      <c r="AF980" s="43"/>
      <c r="AG980" s="1"/>
    </row>
    <row r="981" spans="1:33" ht="44.25" customHeight="1" x14ac:dyDescent="0.25">
      <c r="A981" s="1"/>
      <c r="B981" s="1"/>
      <c r="C981" s="1"/>
      <c r="D981" s="1"/>
      <c r="E981" s="42"/>
      <c r="F981" s="43"/>
      <c r="G981" s="1"/>
      <c r="H981" s="1"/>
      <c r="I981" s="44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42"/>
      <c r="AE981" s="43"/>
      <c r="AF981" s="43"/>
      <c r="AG981" s="1"/>
    </row>
    <row r="982" spans="1:33" ht="44.25" customHeight="1" x14ac:dyDescent="0.25">
      <c r="A982" s="1"/>
      <c r="B982" s="1"/>
      <c r="C982" s="1"/>
      <c r="D982" s="1"/>
      <c r="E982" s="42"/>
      <c r="F982" s="43"/>
      <c r="G982" s="1"/>
      <c r="H982" s="1"/>
      <c r="I982" s="44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42"/>
      <c r="AE982" s="43"/>
      <c r="AF982" s="43"/>
      <c r="AG982" s="1"/>
    </row>
    <row r="983" spans="1:33" ht="44.25" customHeight="1" x14ac:dyDescent="0.25">
      <c r="A983" s="1"/>
      <c r="B983" s="1"/>
      <c r="C983" s="1"/>
      <c r="D983" s="1"/>
      <c r="E983" s="42"/>
      <c r="F983" s="43"/>
      <c r="G983" s="1"/>
      <c r="H983" s="1"/>
      <c r="I983" s="44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42"/>
      <c r="AE983" s="43"/>
      <c r="AF983" s="43"/>
      <c r="AG983" s="1"/>
    </row>
    <row r="984" spans="1:33" ht="44.25" customHeight="1" x14ac:dyDescent="0.25">
      <c r="A984" s="1"/>
      <c r="B984" s="1"/>
      <c r="C984" s="1"/>
      <c r="D984" s="1"/>
      <c r="E984" s="42"/>
      <c r="F984" s="43"/>
      <c r="G984" s="1"/>
      <c r="H984" s="1"/>
      <c r="I984" s="44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42"/>
      <c r="AE984" s="43"/>
      <c r="AF984" s="43"/>
      <c r="AG984" s="1"/>
    </row>
    <row r="985" spans="1:33" ht="44.25" customHeight="1" x14ac:dyDescent="0.25">
      <c r="A985" s="1"/>
      <c r="B985" s="1"/>
      <c r="C985" s="1"/>
      <c r="D985" s="1"/>
      <c r="E985" s="42"/>
      <c r="F985" s="43"/>
      <c r="G985" s="1"/>
      <c r="H985" s="1"/>
      <c r="I985" s="44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42"/>
      <c r="AE985" s="43"/>
      <c r="AF985" s="43"/>
      <c r="AG985" s="1"/>
    </row>
    <row r="986" spans="1:33" ht="44.25" customHeight="1" x14ac:dyDescent="0.25">
      <c r="A986" s="1"/>
      <c r="B986" s="1"/>
      <c r="C986" s="1"/>
      <c r="D986" s="1"/>
      <c r="E986" s="42"/>
      <c r="F986" s="43"/>
      <c r="G986" s="1"/>
      <c r="H986" s="1"/>
      <c r="I986" s="44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42"/>
      <c r="AE986" s="43"/>
      <c r="AF986" s="43"/>
      <c r="AG986" s="1"/>
    </row>
    <row r="987" spans="1:33" ht="44.25" customHeight="1" x14ac:dyDescent="0.25">
      <c r="A987" s="1"/>
      <c r="B987" s="1"/>
      <c r="C987" s="1"/>
      <c r="D987" s="1"/>
      <c r="E987" s="42"/>
      <c r="F987" s="43"/>
      <c r="G987" s="1"/>
      <c r="H987" s="1"/>
      <c r="I987" s="44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42"/>
      <c r="AE987" s="43"/>
      <c r="AF987" s="43"/>
      <c r="AG987" s="1"/>
    </row>
    <row r="988" spans="1:33" ht="44.25" customHeight="1" x14ac:dyDescent="0.25">
      <c r="A988" s="1"/>
      <c r="B988" s="1"/>
      <c r="C988" s="1"/>
      <c r="D988" s="1"/>
      <c r="E988" s="42"/>
      <c r="F988" s="43"/>
      <c r="G988" s="1"/>
      <c r="H988" s="1"/>
      <c r="I988" s="44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42"/>
      <c r="AE988" s="43"/>
      <c r="AF988" s="43"/>
      <c r="AG988" s="1"/>
    </row>
    <row r="989" spans="1:33" ht="44.25" customHeight="1" x14ac:dyDescent="0.25">
      <c r="A989" s="1"/>
      <c r="B989" s="1"/>
      <c r="C989" s="1"/>
      <c r="D989" s="1"/>
      <c r="E989" s="42"/>
      <c r="F989" s="43"/>
      <c r="G989" s="1"/>
      <c r="H989" s="1"/>
      <c r="I989" s="44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42"/>
      <c r="AE989" s="43"/>
      <c r="AF989" s="43"/>
      <c r="AG989" s="1"/>
    </row>
    <row r="990" spans="1:33" ht="44.25" customHeight="1" x14ac:dyDescent="0.25">
      <c r="A990" s="1"/>
      <c r="B990" s="1"/>
      <c r="C990" s="1"/>
      <c r="D990" s="1"/>
      <c r="E990" s="42"/>
      <c r="F990" s="43"/>
      <c r="G990" s="1"/>
      <c r="H990" s="1"/>
      <c r="I990" s="44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42"/>
      <c r="AE990" s="43"/>
      <c r="AF990" s="43"/>
      <c r="AG990" s="1"/>
    </row>
    <row r="991" spans="1:33" ht="44.25" customHeight="1" x14ac:dyDescent="0.25">
      <c r="A991" s="1"/>
      <c r="B991" s="1"/>
      <c r="C991" s="1"/>
      <c r="D991" s="1"/>
      <c r="E991" s="42"/>
      <c r="F991" s="43"/>
      <c r="G991" s="1"/>
      <c r="H991" s="1"/>
      <c r="I991" s="44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42"/>
      <c r="AE991" s="43"/>
      <c r="AF991" s="43"/>
      <c r="AG991" s="1"/>
    </row>
    <row r="992" spans="1:33" ht="44.25" customHeight="1" x14ac:dyDescent="0.25">
      <c r="A992" s="1"/>
      <c r="B992" s="1"/>
      <c r="C992" s="1"/>
      <c r="D992" s="1"/>
      <c r="E992" s="42"/>
      <c r="F992" s="43"/>
      <c r="G992" s="1"/>
      <c r="H992" s="1"/>
      <c r="I992" s="44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42"/>
      <c r="AE992" s="43"/>
      <c r="AF992" s="43"/>
      <c r="AG992" s="1"/>
    </row>
    <row r="993" spans="1:33" ht="44.25" customHeight="1" x14ac:dyDescent="0.25">
      <c r="A993" s="1"/>
      <c r="B993" s="1"/>
      <c r="C993" s="1"/>
      <c r="D993" s="1"/>
      <c r="E993" s="42"/>
      <c r="F993" s="43"/>
      <c r="G993" s="1"/>
      <c r="H993" s="1"/>
      <c r="I993" s="44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42"/>
      <c r="AE993" s="43"/>
      <c r="AF993" s="43"/>
      <c r="AG993" s="1"/>
    </row>
    <row r="994" spans="1:33" ht="44.25" customHeight="1" x14ac:dyDescent="0.25">
      <c r="A994" s="1"/>
      <c r="B994" s="1"/>
      <c r="C994" s="1"/>
      <c r="D994" s="1"/>
      <c r="E994" s="42"/>
      <c r="F994" s="43"/>
      <c r="G994" s="1"/>
      <c r="H994" s="1"/>
      <c r="I994" s="44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42"/>
      <c r="AE994" s="43"/>
      <c r="AF994" s="43"/>
      <c r="AG994" s="1"/>
    </row>
    <row r="995" spans="1:33" ht="44.25" customHeight="1" x14ac:dyDescent="0.25">
      <c r="A995" s="1"/>
      <c r="B995" s="1"/>
      <c r="C995" s="1"/>
      <c r="D995" s="1"/>
      <c r="E995" s="42"/>
      <c r="F995" s="43"/>
      <c r="G995" s="1"/>
      <c r="H995" s="1"/>
      <c r="I995" s="44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42"/>
      <c r="AE995" s="43"/>
      <c r="AF995" s="43"/>
      <c r="AG995" s="1"/>
    </row>
    <row r="996" spans="1:33" ht="44.25" customHeight="1" x14ac:dyDescent="0.25">
      <c r="A996" s="1"/>
      <c r="B996" s="1"/>
      <c r="C996" s="1"/>
      <c r="D996" s="1"/>
      <c r="E996" s="42"/>
      <c r="F996" s="43"/>
      <c r="G996" s="1"/>
      <c r="H996" s="1"/>
      <c r="I996" s="44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42"/>
      <c r="AE996" s="43"/>
      <c r="AF996" s="43"/>
      <c r="AG996" s="1"/>
    </row>
    <row r="997" spans="1:33" ht="44.25" customHeight="1" x14ac:dyDescent="0.25">
      <c r="A997" s="1"/>
      <c r="B997" s="1"/>
      <c r="C997" s="1"/>
      <c r="D997" s="1"/>
      <c r="E997" s="42"/>
      <c r="F997" s="43"/>
      <c r="G997" s="1"/>
      <c r="H997" s="1"/>
      <c r="I997" s="44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42"/>
      <c r="AE997" s="43"/>
      <c r="AF997" s="43"/>
      <c r="AG997" s="1"/>
    </row>
    <row r="998" spans="1:33" ht="44.25" customHeight="1" x14ac:dyDescent="0.25">
      <c r="A998" s="1"/>
      <c r="B998" s="1"/>
      <c r="C998" s="1"/>
      <c r="D998" s="1"/>
      <c r="E998" s="42"/>
      <c r="F998" s="43"/>
      <c r="G998" s="1"/>
      <c r="H998" s="1"/>
      <c r="I998" s="44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42"/>
      <c r="AE998" s="43"/>
      <c r="AF998" s="43"/>
      <c r="AG998" s="1"/>
    </row>
    <row r="999" spans="1:33" ht="44.25" customHeight="1" x14ac:dyDescent="0.25">
      <c r="A999" s="1"/>
      <c r="B999" s="1"/>
      <c r="C999" s="1"/>
      <c r="D999" s="1"/>
      <c r="E999" s="42"/>
      <c r="F999" s="43"/>
      <c r="G999" s="1"/>
      <c r="H999" s="1"/>
      <c r="I999" s="44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42"/>
      <c r="AE999" s="43"/>
      <c r="AF999" s="43"/>
      <c r="AG999" s="1"/>
    </row>
    <row r="1000" spans="1:33" ht="44.25" customHeight="1" x14ac:dyDescent="0.25">
      <c r="A1000" s="1"/>
      <c r="B1000" s="1"/>
      <c r="C1000" s="1"/>
      <c r="D1000" s="1"/>
      <c r="E1000" s="42"/>
      <c r="F1000" s="43"/>
      <c r="G1000" s="1"/>
      <c r="H1000" s="1"/>
      <c r="I1000" s="44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42"/>
      <c r="AE1000" s="43"/>
      <c r="AF1000" s="43"/>
      <c r="AG1000" s="1"/>
    </row>
  </sheetData>
  <mergeCells count="483">
    <mergeCell ref="AD44:AD45"/>
    <mergeCell ref="AE44:AE45"/>
    <mergeCell ref="AF44:AF45"/>
    <mergeCell ref="AE46:AF46"/>
    <mergeCell ref="AE47:AF47"/>
    <mergeCell ref="U44:U45"/>
    <mergeCell ref="V44:V45"/>
    <mergeCell ref="W44:W45"/>
    <mergeCell ref="X44:X45"/>
    <mergeCell ref="Y44:Y45"/>
    <mergeCell ref="Z44:Z45"/>
    <mergeCell ref="AB46:AC46"/>
    <mergeCell ref="AB47:AC47"/>
    <mergeCell ref="AA44:AA45"/>
    <mergeCell ref="AB44:AB45"/>
    <mergeCell ref="AC44:AC45"/>
    <mergeCell ref="AB42:AB43"/>
    <mergeCell ref="AC42:AC43"/>
    <mergeCell ref="AD42:AD43"/>
    <mergeCell ref="AE42:AE43"/>
    <mergeCell ref="AF42:AF43"/>
    <mergeCell ref="U42:U43"/>
    <mergeCell ref="V42:V43"/>
    <mergeCell ref="W42:W43"/>
    <mergeCell ref="X42:X43"/>
    <mergeCell ref="Y42:Y43"/>
    <mergeCell ref="Z42:Z43"/>
    <mergeCell ref="AA42:AA43"/>
    <mergeCell ref="Z40:Z41"/>
    <mergeCell ref="AA40:AA41"/>
    <mergeCell ref="AB40:AB41"/>
    <mergeCell ref="AC40:AC41"/>
    <mergeCell ref="AD40:AD41"/>
    <mergeCell ref="AE40:AE41"/>
    <mergeCell ref="AF40:AF41"/>
    <mergeCell ref="R40:R41"/>
    <mergeCell ref="S40:S41"/>
    <mergeCell ref="U40:U41"/>
    <mergeCell ref="V40:V41"/>
    <mergeCell ref="W40:W41"/>
    <mergeCell ref="X40:X41"/>
    <mergeCell ref="Y40:Y41"/>
    <mergeCell ref="AB36:AB39"/>
    <mergeCell ref="AC36:AC39"/>
    <mergeCell ref="AD36:AD39"/>
    <mergeCell ref="AE36:AE39"/>
    <mergeCell ref="AF36:AF39"/>
    <mergeCell ref="U36:U39"/>
    <mergeCell ref="V36:V39"/>
    <mergeCell ref="W36:W39"/>
    <mergeCell ref="X36:X39"/>
    <mergeCell ref="Y36:Y39"/>
    <mergeCell ref="Z36:Z39"/>
    <mergeCell ref="AA36:AA39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R34:R35"/>
    <mergeCell ref="S34:S35"/>
    <mergeCell ref="T34:T35"/>
    <mergeCell ref="U34:U35"/>
    <mergeCell ref="V34:V35"/>
    <mergeCell ref="W34:W35"/>
    <mergeCell ref="X34:X35"/>
    <mergeCell ref="S25:S26"/>
    <mergeCell ref="T25:T26"/>
    <mergeCell ref="U25:U26"/>
    <mergeCell ref="S27:S29"/>
    <mergeCell ref="T27:T29"/>
    <mergeCell ref="O32:O33"/>
    <mergeCell ref="O34:O35"/>
    <mergeCell ref="L30:L31"/>
    <mergeCell ref="O30:O31"/>
    <mergeCell ref="S30:S31"/>
    <mergeCell ref="L32:L33"/>
    <mergeCell ref="R32:R33"/>
    <mergeCell ref="S32:S33"/>
    <mergeCell ref="L34:L35"/>
    <mergeCell ref="O25:O26"/>
    <mergeCell ref="O27:O29"/>
    <mergeCell ref="R30:R31"/>
    <mergeCell ref="R25:R26"/>
    <mergeCell ref="S23:S24"/>
    <mergeCell ref="T23:T24"/>
    <mergeCell ref="U23:U24"/>
    <mergeCell ref="L14:L15"/>
    <mergeCell ref="L16:L17"/>
    <mergeCell ref="O18:O20"/>
    <mergeCell ref="S18:S20"/>
    <mergeCell ref="T18:T20"/>
    <mergeCell ref="U18:U20"/>
    <mergeCell ref="O21:O22"/>
    <mergeCell ref="U21:U22"/>
    <mergeCell ref="L23:L24"/>
    <mergeCell ref="O23:O24"/>
    <mergeCell ref="R23:R24"/>
    <mergeCell ref="AA32:AA33"/>
    <mergeCell ref="AB32:AB33"/>
    <mergeCell ref="AC32:AC33"/>
    <mergeCell ref="AD32:AD33"/>
    <mergeCell ref="AE32:AE33"/>
    <mergeCell ref="AF32:AF33"/>
    <mergeCell ref="T32:T33"/>
    <mergeCell ref="U32:U33"/>
    <mergeCell ref="V32:V33"/>
    <mergeCell ref="W32:W33"/>
    <mergeCell ref="X32:X33"/>
    <mergeCell ref="Y32:Y33"/>
    <mergeCell ref="Z32:Z33"/>
    <mergeCell ref="AA30:AA31"/>
    <mergeCell ref="AB30:AB31"/>
    <mergeCell ref="AC30:AC31"/>
    <mergeCell ref="AD30:AD31"/>
    <mergeCell ref="AE30:AE31"/>
    <mergeCell ref="AF30:AF31"/>
    <mergeCell ref="T30:T31"/>
    <mergeCell ref="U30:U31"/>
    <mergeCell ref="V30:V31"/>
    <mergeCell ref="W30:W31"/>
    <mergeCell ref="X30:X31"/>
    <mergeCell ref="Y30:Y31"/>
    <mergeCell ref="Z30:Z31"/>
    <mergeCell ref="AB27:AB29"/>
    <mergeCell ref="AC27:AC29"/>
    <mergeCell ref="AD27:AD29"/>
    <mergeCell ref="AE27:AE29"/>
    <mergeCell ref="AF27:AF29"/>
    <mergeCell ref="U27:U29"/>
    <mergeCell ref="V27:V29"/>
    <mergeCell ref="W27:W29"/>
    <mergeCell ref="X27:X29"/>
    <mergeCell ref="Y27:Y29"/>
    <mergeCell ref="Z27:Z29"/>
    <mergeCell ref="AA27:AA29"/>
    <mergeCell ref="P63:P66"/>
    <mergeCell ref="P67:P70"/>
    <mergeCell ref="P71:P74"/>
    <mergeCell ref="B44:B45"/>
    <mergeCell ref="B48:B49"/>
    <mergeCell ref="C48:C49"/>
    <mergeCell ref="D48:D49"/>
    <mergeCell ref="E48:E49"/>
    <mergeCell ref="C50:C52"/>
    <mergeCell ref="D50:D52"/>
    <mergeCell ref="C44:C45"/>
    <mergeCell ref="E44:E45"/>
    <mergeCell ref="L44:L45"/>
    <mergeCell ref="O44:O45"/>
    <mergeCell ref="O53:O55"/>
    <mergeCell ref="E50:E52"/>
    <mergeCell ref="L50:L52"/>
    <mergeCell ref="O50:O52"/>
    <mergeCell ref="B30:B31"/>
    <mergeCell ref="C30:C31"/>
    <mergeCell ref="C32:C33"/>
    <mergeCell ref="C34:C35"/>
    <mergeCell ref="C36:C39"/>
    <mergeCell ref="C40:C41"/>
    <mergeCell ref="A23:A47"/>
    <mergeCell ref="B32:B33"/>
    <mergeCell ref="B34:B35"/>
    <mergeCell ref="B36:B39"/>
    <mergeCell ref="B40:B41"/>
    <mergeCell ref="B42:B43"/>
    <mergeCell ref="B23:B24"/>
    <mergeCell ref="B25:B26"/>
    <mergeCell ref="C25:C26"/>
    <mergeCell ref="B27:B29"/>
    <mergeCell ref="C27:C29"/>
    <mergeCell ref="C42:C43"/>
    <mergeCell ref="D27:D29"/>
    <mergeCell ref="E27:E29"/>
    <mergeCell ref="R18:R20"/>
    <mergeCell ref="R21:R22"/>
    <mergeCell ref="D23:D24"/>
    <mergeCell ref="E23:E24"/>
    <mergeCell ref="L27:L29"/>
    <mergeCell ref="R27:R29"/>
    <mergeCell ref="D36:D39"/>
    <mergeCell ref="D30:D31"/>
    <mergeCell ref="E30:E31"/>
    <mergeCell ref="D32:D33"/>
    <mergeCell ref="E32:E33"/>
    <mergeCell ref="D34:D35"/>
    <mergeCell ref="E34:E35"/>
    <mergeCell ref="E36:E39"/>
    <mergeCell ref="D25:D26"/>
    <mergeCell ref="T58:T60"/>
    <mergeCell ref="U58:U60"/>
    <mergeCell ref="V58:V60"/>
    <mergeCell ref="W58:W60"/>
    <mergeCell ref="X58:X60"/>
    <mergeCell ref="Y58:Y60"/>
    <mergeCell ref="AB61:AC61"/>
    <mergeCell ref="AE61:AF61"/>
    <mergeCell ref="Z58:Z60"/>
    <mergeCell ref="AA58:AA60"/>
    <mergeCell ref="AB58:AB60"/>
    <mergeCell ref="AC58:AC60"/>
    <mergeCell ref="AD58:AD60"/>
    <mergeCell ref="AE58:AE60"/>
    <mergeCell ref="AF58:AF60"/>
    <mergeCell ref="A48:A57"/>
    <mergeCell ref="A58:A61"/>
    <mergeCell ref="C58:C60"/>
    <mergeCell ref="D58:D60"/>
    <mergeCell ref="E58:E60"/>
    <mergeCell ref="O58:O60"/>
    <mergeCell ref="R58:R60"/>
    <mergeCell ref="F61:G61"/>
    <mergeCell ref="S58:S60"/>
    <mergeCell ref="B56:B57"/>
    <mergeCell ref="B58:B60"/>
    <mergeCell ref="C56:C57"/>
    <mergeCell ref="D56:D57"/>
    <mergeCell ref="E56:E57"/>
    <mergeCell ref="L56:L57"/>
    <mergeCell ref="O56:O57"/>
    <mergeCell ref="R56:R57"/>
    <mergeCell ref="S56:S57"/>
    <mergeCell ref="B50:B52"/>
    <mergeCell ref="B53:B55"/>
    <mergeCell ref="C53:C55"/>
    <mergeCell ref="D53:D55"/>
    <mergeCell ref="E53:E55"/>
    <mergeCell ref="L53:L55"/>
    <mergeCell ref="AC56:AC57"/>
    <mergeCell ref="AD56:AD57"/>
    <mergeCell ref="AE56:AE57"/>
    <mergeCell ref="AF56:AF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A53:AA55"/>
    <mergeCell ref="AB53:AB55"/>
    <mergeCell ref="AC53:AC55"/>
    <mergeCell ref="AD53:AD55"/>
    <mergeCell ref="AE53:AE55"/>
    <mergeCell ref="AF53:AF55"/>
    <mergeCell ref="R53:R55"/>
    <mergeCell ref="S53:S55"/>
    <mergeCell ref="T53:T55"/>
    <mergeCell ref="U53:U55"/>
    <mergeCell ref="V53:V55"/>
    <mergeCell ref="W53:W55"/>
    <mergeCell ref="X53:X55"/>
    <mergeCell ref="Y53:Y55"/>
    <mergeCell ref="Z53:Z55"/>
    <mergeCell ref="AE50:AE52"/>
    <mergeCell ref="AF50:AF52"/>
    <mergeCell ref="V50:V52"/>
    <mergeCell ref="W50:W52"/>
    <mergeCell ref="X50:X52"/>
    <mergeCell ref="Y50:Y52"/>
    <mergeCell ref="Z50:Z52"/>
    <mergeCell ref="AA50:AA52"/>
    <mergeCell ref="AB50:AB52"/>
    <mergeCell ref="R50:R52"/>
    <mergeCell ref="S50:S52"/>
    <mergeCell ref="T50:T52"/>
    <mergeCell ref="U50:U52"/>
    <mergeCell ref="AC50:AC52"/>
    <mergeCell ref="AD50:AD52"/>
    <mergeCell ref="Z48:Z49"/>
    <mergeCell ref="AA48:AA49"/>
    <mergeCell ref="AB48:AB49"/>
    <mergeCell ref="AC48:AC49"/>
    <mergeCell ref="AD48:AD49"/>
    <mergeCell ref="AE48:AE49"/>
    <mergeCell ref="AF48:AF49"/>
    <mergeCell ref="O48:O49"/>
    <mergeCell ref="R48:R49"/>
    <mergeCell ref="T48:T49"/>
    <mergeCell ref="U48:U49"/>
    <mergeCell ref="V48:V49"/>
    <mergeCell ref="W48:W49"/>
    <mergeCell ref="X48:X49"/>
    <mergeCell ref="D40:D41"/>
    <mergeCell ref="D42:D43"/>
    <mergeCell ref="D44:D45"/>
    <mergeCell ref="F46:S46"/>
    <mergeCell ref="F47:S47"/>
    <mergeCell ref="L48:L49"/>
    <mergeCell ref="S48:S49"/>
    <mergeCell ref="Y48:Y49"/>
    <mergeCell ref="O40:O41"/>
    <mergeCell ref="R44:R45"/>
    <mergeCell ref="S44:S45"/>
    <mergeCell ref="T44:T45"/>
    <mergeCell ref="S36:S39"/>
    <mergeCell ref="T36:T39"/>
    <mergeCell ref="L40:L41"/>
    <mergeCell ref="T40:T41"/>
    <mergeCell ref="E40:E41"/>
    <mergeCell ref="E42:E43"/>
    <mergeCell ref="L42:L43"/>
    <mergeCell ref="O42:O43"/>
    <mergeCell ref="R42:R43"/>
    <mergeCell ref="S42:S43"/>
    <mergeCell ref="T42:T43"/>
    <mergeCell ref="O36:O39"/>
    <mergeCell ref="L36:L39"/>
    <mergeCell ref="R36:R39"/>
    <mergeCell ref="AE18:AE20"/>
    <mergeCell ref="AF18:AF20"/>
    <mergeCell ref="AE21:AE22"/>
    <mergeCell ref="AF21:AF22"/>
    <mergeCell ref="A14:A22"/>
    <mergeCell ref="B21:B22"/>
    <mergeCell ref="E12:E13"/>
    <mergeCell ref="L12:L13"/>
    <mergeCell ref="C14:C15"/>
    <mergeCell ref="D14:D15"/>
    <mergeCell ref="E14:E15"/>
    <mergeCell ref="E16:E17"/>
    <mergeCell ref="L18:L20"/>
    <mergeCell ref="L21:L22"/>
    <mergeCell ref="V18:V20"/>
    <mergeCell ref="W18:W20"/>
    <mergeCell ref="X18:X20"/>
    <mergeCell ref="Y18:Y20"/>
    <mergeCell ref="Z18:Z20"/>
    <mergeCell ref="AA18:AA20"/>
    <mergeCell ref="AB18:AB20"/>
    <mergeCell ref="S21:S22"/>
    <mergeCell ref="T21:T22"/>
    <mergeCell ref="B18:B20"/>
    <mergeCell ref="C18:C20"/>
    <mergeCell ref="C21:C22"/>
    <mergeCell ref="D18:D20"/>
    <mergeCell ref="E18:E20"/>
    <mergeCell ref="D21:D22"/>
    <mergeCell ref="E21:E22"/>
    <mergeCell ref="AC18:AC20"/>
    <mergeCell ref="AD18:AD20"/>
    <mergeCell ref="AC25:AC26"/>
    <mergeCell ref="AD25:AD26"/>
    <mergeCell ref="AC23:AC24"/>
    <mergeCell ref="AD23:AD24"/>
    <mergeCell ref="AC21:AC22"/>
    <mergeCell ref="AD21:AD22"/>
    <mergeCell ref="V21:V22"/>
    <mergeCell ref="W21:W22"/>
    <mergeCell ref="X21:X22"/>
    <mergeCell ref="Y21:Y22"/>
    <mergeCell ref="Z21:Z22"/>
    <mergeCell ref="AA21:AA22"/>
    <mergeCell ref="AB21:AB22"/>
    <mergeCell ref="E25:E26"/>
    <mergeCell ref="L25:L26"/>
    <mergeCell ref="C23:C24"/>
    <mergeCell ref="AE25:AE26"/>
    <mergeCell ref="AF25:AF26"/>
    <mergeCell ref="V25:V26"/>
    <mergeCell ref="W25:W26"/>
    <mergeCell ref="X25:X26"/>
    <mergeCell ref="Y25:Y26"/>
    <mergeCell ref="Z25:Z26"/>
    <mergeCell ref="AA25:AA26"/>
    <mergeCell ref="AB25:AB26"/>
    <mergeCell ref="AE23:AE24"/>
    <mergeCell ref="AF23:AF24"/>
    <mergeCell ref="V23:V24"/>
    <mergeCell ref="W23:W24"/>
    <mergeCell ref="X23:X24"/>
    <mergeCell ref="Y23:Y24"/>
    <mergeCell ref="Z23:Z24"/>
    <mergeCell ref="AA23:AA24"/>
    <mergeCell ref="AB23:AB24"/>
    <mergeCell ref="AA14:AA15"/>
    <mergeCell ref="AB14:AB15"/>
    <mergeCell ref="AC14:AC15"/>
    <mergeCell ref="AD14:AD15"/>
    <mergeCell ref="AE14:AE15"/>
    <mergeCell ref="AF14:AF15"/>
    <mergeCell ref="B14:B15"/>
    <mergeCell ref="B16:B17"/>
    <mergeCell ref="AB16:AB17"/>
    <mergeCell ref="AC16:AC17"/>
    <mergeCell ref="AD16:AD17"/>
    <mergeCell ref="AE16:AE17"/>
    <mergeCell ref="AF16:AF17"/>
    <mergeCell ref="Y14:Y15"/>
    <mergeCell ref="Z14:Z15"/>
    <mergeCell ref="Y16:Y17"/>
    <mergeCell ref="Z16:Z17"/>
    <mergeCell ref="AA16:AA17"/>
    <mergeCell ref="C16:C17"/>
    <mergeCell ref="D16:D17"/>
    <mergeCell ref="U14:U15"/>
    <mergeCell ref="V14:V15"/>
    <mergeCell ref="U16:U17"/>
    <mergeCell ref="V16:V17"/>
    <mergeCell ref="W14:W15"/>
    <mergeCell ref="X14:X15"/>
    <mergeCell ref="W16:W17"/>
    <mergeCell ref="X16:X17"/>
    <mergeCell ref="O14:O15"/>
    <mergeCell ref="R14:R15"/>
    <mergeCell ref="O16:O17"/>
    <mergeCell ref="R16:R17"/>
    <mergeCell ref="S12:S13"/>
    <mergeCell ref="T12:T13"/>
    <mergeCell ref="S14:S15"/>
    <mergeCell ref="T14:T15"/>
    <mergeCell ref="S16:S17"/>
    <mergeCell ref="T16:T17"/>
    <mergeCell ref="B1:AF1"/>
    <mergeCell ref="B2:L2"/>
    <mergeCell ref="M2:S2"/>
    <mergeCell ref="T2:AA2"/>
    <mergeCell ref="AB2:AF2"/>
    <mergeCell ref="A4:A13"/>
    <mergeCell ref="AF8:AF11"/>
    <mergeCell ref="AF12:AF13"/>
    <mergeCell ref="O12:O13"/>
    <mergeCell ref="R12:R13"/>
    <mergeCell ref="U12:U13"/>
    <mergeCell ref="V12:V13"/>
    <mergeCell ref="AA12:AA13"/>
    <mergeCell ref="AB12:AB13"/>
    <mergeCell ref="Y12:Y13"/>
    <mergeCell ref="Z12:Z13"/>
    <mergeCell ref="AC12:AC13"/>
    <mergeCell ref="AD8:AD11"/>
    <mergeCell ref="AE8:AE11"/>
    <mergeCell ref="AD12:AD13"/>
    <mergeCell ref="AE12:AE13"/>
    <mergeCell ref="B4:B7"/>
    <mergeCell ref="B12:B13"/>
    <mergeCell ref="C12:C13"/>
    <mergeCell ref="D12:D13"/>
    <mergeCell ref="E4:E7"/>
    <mergeCell ref="L4:L7"/>
    <mergeCell ref="U8:U11"/>
    <mergeCell ref="V8:V11"/>
    <mergeCell ref="W8:W11"/>
    <mergeCell ref="X8:X11"/>
    <mergeCell ref="Y8:Y11"/>
    <mergeCell ref="Z8:Z11"/>
    <mergeCell ref="X4:X7"/>
    <mergeCell ref="Y4:Y7"/>
    <mergeCell ref="Z4:Z7"/>
    <mergeCell ref="W12:W13"/>
    <mergeCell ref="X12:X13"/>
    <mergeCell ref="AA8:AA11"/>
    <mergeCell ref="AB8:AB11"/>
    <mergeCell ref="AC8:AC11"/>
    <mergeCell ref="B8:B11"/>
    <mergeCell ref="C8:C11"/>
    <mergeCell ref="D8:D11"/>
    <mergeCell ref="E8:E11"/>
    <mergeCell ref="L8:L11"/>
    <mergeCell ref="O8:O11"/>
    <mergeCell ref="R8:R11"/>
    <mergeCell ref="S8:S11"/>
    <mergeCell ref="T8:T11"/>
    <mergeCell ref="AA4:AA7"/>
    <mergeCell ref="AB4:AB7"/>
    <mergeCell ref="AC4:AC7"/>
    <mergeCell ref="AD4:AD7"/>
    <mergeCell ref="AE4:AE7"/>
    <mergeCell ref="AF4:AF7"/>
    <mergeCell ref="C4:C7"/>
    <mergeCell ref="D4:D7"/>
    <mergeCell ref="O4:O7"/>
    <mergeCell ref="R4:R7"/>
    <mergeCell ref="S4:S7"/>
    <mergeCell ref="T4:T7"/>
    <mergeCell ref="U4:U7"/>
    <mergeCell ref="V4:V7"/>
    <mergeCell ref="W4:W7"/>
  </mergeCells>
  <dataValidations count="2">
    <dataValidation type="list" allowBlank="1" showErrorMessage="1" sqref="R4 R8 R12 R14 R16 R18 R21 R23 R25 R27 R30 R32 R34 R36 R40 R42 R44 R48 R50 R53 R56 R58" xr:uid="{00000000-0002-0000-0000-000000000000}">
      <formula1>$A$200:$A$201</formula1>
    </dataValidation>
    <dataValidation type="list" allowBlank="1" showErrorMessage="1" sqref="R184" xr:uid="{00000000-0002-0000-0000-000001000000}">
      <formula1>#REF!</formula1>
    </dataValidation>
  </dataValidations>
  <pageMargins left="0.7" right="0.7" top="0.75" bottom="0.75" header="0" footer="0"/>
  <pageSetup paperSize="5" fitToHeight="0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workbookViewId="0"/>
  </sheetViews>
  <sheetFormatPr baseColWidth="10" defaultColWidth="14.42578125" defaultRowHeight="15" customHeight="1" x14ac:dyDescent="0.25"/>
  <cols>
    <col min="1" max="1" width="36.140625" customWidth="1"/>
    <col min="2" max="2" width="31.85546875" customWidth="1"/>
    <col min="3" max="3" width="61" customWidth="1"/>
    <col min="4" max="4" width="57.140625" customWidth="1"/>
    <col min="5" max="5" width="27" customWidth="1"/>
    <col min="6" max="6" width="141.5703125" customWidth="1"/>
    <col min="7" max="7" width="64.28515625" customWidth="1"/>
    <col min="8" max="8" width="16.85546875" customWidth="1"/>
    <col min="9" max="9" width="27" customWidth="1"/>
    <col min="10" max="10" width="26" customWidth="1"/>
    <col min="11" max="11" width="20.42578125" customWidth="1"/>
    <col min="12" max="12" width="45.5703125" customWidth="1"/>
    <col min="13" max="13" width="31.7109375" customWidth="1"/>
    <col min="14" max="15" width="32.7109375" customWidth="1"/>
    <col min="16" max="16" width="83.5703125" customWidth="1"/>
    <col min="17" max="17" width="97.28515625" customWidth="1"/>
    <col min="18" max="18" width="45.5703125" customWidth="1"/>
    <col min="19" max="19" width="59.85546875" customWidth="1"/>
    <col min="20" max="20" width="81.7109375" customWidth="1"/>
    <col min="21" max="21" width="28.28515625" customWidth="1"/>
    <col min="22" max="22" width="45.140625" customWidth="1"/>
    <col min="23" max="23" width="26.42578125" customWidth="1"/>
    <col min="24" max="24" width="22.85546875" customWidth="1"/>
    <col min="25" max="25" width="23.140625" customWidth="1"/>
    <col min="26" max="26" width="23.7109375" customWidth="1"/>
    <col min="27" max="27" width="21" customWidth="1"/>
    <col min="28" max="28" width="38.28515625" customWidth="1"/>
    <col min="29" max="29" width="48.85546875" customWidth="1"/>
    <col min="30" max="30" width="32.5703125" customWidth="1"/>
    <col min="31" max="31" width="41.28515625" customWidth="1"/>
    <col min="32" max="32" width="36.5703125" customWidth="1"/>
  </cols>
  <sheetData>
    <row r="1" spans="1:32" ht="58.5" customHeight="1" x14ac:dyDescent="0.25">
      <c r="A1" s="1"/>
      <c r="B1" s="135"/>
      <c r="C1" s="137" t="s">
        <v>0</v>
      </c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5"/>
    </row>
    <row r="2" spans="1:32" ht="74.25" customHeight="1" x14ac:dyDescent="0.25">
      <c r="A2" s="2"/>
      <c r="B2" s="136"/>
      <c r="C2" s="138" t="s">
        <v>285</v>
      </c>
      <c r="D2" s="97"/>
      <c r="E2" s="97"/>
      <c r="F2" s="97"/>
      <c r="G2" s="97"/>
      <c r="H2" s="97"/>
      <c r="I2" s="97"/>
      <c r="J2" s="97"/>
      <c r="K2" s="97"/>
      <c r="L2" s="98"/>
      <c r="M2" s="124" t="s">
        <v>286</v>
      </c>
      <c r="N2" s="97"/>
      <c r="O2" s="97"/>
      <c r="P2" s="97"/>
      <c r="Q2" s="97"/>
      <c r="R2" s="97"/>
      <c r="S2" s="98"/>
      <c r="T2" s="100" t="s">
        <v>287</v>
      </c>
      <c r="U2" s="97"/>
      <c r="V2" s="97"/>
      <c r="W2" s="97"/>
      <c r="X2" s="97"/>
      <c r="Y2" s="97"/>
      <c r="Z2" s="97"/>
      <c r="AA2" s="98"/>
      <c r="AB2" s="101" t="s">
        <v>4</v>
      </c>
      <c r="AC2" s="97"/>
      <c r="AD2" s="97"/>
      <c r="AE2" s="97"/>
      <c r="AF2" s="98"/>
    </row>
    <row r="3" spans="1:32" ht="123" customHeight="1" x14ac:dyDescent="0.25">
      <c r="A3" s="3" t="s">
        <v>5</v>
      </c>
      <c r="B3" s="3" t="s">
        <v>6</v>
      </c>
      <c r="C3" s="3" t="s">
        <v>7</v>
      </c>
      <c r="D3" s="3" t="s">
        <v>8</v>
      </c>
      <c r="E3" s="4" t="s">
        <v>9</v>
      </c>
      <c r="F3" s="3" t="s">
        <v>10</v>
      </c>
      <c r="G3" s="3" t="s">
        <v>11</v>
      </c>
      <c r="H3" s="3" t="s">
        <v>12</v>
      </c>
      <c r="I3" s="5" t="s">
        <v>13</v>
      </c>
      <c r="J3" s="3" t="s">
        <v>14</v>
      </c>
      <c r="K3" s="3" t="s">
        <v>15</v>
      </c>
      <c r="L3" s="3" t="s">
        <v>16</v>
      </c>
      <c r="M3" s="6" t="s">
        <v>17</v>
      </c>
      <c r="N3" s="7" t="s">
        <v>18</v>
      </c>
      <c r="O3" s="7" t="s">
        <v>19</v>
      </c>
      <c r="P3" s="3" t="s">
        <v>20</v>
      </c>
      <c r="Q3" s="3" t="s">
        <v>21</v>
      </c>
      <c r="R3" s="8" t="s">
        <v>22</v>
      </c>
      <c r="S3" s="8" t="s">
        <v>23</v>
      </c>
      <c r="T3" s="3" t="s">
        <v>7</v>
      </c>
      <c r="U3" s="3" t="s">
        <v>24</v>
      </c>
      <c r="V3" s="3" t="s">
        <v>25</v>
      </c>
      <c r="W3" s="3" t="s">
        <v>14</v>
      </c>
      <c r="X3" s="3" t="s">
        <v>15</v>
      </c>
      <c r="Y3" s="3" t="s">
        <v>26</v>
      </c>
      <c r="Z3" s="3" t="s">
        <v>27</v>
      </c>
      <c r="AA3" s="3" t="s">
        <v>13</v>
      </c>
      <c r="AB3" s="9" t="s">
        <v>28</v>
      </c>
      <c r="AC3" s="3" t="s">
        <v>29</v>
      </c>
      <c r="AD3" s="4" t="s">
        <v>30</v>
      </c>
      <c r="AE3" s="3" t="s">
        <v>31</v>
      </c>
      <c r="AF3" s="3" t="s">
        <v>32</v>
      </c>
    </row>
    <row r="4" spans="1:32" ht="66.75" customHeight="1" x14ac:dyDescent="0.25">
      <c r="A4" s="81" t="s">
        <v>288</v>
      </c>
      <c r="B4" s="113" t="s">
        <v>289</v>
      </c>
      <c r="C4" s="81" t="s">
        <v>290</v>
      </c>
      <c r="D4" s="81" t="s">
        <v>291</v>
      </c>
      <c r="E4" s="102">
        <v>401000001</v>
      </c>
      <c r="F4" s="48" t="s">
        <v>292</v>
      </c>
      <c r="G4" s="12" t="s">
        <v>293</v>
      </c>
      <c r="H4" s="12">
        <v>0</v>
      </c>
      <c r="I4" s="12">
        <v>2</v>
      </c>
      <c r="J4" s="12" t="s">
        <v>39</v>
      </c>
      <c r="K4" s="12" t="s">
        <v>48</v>
      </c>
      <c r="L4" s="81" t="s">
        <v>294</v>
      </c>
      <c r="M4" s="14">
        <v>1</v>
      </c>
      <c r="N4" s="49">
        <f t="shared" ref="N4:N88" si="0">IF((M4/I4)&gt;1,1,M4/I4)</f>
        <v>0.5</v>
      </c>
      <c r="O4" s="83">
        <f>AVERAGE(N4:N7)</f>
        <v>0.5</v>
      </c>
      <c r="P4" s="16"/>
      <c r="Q4" s="17">
        <v>0</v>
      </c>
      <c r="R4" s="81" t="s">
        <v>283</v>
      </c>
      <c r="S4" s="81"/>
      <c r="T4" s="81" t="s">
        <v>295</v>
      </c>
      <c r="U4" s="81">
        <v>220102805</v>
      </c>
      <c r="V4" s="81" t="s">
        <v>296</v>
      </c>
      <c r="W4" s="139" t="s">
        <v>62</v>
      </c>
      <c r="X4" s="142" t="s">
        <v>40</v>
      </c>
      <c r="Y4" s="142">
        <v>884</v>
      </c>
      <c r="Z4" s="142">
        <v>884</v>
      </c>
      <c r="AA4" s="142">
        <v>884</v>
      </c>
      <c r="AB4" s="116">
        <v>0</v>
      </c>
      <c r="AC4" s="117">
        <f>IF((AB4/Z4)&gt;1,1,AB48/Z4)</f>
        <v>0</v>
      </c>
      <c r="AD4" s="118">
        <f>+E4</f>
        <v>401000001</v>
      </c>
      <c r="AE4" s="118">
        <f>SUM(Q4:Q7)</f>
        <v>0</v>
      </c>
      <c r="AF4" s="117">
        <f>IF((AE4/AD4)&gt;1,1,AE4/AD4)</f>
        <v>0</v>
      </c>
    </row>
    <row r="5" spans="1:32" ht="47.25" customHeight="1" x14ac:dyDescent="0.25">
      <c r="A5" s="104"/>
      <c r="B5" s="104"/>
      <c r="C5" s="104"/>
      <c r="D5" s="104"/>
      <c r="E5" s="104"/>
      <c r="F5" s="48" t="s">
        <v>297</v>
      </c>
      <c r="G5" s="12" t="s">
        <v>296</v>
      </c>
      <c r="H5" s="12">
        <v>884</v>
      </c>
      <c r="I5" s="50">
        <v>884</v>
      </c>
      <c r="J5" s="51" t="s">
        <v>62</v>
      </c>
      <c r="K5" s="50" t="s">
        <v>298</v>
      </c>
      <c r="L5" s="104"/>
      <c r="M5" s="14">
        <v>1038</v>
      </c>
      <c r="N5" s="49">
        <f t="shared" si="0"/>
        <v>1</v>
      </c>
      <c r="O5" s="104"/>
      <c r="P5" s="16"/>
      <c r="Q5" s="17">
        <v>0</v>
      </c>
      <c r="R5" s="104"/>
      <c r="S5" s="104"/>
      <c r="T5" s="104"/>
      <c r="U5" s="104"/>
      <c r="V5" s="104"/>
      <c r="W5" s="140"/>
      <c r="X5" s="140"/>
      <c r="Y5" s="140"/>
      <c r="Z5" s="140"/>
      <c r="AA5" s="140"/>
      <c r="AB5" s="104"/>
      <c r="AC5" s="104"/>
      <c r="AD5" s="104"/>
      <c r="AE5" s="104"/>
      <c r="AF5" s="104"/>
    </row>
    <row r="6" spans="1:32" ht="58.5" customHeight="1" x14ac:dyDescent="0.25">
      <c r="A6" s="104"/>
      <c r="B6" s="104"/>
      <c r="C6" s="104"/>
      <c r="D6" s="104"/>
      <c r="E6" s="104"/>
      <c r="F6" s="48" t="s">
        <v>299</v>
      </c>
      <c r="G6" s="12" t="s">
        <v>300</v>
      </c>
      <c r="H6" s="12">
        <v>0</v>
      </c>
      <c r="I6" s="12">
        <v>2</v>
      </c>
      <c r="J6" s="50" t="s">
        <v>39</v>
      </c>
      <c r="K6" s="50" t="s">
        <v>298</v>
      </c>
      <c r="L6" s="104"/>
      <c r="M6" s="14">
        <v>1</v>
      </c>
      <c r="N6" s="49">
        <f t="shared" si="0"/>
        <v>0.5</v>
      </c>
      <c r="O6" s="104"/>
      <c r="P6" s="16"/>
      <c r="Q6" s="17">
        <f t="shared" ref="Q6:Q88" si="1">0+0</f>
        <v>0</v>
      </c>
      <c r="R6" s="104"/>
      <c r="S6" s="104"/>
      <c r="T6" s="104"/>
      <c r="U6" s="104"/>
      <c r="V6" s="104"/>
      <c r="W6" s="140"/>
      <c r="X6" s="140"/>
      <c r="Y6" s="140"/>
      <c r="Z6" s="140"/>
      <c r="AA6" s="140"/>
      <c r="AB6" s="104"/>
      <c r="AC6" s="104"/>
      <c r="AD6" s="104"/>
      <c r="AE6" s="104"/>
      <c r="AF6" s="104"/>
    </row>
    <row r="7" spans="1:32" ht="42" customHeight="1" x14ac:dyDescent="0.25">
      <c r="A7" s="104"/>
      <c r="B7" s="82"/>
      <c r="C7" s="82"/>
      <c r="D7" s="82"/>
      <c r="E7" s="82"/>
      <c r="F7" s="48" t="s">
        <v>301</v>
      </c>
      <c r="G7" s="12" t="s">
        <v>302</v>
      </c>
      <c r="H7" s="12">
        <v>0</v>
      </c>
      <c r="I7" s="50">
        <v>2</v>
      </c>
      <c r="J7" s="50" t="s">
        <v>39</v>
      </c>
      <c r="K7" s="50" t="s">
        <v>298</v>
      </c>
      <c r="L7" s="82"/>
      <c r="M7" s="14">
        <v>0</v>
      </c>
      <c r="N7" s="49">
        <f t="shared" si="0"/>
        <v>0</v>
      </c>
      <c r="O7" s="82"/>
      <c r="P7" s="16"/>
      <c r="Q7" s="17">
        <f t="shared" si="1"/>
        <v>0</v>
      </c>
      <c r="R7" s="82"/>
      <c r="S7" s="82"/>
      <c r="T7" s="82"/>
      <c r="U7" s="82"/>
      <c r="V7" s="82"/>
      <c r="W7" s="141"/>
      <c r="X7" s="141"/>
      <c r="Y7" s="141"/>
      <c r="Z7" s="141"/>
      <c r="AA7" s="141"/>
      <c r="AB7" s="82"/>
      <c r="AC7" s="82"/>
      <c r="AD7" s="82"/>
      <c r="AE7" s="82"/>
      <c r="AF7" s="82"/>
    </row>
    <row r="8" spans="1:32" ht="47.25" customHeight="1" x14ac:dyDescent="0.25">
      <c r="A8" s="104"/>
      <c r="B8" s="113" t="s">
        <v>303</v>
      </c>
      <c r="C8" s="81" t="s">
        <v>304</v>
      </c>
      <c r="D8" s="81" t="s">
        <v>305</v>
      </c>
      <c r="E8" s="102">
        <v>160000000</v>
      </c>
      <c r="F8" s="48" t="s">
        <v>306</v>
      </c>
      <c r="G8" s="12" t="s">
        <v>307</v>
      </c>
      <c r="H8" s="12">
        <v>0</v>
      </c>
      <c r="I8" s="50">
        <v>1</v>
      </c>
      <c r="J8" s="50" t="s">
        <v>39</v>
      </c>
      <c r="K8" s="50" t="s">
        <v>298</v>
      </c>
      <c r="L8" s="81" t="s">
        <v>294</v>
      </c>
      <c r="M8" s="14">
        <v>1</v>
      </c>
      <c r="N8" s="49">
        <f t="shared" si="0"/>
        <v>1</v>
      </c>
      <c r="O8" s="83">
        <f>AVERAGE(N8:N10)</f>
        <v>0.66854990583804152</v>
      </c>
      <c r="P8" s="16"/>
      <c r="Q8" s="17">
        <f t="shared" si="1"/>
        <v>0</v>
      </c>
      <c r="R8" s="102"/>
      <c r="S8" s="81"/>
      <c r="T8" s="81" t="s">
        <v>308</v>
      </c>
      <c r="U8" s="81">
        <v>220102901</v>
      </c>
      <c r="V8" s="81" t="s">
        <v>309</v>
      </c>
      <c r="W8" s="81" t="s">
        <v>39</v>
      </c>
      <c r="X8" s="81" t="s">
        <v>40</v>
      </c>
      <c r="Y8" s="81">
        <v>168</v>
      </c>
      <c r="Z8" s="81">
        <v>180</v>
      </c>
      <c r="AA8" s="81">
        <v>177</v>
      </c>
      <c r="AB8" s="122">
        <v>0</v>
      </c>
      <c r="AC8" s="83">
        <f>IF((AB8/Z8)&gt;1,1,AB8/Z8)</f>
        <v>0</v>
      </c>
      <c r="AD8" s="102">
        <f>+E8</f>
        <v>160000000</v>
      </c>
      <c r="AE8" s="102">
        <f>SUM(Q8:Q10)</f>
        <v>0</v>
      </c>
      <c r="AF8" s="83">
        <f>IF((AE8/AD8)&gt;1,1,AE8/AD8)</f>
        <v>0</v>
      </c>
    </row>
    <row r="9" spans="1:32" ht="47.25" customHeight="1" x14ac:dyDescent="0.25">
      <c r="A9" s="104"/>
      <c r="B9" s="104"/>
      <c r="C9" s="104"/>
      <c r="D9" s="104"/>
      <c r="E9" s="104"/>
      <c r="F9" s="48" t="s">
        <v>310</v>
      </c>
      <c r="G9" s="12" t="s">
        <v>309</v>
      </c>
      <c r="H9" s="12">
        <v>168</v>
      </c>
      <c r="I9" s="50">
        <v>177</v>
      </c>
      <c r="J9" s="50" t="s">
        <v>39</v>
      </c>
      <c r="K9" s="50" t="s">
        <v>298</v>
      </c>
      <c r="L9" s="104"/>
      <c r="M9" s="14">
        <v>1</v>
      </c>
      <c r="N9" s="49">
        <f t="shared" si="0"/>
        <v>5.6497175141242938E-3</v>
      </c>
      <c r="O9" s="104"/>
      <c r="P9" s="16"/>
      <c r="Q9" s="17">
        <f t="shared" si="1"/>
        <v>0</v>
      </c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</row>
    <row r="10" spans="1:32" ht="37.5" customHeight="1" x14ac:dyDescent="0.25">
      <c r="A10" s="104"/>
      <c r="B10" s="82"/>
      <c r="C10" s="82"/>
      <c r="D10" s="82"/>
      <c r="E10" s="82"/>
      <c r="F10" s="48" t="s">
        <v>311</v>
      </c>
      <c r="G10" s="12" t="s">
        <v>312</v>
      </c>
      <c r="H10" s="12">
        <v>0</v>
      </c>
      <c r="I10" s="50">
        <v>1</v>
      </c>
      <c r="J10" s="50" t="s">
        <v>39</v>
      </c>
      <c r="K10" s="50" t="s">
        <v>298</v>
      </c>
      <c r="L10" s="82"/>
      <c r="M10" s="14">
        <v>1</v>
      </c>
      <c r="N10" s="49">
        <f t="shared" si="0"/>
        <v>1</v>
      </c>
      <c r="O10" s="90"/>
      <c r="P10" s="16"/>
      <c r="Q10" s="17">
        <f t="shared" si="1"/>
        <v>0</v>
      </c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90"/>
      <c r="AF10" s="90"/>
    </row>
    <row r="11" spans="1:32" ht="47.25" customHeight="1" x14ac:dyDescent="0.25">
      <c r="A11" s="104"/>
      <c r="B11" s="113" t="s">
        <v>313</v>
      </c>
      <c r="C11" s="81" t="s">
        <v>314</v>
      </c>
      <c r="D11" s="81" t="s">
        <v>315</v>
      </c>
      <c r="E11" s="102">
        <v>700000000</v>
      </c>
      <c r="F11" s="48" t="s">
        <v>316</v>
      </c>
      <c r="G11" s="12" t="s">
        <v>317</v>
      </c>
      <c r="H11" s="12">
        <v>0</v>
      </c>
      <c r="I11" s="50">
        <v>1</v>
      </c>
      <c r="J11" s="50" t="s">
        <v>39</v>
      </c>
      <c r="K11" s="50" t="s">
        <v>298</v>
      </c>
      <c r="L11" s="81" t="s">
        <v>294</v>
      </c>
      <c r="M11" s="14">
        <v>0</v>
      </c>
      <c r="N11" s="49">
        <f t="shared" si="0"/>
        <v>0</v>
      </c>
      <c r="O11" s="83">
        <f>AVERAGE(N11:N14)</f>
        <v>0.375</v>
      </c>
      <c r="P11" s="16"/>
      <c r="Q11" s="17">
        <f t="shared" si="1"/>
        <v>0</v>
      </c>
      <c r="R11" s="102"/>
      <c r="S11" s="81"/>
      <c r="T11" s="81" t="s">
        <v>318</v>
      </c>
      <c r="U11" s="81">
        <v>220100301</v>
      </c>
      <c r="V11" s="81" t="s">
        <v>317</v>
      </c>
      <c r="W11" s="103" t="s">
        <v>62</v>
      </c>
      <c r="X11" s="81" t="s">
        <v>40</v>
      </c>
      <c r="Y11" s="81">
        <v>1</v>
      </c>
      <c r="Z11" s="81">
        <v>1</v>
      </c>
      <c r="AA11" s="81">
        <v>1</v>
      </c>
      <c r="AB11" s="122">
        <v>0</v>
      </c>
      <c r="AC11" s="83">
        <f>IF((AB11/Z11)&gt;1,1,AB11/Z11)</f>
        <v>0</v>
      </c>
      <c r="AD11" s="102">
        <f>+E11</f>
        <v>700000000</v>
      </c>
      <c r="AE11" s="102">
        <f>SUM(Q11:Q14)</f>
        <v>0</v>
      </c>
      <c r="AF11" s="83">
        <f>IF((AE11/AD11)&gt;1,1,AE11/AD11)</f>
        <v>0</v>
      </c>
    </row>
    <row r="12" spans="1:32" ht="47.25" customHeight="1" x14ac:dyDescent="0.25">
      <c r="A12" s="104"/>
      <c r="B12" s="104"/>
      <c r="C12" s="104"/>
      <c r="D12" s="104"/>
      <c r="E12" s="104"/>
      <c r="F12" s="48" t="s">
        <v>319</v>
      </c>
      <c r="G12" s="12" t="s">
        <v>312</v>
      </c>
      <c r="H12" s="12">
        <v>0</v>
      </c>
      <c r="I12" s="50">
        <v>2</v>
      </c>
      <c r="J12" s="50" t="s">
        <v>39</v>
      </c>
      <c r="K12" s="50" t="s">
        <v>298</v>
      </c>
      <c r="L12" s="104"/>
      <c r="M12" s="14">
        <v>0</v>
      </c>
      <c r="N12" s="49">
        <f t="shared" si="0"/>
        <v>0</v>
      </c>
      <c r="O12" s="104"/>
      <c r="P12" s="16"/>
      <c r="Q12" s="17">
        <f t="shared" si="1"/>
        <v>0</v>
      </c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</row>
    <row r="13" spans="1:32" ht="47.25" customHeight="1" x14ac:dyDescent="0.25">
      <c r="A13" s="104"/>
      <c r="B13" s="104"/>
      <c r="C13" s="104"/>
      <c r="D13" s="104"/>
      <c r="E13" s="104"/>
      <c r="F13" s="48" t="s">
        <v>320</v>
      </c>
      <c r="G13" s="12" t="s">
        <v>302</v>
      </c>
      <c r="H13" s="12">
        <v>0</v>
      </c>
      <c r="I13" s="50">
        <v>2</v>
      </c>
      <c r="J13" s="50" t="s">
        <v>39</v>
      </c>
      <c r="K13" s="50" t="s">
        <v>298</v>
      </c>
      <c r="L13" s="104"/>
      <c r="M13" s="14">
        <v>1</v>
      </c>
      <c r="N13" s="49">
        <f t="shared" si="0"/>
        <v>0.5</v>
      </c>
      <c r="O13" s="104"/>
      <c r="P13" s="16"/>
      <c r="Q13" s="17">
        <f t="shared" si="1"/>
        <v>0</v>
      </c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</row>
    <row r="14" spans="1:32" ht="58.5" customHeight="1" x14ac:dyDescent="0.25">
      <c r="A14" s="104"/>
      <c r="B14" s="82"/>
      <c r="C14" s="82"/>
      <c r="D14" s="82"/>
      <c r="E14" s="82"/>
      <c r="F14" s="16" t="s">
        <v>321</v>
      </c>
      <c r="G14" s="52" t="s">
        <v>322</v>
      </c>
      <c r="H14" s="12">
        <v>0</v>
      </c>
      <c r="I14" s="50">
        <v>1</v>
      </c>
      <c r="J14" s="53" t="s">
        <v>39</v>
      </c>
      <c r="K14" s="50" t="s">
        <v>298</v>
      </c>
      <c r="L14" s="82"/>
      <c r="M14" s="14">
        <v>1</v>
      </c>
      <c r="N14" s="49">
        <f t="shared" si="0"/>
        <v>1</v>
      </c>
      <c r="O14" s="82"/>
      <c r="P14" s="16"/>
      <c r="Q14" s="17">
        <f t="shared" si="1"/>
        <v>0</v>
      </c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</row>
    <row r="15" spans="1:32" ht="47.25" customHeight="1" x14ac:dyDescent="0.25">
      <c r="A15" s="104"/>
      <c r="B15" s="113" t="s">
        <v>323</v>
      </c>
      <c r="C15" s="81" t="s">
        <v>324</v>
      </c>
      <c r="D15" s="81" t="s">
        <v>325</v>
      </c>
      <c r="E15" s="102">
        <v>70000000</v>
      </c>
      <c r="F15" s="16" t="s">
        <v>326</v>
      </c>
      <c r="G15" s="12" t="s">
        <v>327</v>
      </c>
      <c r="H15" s="12">
        <v>0</v>
      </c>
      <c r="I15" s="50">
        <v>6400</v>
      </c>
      <c r="J15" s="53" t="s">
        <v>39</v>
      </c>
      <c r="K15" s="50" t="s">
        <v>298</v>
      </c>
      <c r="L15" s="81" t="s">
        <v>294</v>
      </c>
      <c r="M15" s="14">
        <v>0</v>
      </c>
      <c r="N15" s="49">
        <f t="shared" si="0"/>
        <v>0</v>
      </c>
      <c r="O15" s="83">
        <f>AVERAGE(N15:N18)</f>
        <v>0</v>
      </c>
      <c r="P15" s="16"/>
      <c r="Q15" s="17">
        <f t="shared" si="1"/>
        <v>0</v>
      </c>
      <c r="R15" s="102"/>
      <c r="S15" s="81"/>
      <c r="T15" s="81" t="s">
        <v>328</v>
      </c>
      <c r="U15" s="81">
        <v>330108500</v>
      </c>
      <c r="V15" s="81" t="s">
        <v>327</v>
      </c>
      <c r="W15" s="81" t="s">
        <v>39</v>
      </c>
      <c r="X15" s="81" t="s">
        <v>40</v>
      </c>
      <c r="Y15" s="81">
        <v>0</v>
      </c>
      <c r="Z15" s="81">
        <v>25600</v>
      </c>
      <c r="AA15" s="81">
        <v>6400</v>
      </c>
      <c r="AB15" s="122">
        <v>0</v>
      </c>
      <c r="AC15" s="83">
        <f>IF((AB15/Z15)&gt;1,1,AB15/Z15)</f>
        <v>0</v>
      </c>
      <c r="AD15" s="102">
        <f>+E15</f>
        <v>70000000</v>
      </c>
      <c r="AE15" s="102">
        <f>SUM(Q15:Q18)</f>
        <v>0</v>
      </c>
      <c r="AF15" s="83">
        <f>IF((AE15/AD15)&gt;1,1,AE15/AD15)</f>
        <v>0</v>
      </c>
    </row>
    <row r="16" spans="1:32" ht="60.75" customHeight="1" x14ac:dyDescent="0.25">
      <c r="A16" s="104"/>
      <c r="B16" s="104"/>
      <c r="C16" s="104"/>
      <c r="D16" s="104"/>
      <c r="E16" s="104"/>
      <c r="F16" s="16" t="s">
        <v>329</v>
      </c>
      <c r="G16" s="50" t="s">
        <v>330</v>
      </c>
      <c r="H16" s="50">
        <v>0</v>
      </c>
      <c r="I16" s="50">
        <v>0.5</v>
      </c>
      <c r="J16" s="50" t="s">
        <v>39</v>
      </c>
      <c r="K16" s="50" t="s">
        <v>298</v>
      </c>
      <c r="L16" s="104"/>
      <c r="M16" s="14">
        <v>0</v>
      </c>
      <c r="N16" s="49">
        <f t="shared" si="0"/>
        <v>0</v>
      </c>
      <c r="O16" s="104"/>
      <c r="P16" s="16"/>
      <c r="Q16" s="17">
        <f t="shared" si="1"/>
        <v>0</v>
      </c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</row>
    <row r="17" spans="1:32" ht="47.25" customHeight="1" x14ac:dyDescent="0.25">
      <c r="A17" s="104"/>
      <c r="B17" s="104"/>
      <c r="C17" s="104"/>
      <c r="D17" s="104"/>
      <c r="E17" s="104"/>
      <c r="F17" s="16" t="s">
        <v>331</v>
      </c>
      <c r="G17" s="50" t="s">
        <v>157</v>
      </c>
      <c r="H17" s="50">
        <v>0</v>
      </c>
      <c r="I17" s="50">
        <v>1</v>
      </c>
      <c r="J17" s="50" t="s">
        <v>39</v>
      </c>
      <c r="K17" s="50" t="s">
        <v>298</v>
      </c>
      <c r="L17" s="104"/>
      <c r="M17" s="14">
        <v>0</v>
      </c>
      <c r="N17" s="49">
        <f t="shared" si="0"/>
        <v>0</v>
      </c>
      <c r="O17" s="104"/>
      <c r="P17" s="16"/>
      <c r="Q17" s="17">
        <f t="shared" si="1"/>
        <v>0</v>
      </c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</row>
    <row r="18" spans="1:32" ht="47.25" customHeight="1" x14ac:dyDescent="0.25">
      <c r="A18" s="104"/>
      <c r="B18" s="82"/>
      <c r="C18" s="82"/>
      <c r="D18" s="82"/>
      <c r="E18" s="82"/>
      <c r="F18" s="16" t="s">
        <v>332</v>
      </c>
      <c r="G18" s="50" t="s">
        <v>327</v>
      </c>
      <c r="H18" s="50">
        <v>0</v>
      </c>
      <c r="I18" s="50">
        <v>500</v>
      </c>
      <c r="J18" s="50" t="s">
        <v>39</v>
      </c>
      <c r="K18" s="50" t="s">
        <v>298</v>
      </c>
      <c r="L18" s="82"/>
      <c r="M18" s="14">
        <v>0</v>
      </c>
      <c r="N18" s="49">
        <f t="shared" si="0"/>
        <v>0</v>
      </c>
      <c r="O18" s="82"/>
      <c r="P18" s="16"/>
      <c r="Q18" s="17">
        <f t="shared" si="1"/>
        <v>0</v>
      </c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</row>
    <row r="19" spans="1:32" ht="47.25" customHeight="1" x14ac:dyDescent="0.25">
      <c r="A19" s="104"/>
      <c r="B19" s="113" t="s">
        <v>333</v>
      </c>
      <c r="C19" s="81" t="s">
        <v>334</v>
      </c>
      <c r="D19" s="81" t="s">
        <v>335</v>
      </c>
      <c r="E19" s="102">
        <v>200000000</v>
      </c>
      <c r="F19" s="16" t="s">
        <v>336</v>
      </c>
      <c r="G19" s="12" t="s">
        <v>337</v>
      </c>
      <c r="H19" s="12">
        <v>0</v>
      </c>
      <c r="I19" s="50">
        <v>200</v>
      </c>
      <c r="J19" s="50" t="s">
        <v>39</v>
      </c>
      <c r="K19" s="50" t="s">
        <v>298</v>
      </c>
      <c r="L19" s="81" t="s">
        <v>294</v>
      </c>
      <c r="M19" s="14">
        <v>0</v>
      </c>
      <c r="N19" s="49">
        <f t="shared" si="0"/>
        <v>0</v>
      </c>
      <c r="O19" s="83">
        <f>AVERAGE(N19:N21)</f>
        <v>0</v>
      </c>
      <c r="P19" s="16"/>
      <c r="Q19" s="17">
        <f t="shared" si="1"/>
        <v>0</v>
      </c>
      <c r="R19" s="102"/>
      <c r="S19" s="81"/>
      <c r="T19" s="81" t="s">
        <v>338</v>
      </c>
      <c r="U19" s="81">
        <v>220206200</v>
      </c>
      <c r="V19" s="81" t="s">
        <v>339</v>
      </c>
      <c r="W19" s="81" t="s">
        <v>39</v>
      </c>
      <c r="X19" s="81" t="s">
        <v>40</v>
      </c>
      <c r="Y19" s="81">
        <v>0</v>
      </c>
      <c r="Z19" s="81">
        <v>800</v>
      </c>
      <c r="AA19" s="81">
        <v>200</v>
      </c>
      <c r="AB19" s="122">
        <v>0</v>
      </c>
      <c r="AC19" s="83">
        <f>IF((AB19/Z19)&gt;1,1,AB19/Z19)</f>
        <v>0</v>
      </c>
      <c r="AD19" s="102">
        <f>+E19</f>
        <v>200000000</v>
      </c>
      <c r="AE19" s="102">
        <f>SUM(Q19:Q21)</f>
        <v>0</v>
      </c>
      <c r="AF19" s="83">
        <f>IF((AE19/AD19)&gt;1,1,AE19/AD19)</f>
        <v>0</v>
      </c>
    </row>
    <row r="20" spans="1:32" ht="47.25" customHeight="1" x14ac:dyDescent="0.25">
      <c r="A20" s="104"/>
      <c r="B20" s="104"/>
      <c r="C20" s="104"/>
      <c r="D20" s="104"/>
      <c r="E20" s="104"/>
      <c r="F20" s="16" t="s">
        <v>340</v>
      </c>
      <c r="G20" s="12" t="s">
        <v>302</v>
      </c>
      <c r="H20" s="12">
        <v>0</v>
      </c>
      <c r="I20" s="50">
        <v>5</v>
      </c>
      <c r="J20" s="53" t="s">
        <v>39</v>
      </c>
      <c r="K20" s="50" t="s">
        <v>298</v>
      </c>
      <c r="L20" s="104"/>
      <c r="M20" s="14">
        <v>0</v>
      </c>
      <c r="N20" s="49">
        <f t="shared" si="0"/>
        <v>0</v>
      </c>
      <c r="O20" s="104"/>
      <c r="P20" s="16"/>
      <c r="Q20" s="17">
        <f t="shared" si="1"/>
        <v>0</v>
      </c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</row>
    <row r="21" spans="1:32" ht="58.5" customHeight="1" x14ac:dyDescent="0.25">
      <c r="A21" s="104"/>
      <c r="B21" s="82"/>
      <c r="C21" s="82"/>
      <c r="D21" s="82"/>
      <c r="E21" s="82"/>
      <c r="F21" s="16" t="s">
        <v>341</v>
      </c>
      <c r="G21" s="12" t="s">
        <v>342</v>
      </c>
      <c r="H21" s="12">
        <v>0</v>
      </c>
      <c r="I21" s="50">
        <v>3</v>
      </c>
      <c r="J21" s="51" t="s">
        <v>62</v>
      </c>
      <c r="K21" s="50" t="s">
        <v>298</v>
      </c>
      <c r="L21" s="82"/>
      <c r="M21" s="14">
        <v>0</v>
      </c>
      <c r="N21" s="49">
        <f t="shared" si="0"/>
        <v>0</v>
      </c>
      <c r="O21" s="90"/>
      <c r="P21" s="16"/>
      <c r="Q21" s="17">
        <f t="shared" si="1"/>
        <v>0</v>
      </c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90"/>
      <c r="AD21" s="82"/>
      <c r="AE21" s="90"/>
      <c r="AF21" s="90"/>
    </row>
    <row r="22" spans="1:32" ht="47.25" customHeight="1" x14ac:dyDescent="0.25">
      <c r="A22" s="104"/>
      <c r="B22" s="113" t="s">
        <v>343</v>
      </c>
      <c r="C22" s="81" t="s">
        <v>344</v>
      </c>
      <c r="D22" s="81" t="s">
        <v>345</v>
      </c>
      <c r="E22" s="102">
        <v>238121935</v>
      </c>
      <c r="F22" s="16" t="s">
        <v>346</v>
      </c>
      <c r="G22" s="12" t="s">
        <v>347</v>
      </c>
      <c r="H22" s="12">
        <v>0</v>
      </c>
      <c r="I22" s="50">
        <v>3</v>
      </c>
      <c r="J22" s="50" t="s">
        <v>39</v>
      </c>
      <c r="K22" s="50" t="s">
        <v>298</v>
      </c>
      <c r="L22" s="12" t="s">
        <v>294</v>
      </c>
      <c r="M22" s="14">
        <v>0</v>
      </c>
      <c r="N22" s="49">
        <f t="shared" si="0"/>
        <v>0</v>
      </c>
      <c r="O22" s="83">
        <f>AVERAGE(N22:N23)</f>
        <v>0</v>
      </c>
      <c r="P22" s="16"/>
      <c r="Q22" s="17">
        <f t="shared" si="1"/>
        <v>0</v>
      </c>
      <c r="R22" s="102"/>
      <c r="S22" s="81"/>
      <c r="T22" s="81" t="s">
        <v>348</v>
      </c>
      <c r="U22" s="81">
        <v>220105200</v>
      </c>
      <c r="V22" s="81" t="s">
        <v>349</v>
      </c>
      <c r="W22" s="81" t="s">
        <v>39</v>
      </c>
      <c r="X22" s="81" t="s">
        <v>40</v>
      </c>
      <c r="Y22" s="81">
        <v>0</v>
      </c>
      <c r="Z22" s="81">
        <v>8</v>
      </c>
      <c r="AA22" s="81">
        <v>2</v>
      </c>
      <c r="AB22" s="122">
        <v>0</v>
      </c>
      <c r="AC22" s="83">
        <f>IF((AB22/Z22)&gt;1,1,AB22/Z22)</f>
        <v>0</v>
      </c>
      <c r="AD22" s="102">
        <f>+E22</f>
        <v>238121935</v>
      </c>
      <c r="AE22" s="102">
        <f>SUM(Q22:Q23)</f>
        <v>0</v>
      </c>
      <c r="AF22" s="83">
        <f>IF((AE22/AD22)&gt;1,1,AE22/AD22)</f>
        <v>0</v>
      </c>
    </row>
    <row r="23" spans="1:32" ht="58.5" customHeight="1" x14ac:dyDescent="0.25">
      <c r="A23" s="104"/>
      <c r="B23" s="82"/>
      <c r="C23" s="82"/>
      <c r="D23" s="82"/>
      <c r="E23" s="82"/>
      <c r="F23" s="16" t="s">
        <v>350</v>
      </c>
      <c r="G23" s="12" t="s">
        <v>351</v>
      </c>
      <c r="H23" s="12">
        <v>0</v>
      </c>
      <c r="I23" s="50">
        <v>4</v>
      </c>
      <c r="J23" s="50" t="s">
        <v>39</v>
      </c>
      <c r="K23" s="50" t="s">
        <v>298</v>
      </c>
      <c r="L23" s="12" t="s">
        <v>352</v>
      </c>
      <c r="M23" s="14">
        <v>0</v>
      </c>
      <c r="N23" s="49">
        <f t="shared" si="0"/>
        <v>0</v>
      </c>
      <c r="O23" s="82"/>
      <c r="P23" s="16"/>
      <c r="Q23" s="17">
        <f t="shared" si="1"/>
        <v>0</v>
      </c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90"/>
      <c r="AD23" s="82"/>
      <c r="AE23" s="90"/>
      <c r="AF23" s="90"/>
    </row>
    <row r="24" spans="1:32" ht="47.25" customHeight="1" x14ac:dyDescent="0.25">
      <c r="A24" s="104"/>
      <c r="B24" s="113" t="s">
        <v>353</v>
      </c>
      <c r="C24" s="81" t="s">
        <v>354</v>
      </c>
      <c r="D24" s="81" t="s">
        <v>355</v>
      </c>
      <c r="E24" s="102">
        <v>93600000</v>
      </c>
      <c r="F24" s="16" t="s">
        <v>356</v>
      </c>
      <c r="G24" s="12" t="s">
        <v>322</v>
      </c>
      <c r="H24" s="12">
        <v>0</v>
      </c>
      <c r="I24" s="50">
        <v>1</v>
      </c>
      <c r="J24" s="50" t="s">
        <v>39</v>
      </c>
      <c r="K24" s="50" t="s">
        <v>298</v>
      </c>
      <c r="L24" s="81" t="s">
        <v>294</v>
      </c>
      <c r="M24" s="14">
        <v>0</v>
      </c>
      <c r="N24" s="49">
        <f t="shared" si="0"/>
        <v>0</v>
      </c>
      <c r="O24" s="83">
        <f>AVERAGE(N24:N26)</f>
        <v>0</v>
      </c>
      <c r="P24" s="16"/>
      <c r="Q24" s="17">
        <f t="shared" si="1"/>
        <v>0</v>
      </c>
      <c r="R24" s="102"/>
      <c r="S24" s="81"/>
      <c r="T24" s="81" t="s">
        <v>357</v>
      </c>
      <c r="U24" s="81">
        <v>220102600</v>
      </c>
      <c r="V24" s="81" t="s">
        <v>358</v>
      </c>
      <c r="W24" s="81" t="s">
        <v>39</v>
      </c>
      <c r="X24" s="81" t="s">
        <v>40</v>
      </c>
      <c r="Y24" s="81">
        <v>0</v>
      </c>
      <c r="Z24" s="81">
        <v>2</v>
      </c>
      <c r="AA24" s="81">
        <v>0.5</v>
      </c>
      <c r="AB24" s="122">
        <v>0</v>
      </c>
      <c r="AC24" s="83">
        <f>IF((AB24/Z24)&gt;1,1,AB24/Z24)</f>
        <v>0</v>
      </c>
      <c r="AD24" s="102">
        <f>+E24</f>
        <v>93600000</v>
      </c>
      <c r="AE24" s="102">
        <f>SUM(Q24:Q26)</f>
        <v>0</v>
      </c>
      <c r="AF24" s="83">
        <f>IF((AE24/AD24)&gt;1,1,AE24/AD24)</f>
        <v>0</v>
      </c>
    </row>
    <row r="25" spans="1:32" ht="47.25" customHeight="1" x14ac:dyDescent="0.25">
      <c r="A25" s="104"/>
      <c r="B25" s="104"/>
      <c r="C25" s="104"/>
      <c r="D25" s="104"/>
      <c r="E25" s="104"/>
      <c r="F25" s="16" t="s">
        <v>359</v>
      </c>
      <c r="G25" s="12" t="s">
        <v>327</v>
      </c>
      <c r="H25" s="12">
        <v>0</v>
      </c>
      <c r="I25" s="50">
        <v>1600</v>
      </c>
      <c r="J25" s="50" t="s">
        <v>39</v>
      </c>
      <c r="K25" s="50" t="s">
        <v>298</v>
      </c>
      <c r="L25" s="104"/>
      <c r="M25" s="14">
        <v>0</v>
      </c>
      <c r="N25" s="49">
        <f t="shared" si="0"/>
        <v>0</v>
      </c>
      <c r="O25" s="104"/>
      <c r="P25" s="16"/>
      <c r="Q25" s="17">
        <f t="shared" si="1"/>
        <v>0</v>
      </c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</row>
    <row r="26" spans="1:32" ht="47.25" customHeight="1" x14ac:dyDescent="0.25">
      <c r="A26" s="82"/>
      <c r="B26" s="82"/>
      <c r="C26" s="82"/>
      <c r="D26" s="82"/>
      <c r="E26" s="82"/>
      <c r="F26" s="16" t="s">
        <v>360</v>
      </c>
      <c r="G26" s="12" t="s">
        <v>361</v>
      </c>
      <c r="H26" s="12">
        <v>0</v>
      </c>
      <c r="I26" s="50">
        <v>2</v>
      </c>
      <c r="J26" s="50" t="s">
        <v>39</v>
      </c>
      <c r="K26" s="50" t="s">
        <v>298</v>
      </c>
      <c r="L26" s="82"/>
      <c r="M26" s="14">
        <v>0</v>
      </c>
      <c r="N26" s="49">
        <f t="shared" si="0"/>
        <v>0</v>
      </c>
      <c r="O26" s="82"/>
      <c r="P26" s="16"/>
      <c r="Q26" s="17">
        <f t="shared" si="1"/>
        <v>0</v>
      </c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</row>
    <row r="27" spans="1:32" ht="47.25" customHeight="1" x14ac:dyDescent="0.25">
      <c r="A27" s="81" t="s">
        <v>362</v>
      </c>
      <c r="B27" s="113" t="s">
        <v>363</v>
      </c>
      <c r="C27" s="81" t="s">
        <v>364</v>
      </c>
      <c r="D27" s="81" t="s">
        <v>365</v>
      </c>
      <c r="E27" s="102">
        <v>10000000</v>
      </c>
      <c r="F27" s="11" t="s">
        <v>366</v>
      </c>
      <c r="G27" s="12" t="s">
        <v>367</v>
      </c>
      <c r="H27" s="12">
        <v>1</v>
      </c>
      <c r="I27" s="13">
        <v>0.25</v>
      </c>
      <c r="J27" s="12" t="s">
        <v>88</v>
      </c>
      <c r="K27" s="12" t="s">
        <v>40</v>
      </c>
      <c r="L27" s="81" t="s">
        <v>368</v>
      </c>
      <c r="M27" s="14">
        <v>0</v>
      </c>
      <c r="N27" s="49">
        <f t="shared" si="0"/>
        <v>0</v>
      </c>
      <c r="O27" s="83">
        <f>AVERAGE(N27:N28)</f>
        <v>0</v>
      </c>
      <c r="P27" s="16"/>
      <c r="Q27" s="17">
        <f t="shared" si="1"/>
        <v>0</v>
      </c>
      <c r="R27" s="102"/>
      <c r="S27" s="81"/>
      <c r="T27" s="81" t="s">
        <v>369</v>
      </c>
      <c r="U27" s="81">
        <v>330106301</v>
      </c>
      <c r="V27" s="81" t="s">
        <v>370</v>
      </c>
      <c r="W27" s="81" t="s">
        <v>39</v>
      </c>
      <c r="X27" s="81" t="s">
        <v>40</v>
      </c>
      <c r="Y27" s="81">
        <v>0</v>
      </c>
      <c r="Z27" s="81">
        <v>1</v>
      </c>
      <c r="AA27" s="81">
        <v>0.5</v>
      </c>
      <c r="AB27" s="122">
        <v>0</v>
      </c>
      <c r="AC27" s="83">
        <f>IF((AB27/Z27)&gt;1,1,AB27/Z27)</f>
        <v>0</v>
      </c>
      <c r="AD27" s="102">
        <f>+E27</f>
        <v>10000000</v>
      </c>
      <c r="AE27" s="102">
        <f>SUM(Q27:Q28)</f>
        <v>0</v>
      </c>
      <c r="AF27" s="83">
        <f>IF((AE27/AD27)&gt;1,1,AE27/AD27)</f>
        <v>0</v>
      </c>
    </row>
    <row r="28" spans="1:32" ht="47.25" customHeight="1" x14ac:dyDescent="0.25">
      <c r="A28" s="104"/>
      <c r="B28" s="82"/>
      <c r="C28" s="82"/>
      <c r="D28" s="82"/>
      <c r="E28" s="82"/>
      <c r="F28" s="11" t="s">
        <v>371</v>
      </c>
      <c r="G28" s="12" t="s">
        <v>372</v>
      </c>
      <c r="H28" s="12">
        <v>0</v>
      </c>
      <c r="I28" s="13">
        <v>1</v>
      </c>
      <c r="J28" s="12" t="s">
        <v>88</v>
      </c>
      <c r="K28" s="12" t="s">
        <v>40</v>
      </c>
      <c r="L28" s="82"/>
      <c r="M28" s="14">
        <v>0</v>
      </c>
      <c r="N28" s="49">
        <f t="shared" si="0"/>
        <v>0</v>
      </c>
      <c r="O28" s="90"/>
      <c r="P28" s="16"/>
      <c r="Q28" s="17">
        <f t="shared" si="1"/>
        <v>0</v>
      </c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90"/>
      <c r="AD28" s="82"/>
      <c r="AE28" s="90"/>
      <c r="AF28" s="90"/>
    </row>
    <row r="29" spans="1:32" ht="47.25" customHeight="1" x14ac:dyDescent="0.25">
      <c r="A29" s="104"/>
      <c r="B29" s="113" t="s">
        <v>373</v>
      </c>
      <c r="C29" s="81" t="s">
        <v>374</v>
      </c>
      <c r="D29" s="81" t="s">
        <v>375</v>
      </c>
      <c r="E29" s="102">
        <v>520000000</v>
      </c>
      <c r="F29" s="11" t="s">
        <v>376</v>
      </c>
      <c r="G29" s="12" t="s">
        <v>377</v>
      </c>
      <c r="H29" s="12">
        <v>0</v>
      </c>
      <c r="I29" s="13">
        <v>20</v>
      </c>
      <c r="J29" s="12" t="s">
        <v>88</v>
      </c>
      <c r="K29" s="12" t="s">
        <v>40</v>
      </c>
      <c r="L29" s="81" t="s">
        <v>368</v>
      </c>
      <c r="M29" s="14">
        <v>0</v>
      </c>
      <c r="N29" s="49">
        <f t="shared" si="0"/>
        <v>0</v>
      </c>
      <c r="O29" s="83">
        <f>AVERAGE(N29:N30)</f>
        <v>0</v>
      </c>
      <c r="P29" s="16"/>
      <c r="Q29" s="17">
        <f t="shared" si="1"/>
        <v>0</v>
      </c>
      <c r="R29" s="102"/>
      <c r="S29" s="81"/>
      <c r="T29" s="81" t="s">
        <v>378</v>
      </c>
      <c r="U29" s="81">
        <v>330105100</v>
      </c>
      <c r="V29" s="81" t="s">
        <v>379</v>
      </c>
      <c r="W29" s="81" t="s">
        <v>39</v>
      </c>
      <c r="X29" s="81" t="s">
        <v>40</v>
      </c>
      <c r="Y29" s="81">
        <v>0</v>
      </c>
      <c r="Z29" s="81">
        <v>8220</v>
      </c>
      <c r="AA29" s="81">
        <v>2055</v>
      </c>
      <c r="AB29" s="122">
        <v>0</v>
      </c>
      <c r="AC29" s="83">
        <f>IF((AB29/Z29)&gt;1,1,AB29/Z29)</f>
        <v>0</v>
      </c>
      <c r="AD29" s="102">
        <f>+E29</f>
        <v>520000000</v>
      </c>
      <c r="AE29" s="102">
        <f>SUM(Q29:Q30)</f>
        <v>0</v>
      </c>
      <c r="AF29" s="83">
        <f>IF((AE29/AD29)&gt;1,1,AE29/AD29)</f>
        <v>0</v>
      </c>
    </row>
    <row r="30" spans="1:32" ht="47.25" customHeight="1" x14ac:dyDescent="0.25">
      <c r="A30" s="104"/>
      <c r="B30" s="82"/>
      <c r="C30" s="82"/>
      <c r="D30" s="82"/>
      <c r="E30" s="82"/>
      <c r="F30" s="11" t="s">
        <v>380</v>
      </c>
      <c r="G30" s="12" t="s">
        <v>379</v>
      </c>
      <c r="H30" s="12">
        <v>0</v>
      </c>
      <c r="I30" s="13">
        <v>2055</v>
      </c>
      <c r="J30" s="12" t="s">
        <v>88</v>
      </c>
      <c r="K30" s="12" t="s">
        <v>40</v>
      </c>
      <c r="L30" s="82"/>
      <c r="M30" s="14">
        <v>0</v>
      </c>
      <c r="N30" s="49">
        <f t="shared" si="0"/>
        <v>0</v>
      </c>
      <c r="O30" s="90"/>
      <c r="P30" s="16"/>
      <c r="Q30" s="17">
        <f t="shared" si="1"/>
        <v>0</v>
      </c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90"/>
      <c r="AD30" s="82"/>
      <c r="AE30" s="90"/>
      <c r="AF30" s="90"/>
    </row>
    <row r="31" spans="1:32" ht="47.25" customHeight="1" x14ac:dyDescent="0.25">
      <c r="A31" s="104"/>
      <c r="B31" s="113" t="s">
        <v>381</v>
      </c>
      <c r="C31" s="81" t="s">
        <v>382</v>
      </c>
      <c r="D31" s="81" t="s">
        <v>383</v>
      </c>
      <c r="E31" s="102">
        <v>40000000</v>
      </c>
      <c r="F31" s="11" t="s">
        <v>384</v>
      </c>
      <c r="G31" s="12" t="s">
        <v>385</v>
      </c>
      <c r="H31" s="12">
        <v>0</v>
      </c>
      <c r="I31" s="13">
        <v>1</v>
      </c>
      <c r="J31" s="12" t="s">
        <v>88</v>
      </c>
      <c r="K31" s="12" t="s">
        <v>40</v>
      </c>
      <c r="L31" s="81" t="s">
        <v>368</v>
      </c>
      <c r="M31" s="14">
        <v>0</v>
      </c>
      <c r="N31" s="49">
        <f t="shared" si="0"/>
        <v>0</v>
      </c>
      <c r="O31" s="83">
        <f>AVERAGE(N31:N32)</f>
        <v>0</v>
      </c>
      <c r="P31" s="16"/>
      <c r="Q31" s="17">
        <f t="shared" si="1"/>
        <v>0</v>
      </c>
      <c r="R31" s="102"/>
      <c r="S31" s="81"/>
      <c r="T31" s="81" t="s">
        <v>386</v>
      </c>
      <c r="U31" s="81">
        <v>330202201</v>
      </c>
      <c r="V31" s="81" t="s">
        <v>387</v>
      </c>
      <c r="W31" s="143" t="s">
        <v>39</v>
      </c>
      <c r="X31" s="144" t="s">
        <v>40</v>
      </c>
      <c r="Y31" s="81">
        <v>0</v>
      </c>
      <c r="Z31" s="81">
        <v>4</v>
      </c>
      <c r="AA31" s="81">
        <v>1</v>
      </c>
      <c r="AB31" s="122">
        <v>0</v>
      </c>
      <c r="AC31" s="83">
        <f>IF((AB31/Z31)&gt;1,1,AB31/Z31)</f>
        <v>0</v>
      </c>
      <c r="AD31" s="102">
        <f>+E31</f>
        <v>40000000</v>
      </c>
      <c r="AE31" s="102">
        <f>SUM(Q31:Q32)</f>
        <v>0</v>
      </c>
      <c r="AF31" s="83">
        <f>IF((AE31/AD31)&gt;1,1,AE31/AD31)</f>
        <v>0</v>
      </c>
    </row>
    <row r="32" spans="1:32" ht="47.25" customHeight="1" x14ac:dyDescent="0.25">
      <c r="A32" s="104"/>
      <c r="B32" s="82"/>
      <c r="C32" s="82"/>
      <c r="D32" s="82"/>
      <c r="E32" s="82"/>
      <c r="F32" s="11" t="s">
        <v>388</v>
      </c>
      <c r="G32" s="12" t="s">
        <v>389</v>
      </c>
      <c r="H32" s="12">
        <v>0</v>
      </c>
      <c r="I32" s="13">
        <v>1</v>
      </c>
      <c r="J32" s="12" t="s">
        <v>88</v>
      </c>
      <c r="K32" s="12" t="s">
        <v>40</v>
      </c>
      <c r="L32" s="82"/>
      <c r="M32" s="14">
        <v>0</v>
      </c>
      <c r="N32" s="49">
        <f t="shared" si="0"/>
        <v>0</v>
      </c>
      <c r="O32" s="90"/>
      <c r="P32" s="16"/>
      <c r="Q32" s="17">
        <f t="shared" si="1"/>
        <v>0</v>
      </c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90"/>
      <c r="AD32" s="82"/>
      <c r="AE32" s="90"/>
      <c r="AF32" s="90"/>
    </row>
    <row r="33" spans="1:32" ht="47.25" customHeight="1" x14ac:dyDescent="0.25">
      <c r="A33" s="104"/>
      <c r="B33" s="113" t="s">
        <v>390</v>
      </c>
      <c r="C33" s="81" t="s">
        <v>391</v>
      </c>
      <c r="D33" s="81" t="s">
        <v>392</v>
      </c>
      <c r="E33" s="102">
        <v>10000000</v>
      </c>
      <c r="F33" s="11" t="s">
        <v>393</v>
      </c>
      <c r="G33" s="12" t="s">
        <v>394</v>
      </c>
      <c r="H33" s="12">
        <v>0</v>
      </c>
      <c r="I33" s="13">
        <v>1</v>
      </c>
      <c r="J33" s="12" t="s">
        <v>88</v>
      </c>
      <c r="K33" s="12" t="s">
        <v>40</v>
      </c>
      <c r="L33" s="81" t="s">
        <v>368</v>
      </c>
      <c r="M33" s="14">
        <v>0</v>
      </c>
      <c r="N33" s="49">
        <f t="shared" si="0"/>
        <v>0</v>
      </c>
      <c r="O33" s="83">
        <f>AVERAGE(N33:N34)</f>
        <v>0</v>
      </c>
      <c r="P33" s="16"/>
      <c r="Q33" s="17">
        <f t="shared" si="1"/>
        <v>0</v>
      </c>
      <c r="R33" s="102"/>
      <c r="S33" s="81"/>
      <c r="T33" s="81" t="s">
        <v>395</v>
      </c>
      <c r="U33" s="81">
        <v>330106800</v>
      </c>
      <c r="V33" s="81" t="s">
        <v>396</v>
      </c>
      <c r="W33" s="81" t="s">
        <v>39</v>
      </c>
      <c r="X33" s="81" t="s">
        <v>40</v>
      </c>
      <c r="Y33" s="81">
        <v>0</v>
      </c>
      <c r="Z33" s="81">
        <v>2</v>
      </c>
      <c r="AA33" s="81">
        <v>0</v>
      </c>
      <c r="AB33" s="122">
        <v>0</v>
      </c>
      <c r="AC33" s="83">
        <f>IF((AB33/Z33)&gt;1,1,AB33/Z33)</f>
        <v>0</v>
      </c>
      <c r="AD33" s="102">
        <f>+E33</f>
        <v>10000000</v>
      </c>
      <c r="AE33" s="102">
        <f>SUM(Q33:Q34)</f>
        <v>0</v>
      </c>
      <c r="AF33" s="83">
        <f>IF((AE33/AD33)&gt;1,1,AE33/AD33)</f>
        <v>0</v>
      </c>
    </row>
    <row r="34" spans="1:32" ht="47.25" customHeight="1" x14ac:dyDescent="0.25">
      <c r="A34" s="104"/>
      <c r="B34" s="82"/>
      <c r="C34" s="82"/>
      <c r="D34" s="82"/>
      <c r="E34" s="82"/>
      <c r="F34" s="11" t="s">
        <v>397</v>
      </c>
      <c r="G34" s="12" t="s">
        <v>394</v>
      </c>
      <c r="H34" s="12">
        <v>0</v>
      </c>
      <c r="I34" s="13">
        <v>1</v>
      </c>
      <c r="J34" s="12" t="s">
        <v>88</v>
      </c>
      <c r="K34" s="12" t="s">
        <v>40</v>
      </c>
      <c r="L34" s="82"/>
      <c r="M34" s="14">
        <v>0</v>
      </c>
      <c r="N34" s="49">
        <f t="shared" si="0"/>
        <v>0</v>
      </c>
      <c r="O34" s="90"/>
      <c r="P34" s="16"/>
      <c r="Q34" s="17">
        <f t="shared" si="1"/>
        <v>0</v>
      </c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90"/>
      <c r="AD34" s="82"/>
      <c r="AE34" s="90"/>
      <c r="AF34" s="90"/>
    </row>
    <row r="35" spans="1:32" ht="47.25" customHeight="1" x14ac:dyDescent="0.25">
      <c r="A35" s="104"/>
      <c r="B35" s="113" t="s">
        <v>398</v>
      </c>
      <c r="C35" s="81" t="s">
        <v>399</v>
      </c>
      <c r="D35" s="81" t="s">
        <v>400</v>
      </c>
      <c r="E35" s="102">
        <v>120000000</v>
      </c>
      <c r="F35" s="11" t="s">
        <v>401</v>
      </c>
      <c r="G35" s="12" t="s">
        <v>402</v>
      </c>
      <c r="H35" s="12">
        <v>0</v>
      </c>
      <c r="I35" s="54">
        <v>14</v>
      </c>
      <c r="J35" s="12" t="s">
        <v>88</v>
      </c>
      <c r="K35" s="12" t="s">
        <v>40</v>
      </c>
      <c r="L35" s="81" t="s">
        <v>368</v>
      </c>
      <c r="M35" s="14">
        <v>0</v>
      </c>
      <c r="N35" s="49">
        <f t="shared" si="0"/>
        <v>0</v>
      </c>
      <c r="O35" s="83">
        <f>AVERAGE(N35:N38)</f>
        <v>0</v>
      </c>
      <c r="P35" s="16"/>
      <c r="Q35" s="17">
        <f t="shared" si="1"/>
        <v>0</v>
      </c>
      <c r="R35" s="102"/>
      <c r="S35" s="81"/>
      <c r="T35" s="81" t="s">
        <v>403</v>
      </c>
      <c r="U35" s="81">
        <v>330105300</v>
      </c>
      <c r="V35" s="81" t="s">
        <v>402</v>
      </c>
      <c r="W35" s="81" t="s">
        <v>39</v>
      </c>
      <c r="X35" s="81" t="s">
        <v>40</v>
      </c>
      <c r="Y35" s="81">
        <v>0</v>
      </c>
      <c r="Z35" s="81">
        <v>176</v>
      </c>
      <c r="AA35" s="81">
        <v>44</v>
      </c>
      <c r="AB35" s="122">
        <v>0</v>
      </c>
      <c r="AC35" s="83">
        <f>IF((AB35/Z35)&gt;1,1,AB35/Z35)</f>
        <v>0</v>
      </c>
      <c r="AD35" s="102">
        <f>+E35</f>
        <v>120000000</v>
      </c>
      <c r="AE35" s="102">
        <f>SUM(Q35:Q38)</f>
        <v>0</v>
      </c>
      <c r="AF35" s="83">
        <f>IF((AE35/AD35)&gt;1,1,AE35/AD35)</f>
        <v>0</v>
      </c>
    </row>
    <row r="36" spans="1:32" ht="47.25" customHeight="1" x14ac:dyDescent="0.25">
      <c r="A36" s="104"/>
      <c r="B36" s="104"/>
      <c r="C36" s="104"/>
      <c r="D36" s="104"/>
      <c r="E36" s="104"/>
      <c r="F36" s="11" t="s">
        <v>404</v>
      </c>
      <c r="G36" s="12" t="s">
        <v>402</v>
      </c>
      <c r="H36" s="12">
        <v>0</v>
      </c>
      <c r="I36" s="54">
        <v>14</v>
      </c>
      <c r="J36" s="12" t="s">
        <v>88</v>
      </c>
      <c r="K36" s="12" t="s">
        <v>40</v>
      </c>
      <c r="L36" s="104"/>
      <c r="M36" s="14">
        <v>0</v>
      </c>
      <c r="N36" s="49">
        <f t="shared" si="0"/>
        <v>0</v>
      </c>
      <c r="O36" s="104"/>
      <c r="P36" s="16"/>
      <c r="Q36" s="17">
        <f t="shared" si="1"/>
        <v>0</v>
      </c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</row>
    <row r="37" spans="1:32" ht="47.25" customHeight="1" x14ac:dyDescent="0.25">
      <c r="A37" s="104"/>
      <c r="B37" s="104"/>
      <c r="C37" s="104"/>
      <c r="D37" s="104"/>
      <c r="E37" s="104"/>
      <c r="F37" s="11" t="s">
        <v>405</v>
      </c>
      <c r="G37" s="12" t="s">
        <v>402</v>
      </c>
      <c r="H37" s="12">
        <v>0</v>
      </c>
      <c r="I37" s="54">
        <v>10</v>
      </c>
      <c r="J37" s="12" t="s">
        <v>88</v>
      </c>
      <c r="K37" s="12" t="s">
        <v>40</v>
      </c>
      <c r="L37" s="104"/>
      <c r="M37" s="14">
        <v>0</v>
      </c>
      <c r="N37" s="49">
        <f t="shared" si="0"/>
        <v>0</v>
      </c>
      <c r="O37" s="104"/>
      <c r="P37" s="16"/>
      <c r="Q37" s="17">
        <f t="shared" si="1"/>
        <v>0</v>
      </c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</row>
    <row r="38" spans="1:32" ht="38.25" customHeight="1" x14ac:dyDescent="0.25">
      <c r="A38" s="104"/>
      <c r="B38" s="82"/>
      <c r="C38" s="82"/>
      <c r="D38" s="82"/>
      <c r="E38" s="82"/>
      <c r="F38" s="11" t="s">
        <v>406</v>
      </c>
      <c r="G38" s="12" t="s">
        <v>402</v>
      </c>
      <c r="H38" s="12">
        <v>0</v>
      </c>
      <c r="I38" s="54">
        <v>6</v>
      </c>
      <c r="J38" s="12" t="s">
        <v>88</v>
      </c>
      <c r="K38" s="12" t="s">
        <v>40</v>
      </c>
      <c r="L38" s="82"/>
      <c r="M38" s="14">
        <v>0</v>
      </c>
      <c r="N38" s="49">
        <f t="shared" si="0"/>
        <v>0</v>
      </c>
      <c r="O38" s="82"/>
      <c r="P38" s="16"/>
      <c r="Q38" s="17">
        <f t="shared" si="1"/>
        <v>0</v>
      </c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</row>
    <row r="39" spans="1:32" ht="47.25" customHeight="1" x14ac:dyDescent="0.25">
      <c r="A39" s="104"/>
      <c r="B39" s="113" t="s">
        <v>407</v>
      </c>
      <c r="C39" s="81" t="s">
        <v>408</v>
      </c>
      <c r="D39" s="81" t="s">
        <v>409</v>
      </c>
      <c r="E39" s="102">
        <v>35000000</v>
      </c>
      <c r="F39" s="11" t="s">
        <v>410</v>
      </c>
      <c r="G39" s="12" t="s">
        <v>411</v>
      </c>
      <c r="H39" s="12">
        <v>0</v>
      </c>
      <c r="I39" s="54">
        <v>11</v>
      </c>
      <c r="J39" s="12" t="s">
        <v>88</v>
      </c>
      <c r="K39" s="12" t="s">
        <v>40</v>
      </c>
      <c r="L39" s="81" t="s">
        <v>368</v>
      </c>
      <c r="M39" s="14">
        <v>0</v>
      </c>
      <c r="N39" s="49">
        <f t="shared" si="0"/>
        <v>0</v>
      </c>
      <c r="O39" s="83">
        <f>AVERAGE(N39:N40)</f>
        <v>0</v>
      </c>
      <c r="P39" s="16"/>
      <c r="Q39" s="17">
        <f t="shared" si="1"/>
        <v>0</v>
      </c>
      <c r="R39" s="102"/>
      <c r="S39" s="81"/>
      <c r="T39" s="81" t="s">
        <v>412</v>
      </c>
      <c r="U39" s="81">
        <v>330105300</v>
      </c>
      <c r="V39" s="81" t="s">
        <v>413</v>
      </c>
      <c r="W39" s="143" t="s">
        <v>39</v>
      </c>
      <c r="X39" s="144" t="s">
        <v>40</v>
      </c>
      <c r="Y39" s="81">
        <v>0</v>
      </c>
      <c r="Z39" s="81">
        <v>44</v>
      </c>
      <c r="AA39" s="81">
        <v>11</v>
      </c>
      <c r="AB39" s="122">
        <v>0</v>
      </c>
      <c r="AC39" s="83">
        <f>IF((AB39/Z39)&gt;1,1,AB39/Z39)</f>
        <v>0</v>
      </c>
      <c r="AD39" s="102">
        <f>+E39</f>
        <v>35000000</v>
      </c>
      <c r="AE39" s="102">
        <f>SUM(Q39:Q40)</f>
        <v>0</v>
      </c>
      <c r="AF39" s="83">
        <f>IF((AE39/AD39)&gt;1,1,AE39/AD39)</f>
        <v>0</v>
      </c>
    </row>
    <row r="40" spans="1:32" ht="47.25" customHeight="1" x14ac:dyDescent="0.25">
      <c r="A40" s="82"/>
      <c r="B40" s="82"/>
      <c r="C40" s="82"/>
      <c r="D40" s="82"/>
      <c r="E40" s="82"/>
      <c r="F40" s="11" t="s">
        <v>414</v>
      </c>
      <c r="G40" s="12" t="s">
        <v>415</v>
      </c>
      <c r="H40" s="12">
        <v>0</v>
      </c>
      <c r="I40" s="54">
        <v>1</v>
      </c>
      <c r="J40" s="12" t="s">
        <v>88</v>
      </c>
      <c r="K40" s="12" t="s">
        <v>40</v>
      </c>
      <c r="L40" s="82"/>
      <c r="M40" s="14">
        <v>0</v>
      </c>
      <c r="N40" s="49">
        <f t="shared" si="0"/>
        <v>0</v>
      </c>
      <c r="O40" s="82"/>
      <c r="P40" s="16"/>
      <c r="Q40" s="17">
        <f t="shared" si="1"/>
        <v>0</v>
      </c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90"/>
      <c r="AD40" s="82"/>
      <c r="AE40" s="90"/>
      <c r="AF40" s="90"/>
    </row>
    <row r="41" spans="1:32" ht="47.25" customHeight="1" x14ac:dyDescent="0.25">
      <c r="A41" s="81" t="s">
        <v>416</v>
      </c>
      <c r="B41" s="113" t="s">
        <v>417</v>
      </c>
      <c r="C41" s="81" t="s">
        <v>418</v>
      </c>
      <c r="D41" s="81" t="s">
        <v>419</v>
      </c>
      <c r="E41" s="102">
        <v>500000000</v>
      </c>
      <c r="F41" s="11" t="s">
        <v>420</v>
      </c>
      <c r="G41" s="12" t="s">
        <v>421</v>
      </c>
      <c r="H41" s="12">
        <v>0</v>
      </c>
      <c r="I41" s="13">
        <v>2250</v>
      </c>
      <c r="J41" s="12" t="s">
        <v>39</v>
      </c>
      <c r="K41" s="12" t="s">
        <v>422</v>
      </c>
      <c r="L41" s="81" t="s">
        <v>423</v>
      </c>
      <c r="M41" s="14">
        <v>0</v>
      </c>
      <c r="N41" s="49">
        <f t="shared" si="0"/>
        <v>0</v>
      </c>
      <c r="O41" s="83">
        <f>AVERAGE(N41:N44)</f>
        <v>0</v>
      </c>
      <c r="P41" s="16"/>
      <c r="Q41" s="17">
        <f t="shared" si="1"/>
        <v>0</v>
      </c>
      <c r="R41" s="102"/>
      <c r="S41" s="81"/>
      <c r="T41" s="81" t="s">
        <v>424</v>
      </c>
      <c r="U41" s="81">
        <v>430103703</v>
      </c>
      <c r="V41" s="81" t="s">
        <v>425</v>
      </c>
      <c r="W41" s="81" t="s">
        <v>39</v>
      </c>
      <c r="X41" s="81" t="s">
        <v>40</v>
      </c>
      <c r="Y41" s="81">
        <v>0</v>
      </c>
      <c r="Z41" s="81">
        <v>44000</v>
      </c>
      <c r="AA41" s="81">
        <v>11000</v>
      </c>
      <c r="AB41" s="122">
        <v>0</v>
      </c>
      <c r="AC41" s="83">
        <f>IF((AB41/Z41)&gt;1,1,AB41/Z41)</f>
        <v>0</v>
      </c>
      <c r="AD41" s="102">
        <f>+E41</f>
        <v>500000000</v>
      </c>
      <c r="AE41" s="102">
        <f>SUM(Q41:Q44)</f>
        <v>0</v>
      </c>
      <c r="AF41" s="83">
        <f>IF((AE41/AD41)&gt;1,1,AE41/AD41)</f>
        <v>0</v>
      </c>
    </row>
    <row r="42" spans="1:32" ht="47.25" customHeight="1" x14ac:dyDescent="0.25">
      <c r="A42" s="104"/>
      <c r="B42" s="104"/>
      <c r="C42" s="104"/>
      <c r="D42" s="104"/>
      <c r="E42" s="104"/>
      <c r="F42" s="11" t="s">
        <v>426</v>
      </c>
      <c r="G42" s="12" t="s">
        <v>427</v>
      </c>
      <c r="H42" s="12">
        <v>0</v>
      </c>
      <c r="I42" s="13">
        <v>8000</v>
      </c>
      <c r="J42" s="12" t="s">
        <v>39</v>
      </c>
      <c r="K42" s="12" t="s">
        <v>422</v>
      </c>
      <c r="L42" s="104"/>
      <c r="M42" s="14">
        <v>0</v>
      </c>
      <c r="N42" s="49">
        <f t="shared" si="0"/>
        <v>0</v>
      </c>
      <c r="O42" s="104"/>
      <c r="P42" s="16"/>
      <c r="Q42" s="17">
        <f t="shared" si="1"/>
        <v>0</v>
      </c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</row>
    <row r="43" spans="1:32" ht="47.25" customHeight="1" x14ac:dyDescent="0.25">
      <c r="A43" s="104"/>
      <c r="B43" s="104"/>
      <c r="C43" s="104"/>
      <c r="D43" s="104"/>
      <c r="E43" s="104"/>
      <c r="F43" s="11" t="s">
        <v>428</v>
      </c>
      <c r="G43" s="12" t="s">
        <v>427</v>
      </c>
      <c r="H43" s="12">
        <v>0</v>
      </c>
      <c r="I43" s="13">
        <v>450</v>
      </c>
      <c r="J43" s="12" t="s">
        <v>39</v>
      </c>
      <c r="K43" s="12" t="s">
        <v>422</v>
      </c>
      <c r="L43" s="104"/>
      <c r="M43" s="14">
        <v>0</v>
      </c>
      <c r="N43" s="49">
        <f t="shared" si="0"/>
        <v>0</v>
      </c>
      <c r="O43" s="104"/>
      <c r="P43" s="16"/>
      <c r="Q43" s="17">
        <f t="shared" si="1"/>
        <v>0</v>
      </c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</row>
    <row r="44" spans="1:32" ht="47.25" customHeight="1" x14ac:dyDescent="0.25">
      <c r="A44" s="104"/>
      <c r="B44" s="82"/>
      <c r="C44" s="82"/>
      <c r="D44" s="82"/>
      <c r="E44" s="82"/>
      <c r="F44" s="11" t="s">
        <v>429</v>
      </c>
      <c r="G44" s="12" t="s">
        <v>427</v>
      </c>
      <c r="H44" s="12">
        <v>0</v>
      </c>
      <c r="I44" s="13">
        <v>300</v>
      </c>
      <c r="J44" s="12" t="s">
        <v>39</v>
      </c>
      <c r="K44" s="12" t="s">
        <v>422</v>
      </c>
      <c r="L44" s="82"/>
      <c r="M44" s="14">
        <v>0</v>
      </c>
      <c r="N44" s="49">
        <f t="shared" si="0"/>
        <v>0</v>
      </c>
      <c r="O44" s="82"/>
      <c r="P44" s="16"/>
      <c r="Q44" s="17">
        <f t="shared" si="1"/>
        <v>0</v>
      </c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</row>
    <row r="45" spans="1:32" ht="47.25" customHeight="1" x14ac:dyDescent="0.25">
      <c r="A45" s="104"/>
      <c r="B45" s="113" t="s">
        <v>430</v>
      </c>
      <c r="C45" s="81" t="s">
        <v>431</v>
      </c>
      <c r="D45" s="81" t="s">
        <v>432</v>
      </c>
      <c r="E45" s="102">
        <v>599911469</v>
      </c>
      <c r="F45" s="11" t="s">
        <v>433</v>
      </c>
      <c r="G45" s="12" t="s">
        <v>434</v>
      </c>
      <c r="H45" s="12">
        <v>0</v>
      </c>
      <c r="I45" s="13">
        <v>2</v>
      </c>
      <c r="J45" s="12" t="s">
        <v>39</v>
      </c>
      <c r="K45" s="12" t="s">
        <v>422</v>
      </c>
      <c r="L45" s="81" t="s">
        <v>423</v>
      </c>
      <c r="M45" s="14">
        <v>0</v>
      </c>
      <c r="N45" s="49">
        <f t="shared" si="0"/>
        <v>0</v>
      </c>
      <c r="O45" s="83">
        <f>AVERAGE(N45:N48)</f>
        <v>0</v>
      </c>
      <c r="P45" s="16"/>
      <c r="Q45" s="17">
        <f t="shared" si="1"/>
        <v>0</v>
      </c>
      <c r="R45" s="102"/>
      <c r="S45" s="81"/>
      <c r="T45" s="81" t="s">
        <v>435</v>
      </c>
      <c r="U45" s="81">
        <v>430100300</v>
      </c>
      <c r="V45" s="81" t="s">
        <v>436</v>
      </c>
      <c r="W45" s="81" t="s">
        <v>39</v>
      </c>
      <c r="X45" s="81" t="s">
        <v>40</v>
      </c>
      <c r="Y45" s="81">
        <v>0</v>
      </c>
      <c r="Z45" s="81">
        <v>14</v>
      </c>
      <c r="AA45" s="81">
        <v>4</v>
      </c>
      <c r="AB45" s="122">
        <v>0</v>
      </c>
      <c r="AC45" s="83">
        <f>IF((AB45/Z45)&gt;1,1,AB45/Z45)</f>
        <v>0</v>
      </c>
      <c r="AD45" s="102">
        <f>+E45</f>
        <v>599911469</v>
      </c>
      <c r="AE45" s="102">
        <f>SUM(Q45:Q48)</f>
        <v>0</v>
      </c>
      <c r="AF45" s="83">
        <f>IF((AE45/AD45)&gt;1,1,AE45/AD45)</f>
        <v>0</v>
      </c>
    </row>
    <row r="46" spans="1:32" ht="47.25" customHeight="1" x14ac:dyDescent="0.25">
      <c r="A46" s="104"/>
      <c r="B46" s="104"/>
      <c r="C46" s="104"/>
      <c r="D46" s="104"/>
      <c r="E46" s="104"/>
      <c r="F46" s="11" t="s">
        <v>437</v>
      </c>
      <c r="G46" s="12" t="s">
        <v>434</v>
      </c>
      <c r="H46" s="12">
        <v>0</v>
      </c>
      <c r="I46" s="13">
        <v>2</v>
      </c>
      <c r="J46" s="12" t="s">
        <v>39</v>
      </c>
      <c r="K46" s="12" t="s">
        <v>422</v>
      </c>
      <c r="L46" s="104"/>
      <c r="M46" s="14">
        <v>0</v>
      </c>
      <c r="N46" s="49">
        <f t="shared" si="0"/>
        <v>0</v>
      </c>
      <c r="O46" s="104"/>
      <c r="P46" s="16"/>
      <c r="Q46" s="17">
        <f t="shared" si="1"/>
        <v>0</v>
      </c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</row>
    <row r="47" spans="1:32" ht="47.25" customHeight="1" x14ac:dyDescent="0.25">
      <c r="A47" s="104"/>
      <c r="B47" s="104"/>
      <c r="C47" s="104"/>
      <c r="D47" s="104"/>
      <c r="E47" s="104"/>
      <c r="F47" s="11" t="s">
        <v>438</v>
      </c>
      <c r="G47" s="12" t="s">
        <v>439</v>
      </c>
      <c r="H47" s="12">
        <v>0</v>
      </c>
      <c r="I47" s="13">
        <v>2</v>
      </c>
      <c r="J47" s="12" t="s">
        <v>39</v>
      </c>
      <c r="K47" s="12" t="s">
        <v>40</v>
      </c>
      <c r="L47" s="104"/>
      <c r="M47" s="14">
        <v>0</v>
      </c>
      <c r="N47" s="49">
        <f t="shared" si="0"/>
        <v>0</v>
      </c>
      <c r="O47" s="104"/>
      <c r="P47" s="16"/>
      <c r="Q47" s="17">
        <f t="shared" si="1"/>
        <v>0</v>
      </c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</row>
    <row r="48" spans="1:32" ht="47.25" customHeight="1" x14ac:dyDescent="0.25">
      <c r="A48" s="104"/>
      <c r="B48" s="82"/>
      <c r="C48" s="82"/>
      <c r="D48" s="82"/>
      <c r="E48" s="82"/>
      <c r="F48" s="11" t="s">
        <v>440</v>
      </c>
      <c r="G48" s="12" t="s">
        <v>441</v>
      </c>
      <c r="H48" s="12">
        <v>0</v>
      </c>
      <c r="I48" s="13">
        <v>2</v>
      </c>
      <c r="J48" s="12" t="s">
        <v>39</v>
      </c>
      <c r="K48" s="12" t="s">
        <v>40</v>
      </c>
      <c r="L48" s="82"/>
      <c r="M48" s="14">
        <v>0</v>
      </c>
      <c r="N48" s="30">
        <f t="shared" si="0"/>
        <v>0</v>
      </c>
      <c r="O48" s="82"/>
      <c r="P48" s="16"/>
      <c r="Q48" s="17">
        <f t="shared" si="1"/>
        <v>0</v>
      </c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</row>
    <row r="49" spans="1:32" ht="47.25" customHeight="1" x14ac:dyDescent="0.25">
      <c r="A49" s="104"/>
      <c r="B49" s="113" t="s">
        <v>442</v>
      </c>
      <c r="C49" s="81" t="s">
        <v>443</v>
      </c>
      <c r="D49" s="81" t="s">
        <v>444</v>
      </c>
      <c r="E49" s="102">
        <v>122731881</v>
      </c>
      <c r="F49" s="11" t="s">
        <v>445</v>
      </c>
      <c r="G49" s="12" t="s">
        <v>446</v>
      </c>
      <c r="H49" s="12">
        <v>0</v>
      </c>
      <c r="I49" s="13">
        <v>1000</v>
      </c>
      <c r="J49" s="12" t="s">
        <v>39</v>
      </c>
      <c r="K49" s="12" t="s">
        <v>40</v>
      </c>
      <c r="L49" s="81" t="s">
        <v>423</v>
      </c>
      <c r="M49" s="14">
        <v>0</v>
      </c>
      <c r="N49" s="30">
        <f t="shared" si="0"/>
        <v>0</v>
      </c>
      <c r="O49" s="83">
        <f>AVERAGE(N49:N50)</f>
        <v>0</v>
      </c>
      <c r="P49" s="16"/>
      <c r="Q49" s="17">
        <f t="shared" si="1"/>
        <v>0</v>
      </c>
      <c r="R49" s="102"/>
      <c r="S49" s="81"/>
      <c r="T49" s="81" t="s">
        <v>447</v>
      </c>
      <c r="U49" s="81">
        <v>430100102</v>
      </c>
      <c r="V49" s="81" t="s">
        <v>446</v>
      </c>
      <c r="W49" s="81" t="s">
        <v>39</v>
      </c>
      <c r="X49" s="81" t="s">
        <v>40</v>
      </c>
      <c r="Y49" s="81">
        <v>0</v>
      </c>
      <c r="Z49" s="81">
        <v>3000</v>
      </c>
      <c r="AA49" s="81">
        <v>1000</v>
      </c>
      <c r="AB49" s="122">
        <v>0</v>
      </c>
      <c r="AC49" s="83">
        <f>IF((AB49/Z49)&gt;1,1,AB49/Z49)</f>
        <v>0</v>
      </c>
      <c r="AD49" s="102">
        <f>+E49</f>
        <v>122731881</v>
      </c>
      <c r="AE49" s="102">
        <f>SUM(Q49:Q50)</f>
        <v>0</v>
      </c>
      <c r="AF49" s="83">
        <f>IF((AE49/AD49)&gt;1,1,AE49/AD49)</f>
        <v>0</v>
      </c>
    </row>
    <row r="50" spans="1:32" ht="47.25" customHeight="1" x14ac:dyDescent="0.25">
      <c r="A50" s="104"/>
      <c r="B50" s="82"/>
      <c r="C50" s="82"/>
      <c r="D50" s="82"/>
      <c r="E50" s="82"/>
      <c r="F50" s="11" t="s">
        <v>448</v>
      </c>
      <c r="G50" s="12" t="s">
        <v>449</v>
      </c>
      <c r="H50" s="12">
        <v>0</v>
      </c>
      <c r="I50" s="13">
        <v>1</v>
      </c>
      <c r="J50" s="12" t="s">
        <v>39</v>
      </c>
      <c r="K50" s="12" t="s">
        <v>40</v>
      </c>
      <c r="L50" s="82"/>
      <c r="M50" s="14">
        <v>0</v>
      </c>
      <c r="N50" s="30">
        <f t="shared" si="0"/>
        <v>0</v>
      </c>
      <c r="O50" s="82"/>
      <c r="P50" s="16"/>
      <c r="Q50" s="17">
        <f t="shared" si="1"/>
        <v>0</v>
      </c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90"/>
      <c r="AD50" s="82"/>
      <c r="AE50" s="82"/>
      <c r="AF50" s="90"/>
    </row>
    <row r="51" spans="1:32" ht="47.25" customHeight="1" x14ac:dyDescent="0.25">
      <c r="A51" s="104"/>
      <c r="B51" s="113" t="s">
        <v>450</v>
      </c>
      <c r="C51" s="81" t="s">
        <v>451</v>
      </c>
      <c r="D51" s="81" t="s">
        <v>452</v>
      </c>
      <c r="E51" s="102">
        <v>50000000</v>
      </c>
      <c r="F51" s="11" t="s">
        <v>453</v>
      </c>
      <c r="G51" s="12" t="s">
        <v>235</v>
      </c>
      <c r="H51" s="12">
        <v>0</v>
      </c>
      <c r="I51" s="13">
        <v>1</v>
      </c>
      <c r="J51" s="12" t="s">
        <v>39</v>
      </c>
      <c r="K51" s="12" t="s">
        <v>40</v>
      </c>
      <c r="L51" s="81" t="s">
        <v>423</v>
      </c>
      <c r="M51" s="14">
        <v>0</v>
      </c>
      <c r="N51" s="30">
        <f t="shared" si="0"/>
        <v>0</v>
      </c>
      <c r="O51" s="83">
        <f>AVERAGE(N51:N52)</f>
        <v>0</v>
      </c>
      <c r="P51" s="16"/>
      <c r="Q51" s="17">
        <f t="shared" si="1"/>
        <v>0</v>
      </c>
      <c r="R51" s="102"/>
      <c r="S51" s="81"/>
      <c r="T51" s="81" t="s">
        <v>454</v>
      </c>
      <c r="U51" s="81">
        <v>430100600</v>
      </c>
      <c r="V51" s="81" t="s">
        <v>455</v>
      </c>
      <c r="W51" s="81" t="s">
        <v>39</v>
      </c>
      <c r="X51" s="81" t="s">
        <v>40</v>
      </c>
      <c r="Y51" s="81">
        <v>0</v>
      </c>
      <c r="Z51" s="81">
        <v>1</v>
      </c>
      <c r="AA51" s="81">
        <v>0.25</v>
      </c>
      <c r="AB51" s="122">
        <v>0</v>
      </c>
      <c r="AC51" s="83">
        <f>IF((AB51/Z51)&gt;1,1,AB51/Z51)</f>
        <v>0</v>
      </c>
      <c r="AD51" s="102">
        <f>+E51</f>
        <v>50000000</v>
      </c>
      <c r="AE51" s="102">
        <f>SUM(Q51:Q52)</f>
        <v>0</v>
      </c>
      <c r="AF51" s="83">
        <f>IF((AE51/AD51)&gt;1,1,AE51/AD51)</f>
        <v>0</v>
      </c>
    </row>
    <row r="52" spans="1:32" ht="47.25" customHeight="1" x14ac:dyDescent="0.25">
      <c r="A52" s="104"/>
      <c r="B52" s="82"/>
      <c r="C52" s="82"/>
      <c r="D52" s="82"/>
      <c r="E52" s="82"/>
      <c r="F52" s="11" t="s">
        <v>456</v>
      </c>
      <c r="G52" s="12" t="s">
        <v>457</v>
      </c>
      <c r="H52" s="12">
        <v>0</v>
      </c>
      <c r="I52" s="13">
        <v>1</v>
      </c>
      <c r="J52" s="12" t="s">
        <v>39</v>
      </c>
      <c r="K52" s="12" t="s">
        <v>40</v>
      </c>
      <c r="L52" s="82"/>
      <c r="M52" s="14">
        <v>0</v>
      </c>
      <c r="N52" s="30">
        <f t="shared" si="0"/>
        <v>0</v>
      </c>
      <c r="O52" s="82"/>
      <c r="P52" s="16"/>
      <c r="Q52" s="17">
        <f t="shared" si="1"/>
        <v>0</v>
      </c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90"/>
      <c r="AD52" s="82"/>
      <c r="AE52" s="82"/>
      <c r="AF52" s="90"/>
    </row>
    <row r="53" spans="1:32" ht="47.25" customHeight="1" x14ac:dyDescent="0.25">
      <c r="A53" s="104"/>
      <c r="B53" s="113" t="s">
        <v>458</v>
      </c>
      <c r="C53" s="81" t="s">
        <v>459</v>
      </c>
      <c r="D53" s="81" t="s">
        <v>460</v>
      </c>
      <c r="E53" s="102">
        <v>200000000</v>
      </c>
      <c r="F53" s="11" t="s">
        <v>461</v>
      </c>
      <c r="G53" s="12" t="s">
        <v>462</v>
      </c>
      <c r="H53" s="12">
        <v>0</v>
      </c>
      <c r="I53" s="13">
        <v>10</v>
      </c>
      <c r="J53" s="12" t="s">
        <v>39</v>
      </c>
      <c r="K53" s="12" t="s">
        <v>40</v>
      </c>
      <c r="L53" s="81" t="s">
        <v>423</v>
      </c>
      <c r="M53" s="31">
        <v>0</v>
      </c>
      <c r="N53" s="30">
        <f t="shared" si="0"/>
        <v>0</v>
      </c>
      <c r="O53" s="83">
        <f>AVERAGE(N53:N54)</f>
        <v>0</v>
      </c>
      <c r="P53" s="16"/>
      <c r="Q53" s="17">
        <f t="shared" si="1"/>
        <v>0</v>
      </c>
      <c r="R53" s="102"/>
      <c r="S53" s="81"/>
      <c r="T53" s="81" t="s">
        <v>463</v>
      </c>
      <c r="U53" s="81">
        <v>430100100</v>
      </c>
      <c r="V53" s="81" t="s">
        <v>462</v>
      </c>
      <c r="W53" s="81" t="s">
        <v>39</v>
      </c>
      <c r="X53" s="81" t="s">
        <v>40</v>
      </c>
      <c r="Y53" s="81">
        <v>0</v>
      </c>
      <c r="Z53" s="81">
        <v>60</v>
      </c>
      <c r="AA53" s="81">
        <v>15</v>
      </c>
      <c r="AB53" s="122">
        <v>0</v>
      </c>
      <c r="AC53" s="83">
        <f>IF((AB53/Z53)&gt;1,1,AB53/Z53)</f>
        <v>0</v>
      </c>
      <c r="AD53" s="102">
        <f>+E53</f>
        <v>200000000</v>
      </c>
      <c r="AE53" s="145">
        <f>SUM(Q53:Q54)</f>
        <v>0</v>
      </c>
      <c r="AF53" s="83">
        <f>IF((AE53/AD53)&gt;1,1,AE53/AD53)</f>
        <v>0</v>
      </c>
    </row>
    <row r="54" spans="1:32" ht="47.25" customHeight="1" x14ac:dyDescent="0.25">
      <c r="A54" s="104"/>
      <c r="B54" s="82"/>
      <c r="C54" s="82"/>
      <c r="D54" s="82"/>
      <c r="E54" s="82"/>
      <c r="F54" s="11" t="s">
        <v>464</v>
      </c>
      <c r="G54" s="12" t="s">
        <v>465</v>
      </c>
      <c r="H54" s="12">
        <v>0</v>
      </c>
      <c r="I54" s="13">
        <v>5</v>
      </c>
      <c r="J54" s="12" t="s">
        <v>39</v>
      </c>
      <c r="K54" s="12" t="s">
        <v>40</v>
      </c>
      <c r="L54" s="82"/>
      <c r="M54" s="31">
        <v>0</v>
      </c>
      <c r="N54" s="30">
        <f t="shared" si="0"/>
        <v>0</v>
      </c>
      <c r="O54" s="82"/>
      <c r="P54" s="16"/>
      <c r="Q54" s="17">
        <f t="shared" si="1"/>
        <v>0</v>
      </c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90"/>
      <c r="AD54" s="82"/>
      <c r="AE54" s="82"/>
      <c r="AF54" s="90"/>
    </row>
    <row r="55" spans="1:32" ht="47.25" customHeight="1" x14ac:dyDescent="0.25">
      <c r="A55" s="104"/>
      <c r="B55" s="113" t="s">
        <v>466</v>
      </c>
      <c r="C55" s="81" t="s">
        <v>467</v>
      </c>
      <c r="D55" s="81" t="s">
        <v>468</v>
      </c>
      <c r="E55" s="102">
        <v>130000000</v>
      </c>
      <c r="F55" s="11" t="s">
        <v>469</v>
      </c>
      <c r="G55" s="12" t="s">
        <v>277</v>
      </c>
      <c r="H55" s="12">
        <v>0</v>
      </c>
      <c r="I55" s="13">
        <v>3</v>
      </c>
      <c r="J55" s="12" t="s">
        <v>39</v>
      </c>
      <c r="K55" s="12" t="s">
        <v>40</v>
      </c>
      <c r="L55" s="81" t="s">
        <v>423</v>
      </c>
      <c r="M55" s="31">
        <v>0</v>
      </c>
      <c r="N55" s="30">
        <f t="shared" si="0"/>
        <v>0</v>
      </c>
      <c r="O55" s="83">
        <f>AVERAGE(N55:N56)</f>
        <v>0</v>
      </c>
      <c r="P55" s="16"/>
      <c r="Q55" s="17">
        <f t="shared" si="1"/>
        <v>0</v>
      </c>
      <c r="R55" s="102"/>
      <c r="S55" s="81"/>
      <c r="T55" s="81" t="s">
        <v>470</v>
      </c>
      <c r="U55" s="81">
        <v>430100104</v>
      </c>
      <c r="V55" s="81" t="s">
        <v>471</v>
      </c>
      <c r="W55" s="81" t="s">
        <v>39</v>
      </c>
      <c r="X55" s="81" t="s">
        <v>40</v>
      </c>
      <c r="Y55" s="81">
        <v>0</v>
      </c>
      <c r="Z55" s="81">
        <v>12</v>
      </c>
      <c r="AA55" s="81">
        <v>3</v>
      </c>
      <c r="AB55" s="122">
        <v>0</v>
      </c>
      <c r="AC55" s="83">
        <f>IF((AB55/Z55)&gt;1,1,AB55/Z55)</f>
        <v>0</v>
      </c>
      <c r="AD55" s="102">
        <f>+E55</f>
        <v>130000000</v>
      </c>
      <c r="AE55" s="102">
        <f>SUM(Q55:Q56)</f>
        <v>0</v>
      </c>
      <c r="AF55" s="83">
        <f>IF((AE55/AD55)&gt;1,1,AE55/AD55)</f>
        <v>0</v>
      </c>
    </row>
    <row r="56" spans="1:32" ht="47.25" customHeight="1" x14ac:dyDescent="0.25">
      <c r="A56" s="82"/>
      <c r="B56" s="82"/>
      <c r="C56" s="82"/>
      <c r="D56" s="82"/>
      <c r="E56" s="82"/>
      <c r="F56" s="11" t="s">
        <v>472</v>
      </c>
      <c r="G56" s="12" t="s">
        <v>473</v>
      </c>
      <c r="H56" s="12">
        <v>0</v>
      </c>
      <c r="I56" s="13">
        <v>2</v>
      </c>
      <c r="J56" s="12" t="s">
        <v>39</v>
      </c>
      <c r="K56" s="12" t="s">
        <v>40</v>
      </c>
      <c r="L56" s="82"/>
      <c r="M56" s="31">
        <v>0</v>
      </c>
      <c r="N56" s="15">
        <f t="shared" si="0"/>
        <v>0</v>
      </c>
      <c r="O56" s="82"/>
      <c r="P56" s="16"/>
      <c r="Q56" s="17">
        <f t="shared" si="1"/>
        <v>0</v>
      </c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90"/>
      <c r="AD56" s="82"/>
      <c r="AE56" s="82"/>
      <c r="AF56" s="90"/>
    </row>
    <row r="57" spans="1:32" ht="47.25" customHeight="1" x14ac:dyDescent="0.25">
      <c r="A57" s="81" t="s">
        <v>474</v>
      </c>
      <c r="B57" s="113" t="s">
        <v>475</v>
      </c>
      <c r="C57" s="81" t="s">
        <v>476</v>
      </c>
      <c r="D57" s="81" t="s">
        <v>477</v>
      </c>
      <c r="E57" s="102">
        <v>670000000</v>
      </c>
      <c r="F57" s="48" t="s">
        <v>478</v>
      </c>
      <c r="G57" s="12" t="s">
        <v>479</v>
      </c>
      <c r="H57" s="12">
        <v>250</v>
      </c>
      <c r="I57" s="12">
        <v>250</v>
      </c>
      <c r="J57" s="20" t="s">
        <v>62</v>
      </c>
      <c r="K57" s="12" t="s">
        <v>40</v>
      </c>
      <c r="L57" s="81" t="s">
        <v>480</v>
      </c>
      <c r="M57" s="31">
        <v>0</v>
      </c>
      <c r="N57" s="15">
        <f t="shared" si="0"/>
        <v>0</v>
      </c>
      <c r="O57" s="83">
        <f>AVERAGE(N57:N58)</f>
        <v>0</v>
      </c>
      <c r="P57" s="16"/>
      <c r="Q57" s="17">
        <f t="shared" si="1"/>
        <v>0</v>
      </c>
      <c r="R57" s="102"/>
      <c r="S57" s="81"/>
      <c r="T57" s="81" t="s">
        <v>481</v>
      </c>
      <c r="U57" s="81">
        <v>410205200</v>
      </c>
      <c r="V57" s="81" t="s">
        <v>482</v>
      </c>
      <c r="W57" s="103" t="s">
        <v>62</v>
      </c>
      <c r="X57" s="81" t="s">
        <v>40</v>
      </c>
      <c r="Y57" s="81">
        <v>0</v>
      </c>
      <c r="Z57" s="81">
        <v>350</v>
      </c>
      <c r="AA57" s="81">
        <v>350</v>
      </c>
      <c r="AB57" s="122">
        <v>0</v>
      </c>
      <c r="AC57" s="83">
        <f>IF((AB57/Z57)&gt;1,1,AB57/Z57)</f>
        <v>0</v>
      </c>
      <c r="AD57" s="102">
        <f>+E57</f>
        <v>670000000</v>
      </c>
      <c r="AE57" s="102">
        <f>SUM(Q57:Q58)</f>
        <v>0</v>
      </c>
      <c r="AF57" s="83">
        <f>IF((AE57/AD57)&gt;1,1,AE57/AD57)</f>
        <v>0</v>
      </c>
    </row>
    <row r="58" spans="1:32" ht="47.25" customHeight="1" x14ac:dyDescent="0.25">
      <c r="A58" s="104"/>
      <c r="B58" s="82"/>
      <c r="C58" s="82"/>
      <c r="D58" s="82"/>
      <c r="E58" s="82"/>
      <c r="F58" s="48" t="s">
        <v>483</v>
      </c>
      <c r="G58" s="12" t="s">
        <v>479</v>
      </c>
      <c r="H58" s="12">
        <v>100</v>
      </c>
      <c r="I58" s="12">
        <v>100</v>
      </c>
      <c r="J58" s="20" t="s">
        <v>62</v>
      </c>
      <c r="K58" s="12" t="s">
        <v>40</v>
      </c>
      <c r="L58" s="82"/>
      <c r="M58" s="14">
        <v>0</v>
      </c>
      <c r="N58" s="15">
        <f t="shared" si="0"/>
        <v>0</v>
      </c>
      <c r="O58" s="82"/>
      <c r="P58" s="16"/>
      <c r="Q58" s="17">
        <f t="shared" si="1"/>
        <v>0</v>
      </c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90"/>
      <c r="AD58" s="82"/>
      <c r="AE58" s="82"/>
      <c r="AF58" s="90"/>
    </row>
    <row r="59" spans="1:32" ht="47.25" customHeight="1" x14ac:dyDescent="0.25">
      <c r="A59" s="104"/>
      <c r="B59" s="113" t="s">
        <v>484</v>
      </c>
      <c r="C59" s="81" t="s">
        <v>485</v>
      </c>
      <c r="D59" s="81" t="s">
        <v>486</v>
      </c>
      <c r="E59" s="85">
        <v>100000000</v>
      </c>
      <c r="F59" s="23" t="s">
        <v>487</v>
      </c>
      <c r="G59" s="24" t="s">
        <v>488</v>
      </c>
      <c r="H59" s="24">
        <v>0</v>
      </c>
      <c r="I59" s="25">
        <v>1</v>
      </c>
      <c r="J59" s="20" t="s">
        <v>62</v>
      </c>
      <c r="K59" s="24" t="s">
        <v>40</v>
      </c>
      <c r="L59" s="126" t="s">
        <v>489</v>
      </c>
      <c r="M59" s="14">
        <v>0</v>
      </c>
      <c r="N59" s="15">
        <f t="shared" si="0"/>
        <v>0</v>
      </c>
      <c r="O59" s="83">
        <f>AVERAGE(N59:N61)</f>
        <v>0</v>
      </c>
      <c r="P59" s="16"/>
      <c r="Q59" s="17">
        <f t="shared" si="1"/>
        <v>0</v>
      </c>
      <c r="R59" s="102"/>
      <c r="S59" s="81"/>
      <c r="T59" s="81" t="s">
        <v>490</v>
      </c>
      <c r="U59" s="81">
        <v>410204200</v>
      </c>
      <c r="V59" s="81" t="s">
        <v>491</v>
      </c>
      <c r="W59" s="81" t="s">
        <v>39</v>
      </c>
      <c r="X59" s="81" t="s">
        <v>40</v>
      </c>
      <c r="Y59" s="81">
        <v>0</v>
      </c>
      <c r="Z59" s="81">
        <v>2</v>
      </c>
      <c r="AA59" s="81">
        <v>1</v>
      </c>
      <c r="AB59" s="122">
        <v>0</v>
      </c>
      <c r="AC59" s="83">
        <f>IF((AB59/Z59)&gt;1,1,AB59/Z59)</f>
        <v>0</v>
      </c>
      <c r="AD59" s="85">
        <f>+E59</f>
        <v>100000000</v>
      </c>
      <c r="AE59" s="102">
        <f>SUM(Q59:Q61)</f>
        <v>0</v>
      </c>
      <c r="AF59" s="83">
        <f>IF((AE59/AD59)&gt;1,1,AE59/AD59)</f>
        <v>0</v>
      </c>
    </row>
    <row r="60" spans="1:32" ht="47.25" customHeight="1" x14ac:dyDescent="0.25">
      <c r="A60" s="104"/>
      <c r="B60" s="104"/>
      <c r="C60" s="104"/>
      <c r="D60" s="104"/>
      <c r="E60" s="104"/>
      <c r="F60" s="23" t="s">
        <v>492</v>
      </c>
      <c r="G60" s="24" t="s">
        <v>493</v>
      </c>
      <c r="H60" s="24">
        <v>0</v>
      </c>
      <c r="I60" s="25">
        <v>1</v>
      </c>
      <c r="J60" s="24" t="s">
        <v>39</v>
      </c>
      <c r="K60" s="24" t="s">
        <v>40</v>
      </c>
      <c r="L60" s="104"/>
      <c r="M60" s="14">
        <v>0</v>
      </c>
      <c r="N60" s="15">
        <f t="shared" si="0"/>
        <v>0</v>
      </c>
      <c r="O60" s="104"/>
      <c r="P60" s="16"/>
      <c r="Q60" s="17">
        <f t="shared" si="1"/>
        <v>0</v>
      </c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</row>
    <row r="61" spans="1:32" ht="47.25" customHeight="1" x14ac:dyDescent="0.25">
      <c r="A61" s="104"/>
      <c r="B61" s="82"/>
      <c r="C61" s="82"/>
      <c r="D61" s="82"/>
      <c r="E61" s="82"/>
      <c r="F61" s="23" t="s">
        <v>494</v>
      </c>
      <c r="G61" s="24" t="s">
        <v>495</v>
      </c>
      <c r="H61" s="24">
        <v>0</v>
      </c>
      <c r="I61" s="25">
        <v>1</v>
      </c>
      <c r="J61" s="20" t="s">
        <v>62</v>
      </c>
      <c r="K61" s="24" t="s">
        <v>40</v>
      </c>
      <c r="L61" s="82"/>
      <c r="M61" s="14">
        <v>0</v>
      </c>
      <c r="N61" s="15">
        <f t="shared" si="0"/>
        <v>0</v>
      </c>
      <c r="O61" s="82"/>
      <c r="P61" s="16"/>
      <c r="Q61" s="17">
        <f t="shared" si="1"/>
        <v>0</v>
      </c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</row>
    <row r="62" spans="1:32" ht="47.25" customHeight="1" x14ac:dyDescent="0.25">
      <c r="A62" s="104"/>
      <c r="B62" s="113" t="s">
        <v>496</v>
      </c>
      <c r="C62" s="81" t="s">
        <v>497</v>
      </c>
      <c r="D62" s="81" t="s">
        <v>498</v>
      </c>
      <c r="E62" s="102">
        <v>45000000</v>
      </c>
      <c r="F62" s="48" t="s">
        <v>499</v>
      </c>
      <c r="G62" s="12" t="s">
        <v>500</v>
      </c>
      <c r="H62" s="12">
        <v>0</v>
      </c>
      <c r="I62" s="12">
        <v>1</v>
      </c>
      <c r="J62" s="12" t="s">
        <v>39</v>
      </c>
      <c r="K62" s="12" t="s">
        <v>40</v>
      </c>
      <c r="L62" s="81" t="s">
        <v>501</v>
      </c>
      <c r="M62" s="14">
        <v>0</v>
      </c>
      <c r="N62" s="15">
        <f t="shared" si="0"/>
        <v>0</v>
      </c>
      <c r="O62" s="83">
        <f>AVERAGE(N62:N63)</f>
        <v>0</v>
      </c>
      <c r="P62" s="16"/>
      <c r="Q62" s="17">
        <f t="shared" si="1"/>
        <v>0</v>
      </c>
      <c r="R62" s="102"/>
      <c r="S62" s="81"/>
      <c r="T62" s="81" t="s">
        <v>502</v>
      </c>
      <c r="U62" s="81">
        <v>410203501</v>
      </c>
      <c r="V62" s="81" t="s">
        <v>503</v>
      </c>
      <c r="W62" s="81" t="s">
        <v>39</v>
      </c>
      <c r="X62" s="81" t="s">
        <v>40</v>
      </c>
      <c r="Y62" s="81">
        <v>0</v>
      </c>
      <c r="Z62" s="81">
        <v>4</v>
      </c>
      <c r="AA62" s="81">
        <v>1</v>
      </c>
      <c r="AB62" s="122">
        <v>0</v>
      </c>
      <c r="AC62" s="83">
        <f>IF((AB62/Z62)&gt;1,1,AB62/Z62)</f>
        <v>0</v>
      </c>
      <c r="AD62" s="102">
        <f>+E62</f>
        <v>45000000</v>
      </c>
      <c r="AE62" s="102">
        <f>SUM(Q62:Q63)</f>
        <v>0</v>
      </c>
      <c r="AF62" s="83">
        <f>IF((AE62/AD62)&gt;1,1,AE62/AD62)</f>
        <v>0</v>
      </c>
    </row>
    <row r="63" spans="1:32" ht="58.5" customHeight="1" x14ac:dyDescent="0.25">
      <c r="A63" s="104"/>
      <c r="B63" s="82"/>
      <c r="C63" s="82"/>
      <c r="D63" s="82"/>
      <c r="E63" s="82"/>
      <c r="F63" s="16" t="s">
        <v>504</v>
      </c>
      <c r="G63" s="12" t="s">
        <v>505</v>
      </c>
      <c r="H63" s="12">
        <v>0</v>
      </c>
      <c r="I63" s="12">
        <v>1</v>
      </c>
      <c r="J63" s="12" t="s">
        <v>39</v>
      </c>
      <c r="K63" s="12" t="s">
        <v>40</v>
      </c>
      <c r="L63" s="82"/>
      <c r="M63" s="14">
        <v>0</v>
      </c>
      <c r="N63" s="15">
        <f t="shared" si="0"/>
        <v>0</v>
      </c>
      <c r="O63" s="82"/>
      <c r="P63" s="16"/>
      <c r="Q63" s="17">
        <f t="shared" si="1"/>
        <v>0</v>
      </c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90"/>
      <c r="AD63" s="82"/>
      <c r="AE63" s="82"/>
      <c r="AF63" s="90"/>
    </row>
    <row r="64" spans="1:32" ht="47.25" customHeight="1" x14ac:dyDescent="0.25">
      <c r="A64" s="104"/>
      <c r="B64" s="113" t="s">
        <v>506</v>
      </c>
      <c r="C64" s="81" t="s">
        <v>507</v>
      </c>
      <c r="D64" s="81" t="s">
        <v>508</v>
      </c>
      <c r="E64" s="85">
        <v>288951076</v>
      </c>
      <c r="F64" s="23" t="s">
        <v>509</v>
      </c>
      <c r="G64" s="24" t="s">
        <v>510</v>
      </c>
      <c r="H64" s="24">
        <v>0</v>
      </c>
      <c r="I64" s="25">
        <v>15</v>
      </c>
      <c r="J64" s="24" t="s">
        <v>39</v>
      </c>
      <c r="K64" s="24" t="s">
        <v>40</v>
      </c>
      <c r="L64" s="126" t="s">
        <v>489</v>
      </c>
      <c r="M64" s="14">
        <v>0</v>
      </c>
      <c r="N64" s="15">
        <f t="shared" si="0"/>
        <v>0</v>
      </c>
      <c r="O64" s="83">
        <f>AVERAGE(N64:N66)</f>
        <v>0</v>
      </c>
      <c r="P64" s="16"/>
      <c r="Q64" s="17">
        <f t="shared" si="1"/>
        <v>0</v>
      </c>
      <c r="R64" s="102"/>
      <c r="S64" s="81"/>
      <c r="T64" s="81" t="s">
        <v>511</v>
      </c>
      <c r="U64" s="81">
        <v>410306701</v>
      </c>
      <c r="V64" s="81" t="s">
        <v>512</v>
      </c>
      <c r="W64" s="81" t="s">
        <v>39</v>
      </c>
      <c r="X64" s="81" t="s">
        <v>40</v>
      </c>
      <c r="Y64" s="81">
        <v>0</v>
      </c>
      <c r="Z64" s="81">
        <v>1</v>
      </c>
      <c r="AA64" s="81">
        <v>0.25</v>
      </c>
      <c r="AB64" s="122">
        <v>0</v>
      </c>
      <c r="AC64" s="83">
        <f>IF((AB64/Z64)&gt;1,1,AB64/Z64)</f>
        <v>0</v>
      </c>
      <c r="AD64" s="85">
        <f>+E64</f>
        <v>288951076</v>
      </c>
      <c r="AE64" s="102">
        <f>SUM(Q64:Q66)</f>
        <v>0</v>
      </c>
      <c r="AF64" s="83">
        <f>IF((AE64/AD64)&gt;1,1,AE64/AD64)</f>
        <v>0</v>
      </c>
    </row>
    <row r="65" spans="1:32" ht="47.25" customHeight="1" x14ac:dyDescent="0.25">
      <c r="A65" s="104"/>
      <c r="B65" s="104"/>
      <c r="C65" s="104"/>
      <c r="D65" s="104"/>
      <c r="E65" s="104"/>
      <c r="F65" s="23" t="s">
        <v>513</v>
      </c>
      <c r="G65" s="24" t="s">
        <v>514</v>
      </c>
      <c r="H65" s="24">
        <v>0</v>
      </c>
      <c r="I65" s="25">
        <v>2</v>
      </c>
      <c r="J65" s="24" t="s">
        <v>39</v>
      </c>
      <c r="K65" s="24" t="s">
        <v>40</v>
      </c>
      <c r="L65" s="104"/>
      <c r="M65" s="14">
        <v>0</v>
      </c>
      <c r="N65" s="15">
        <f t="shared" si="0"/>
        <v>0</v>
      </c>
      <c r="O65" s="104"/>
      <c r="P65" s="16"/>
      <c r="Q65" s="17">
        <f t="shared" si="1"/>
        <v>0</v>
      </c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</row>
    <row r="66" spans="1:32" ht="47.25" customHeight="1" x14ac:dyDescent="0.25">
      <c r="A66" s="104"/>
      <c r="B66" s="82"/>
      <c r="C66" s="82"/>
      <c r="D66" s="82"/>
      <c r="E66" s="82"/>
      <c r="F66" s="23" t="s">
        <v>515</v>
      </c>
      <c r="G66" s="24" t="s">
        <v>516</v>
      </c>
      <c r="H66" s="24">
        <v>0</v>
      </c>
      <c r="I66" s="25">
        <v>0.25</v>
      </c>
      <c r="J66" s="24" t="s">
        <v>39</v>
      </c>
      <c r="K66" s="24" t="s">
        <v>40</v>
      </c>
      <c r="L66" s="82"/>
      <c r="M66" s="14">
        <v>0</v>
      </c>
      <c r="N66" s="15">
        <f t="shared" si="0"/>
        <v>0</v>
      </c>
      <c r="O66" s="82"/>
      <c r="P66" s="16"/>
      <c r="Q66" s="17">
        <f t="shared" si="1"/>
        <v>0</v>
      </c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</row>
    <row r="67" spans="1:32" ht="47.25" customHeight="1" x14ac:dyDescent="0.25">
      <c r="A67" s="104"/>
      <c r="B67" s="113" t="s">
        <v>517</v>
      </c>
      <c r="C67" s="81" t="s">
        <v>518</v>
      </c>
      <c r="D67" s="81" t="s">
        <v>519</v>
      </c>
      <c r="E67" s="85">
        <v>1235322925</v>
      </c>
      <c r="F67" s="23" t="s">
        <v>520</v>
      </c>
      <c r="G67" s="24" t="s">
        <v>521</v>
      </c>
      <c r="H67" s="24">
        <v>0</v>
      </c>
      <c r="I67" s="25">
        <v>52</v>
      </c>
      <c r="J67" s="24" t="s">
        <v>39</v>
      </c>
      <c r="K67" s="24" t="s">
        <v>40</v>
      </c>
      <c r="L67" s="126" t="s">
        <v>489</v>
      </c>
      <c r="M67" s="14">
        <v>0</v>
      </c>
      <c r="N67" s="15">
        <f t="shared" si="0"/>
        <v>0</v>
      </c>
      <c r="O67" s="83">
        <f>AVERAGE(N67:N71)</f>
        <v>0</v>
      </c>
      <c r="P67" s="16"/>
      <c r="Q67" s="17">
        <f t="shared" si="1"/>
        <v>0</v>
      </c>
      <c r="R67" s="102"/>
      <c r="S67" s="81"/>
      <c r="T67" s="81" t="s">
        <v>522</v>
      </c>
      <c r="U67" s="81">
        <v>410400800</v>
      </c>
      <c r="V67" s="81" t="s">
        <v>523</v>
      </c>
      <c r="W67" s="81" t="s">
        <v>39</v>
      </c>
      <c r="X67" s="81" t="s">
        <v>40</v>
      </c>
      <c r="Y67" s="81">
        <v>0</v>
      </c>
      <c r="Z67" s="81">
        <v>1600</v>
      </c>
      <c r="AA67" s="81">
        <v>400</v>
      </c>
      <c r="AB67" s="122">
        <v>0</v>
      </c>
      <c r="AC67" s="83">
        <f>IF((AB67/Z67)&gt;1,1,AB67/Z67)</f>
        <v>0</v>
      </c>
      <c r="AD67" s="85">
        <f>+E67</f>
        <v>1235322925</v>
      </c>
      <c r="AE67" s="102">
        <f>SUM(Q67:Q71)</f>
        <v>0</v>
      </c>
      <c r="AF67" s="83">
        <f>IF((AE67/AD67)&gt;1,1,AE67/AD67)</f>
        <v>0</v>
      </c>
    </row>
    <row r="68" spans="1:32" ht="47.25" customHeight="1" x14ac:dyDescent="0.25">
      <c r="A68" s="104"/>
      <c r="B68" s="104"/>
      <c r="C68" s="104"/>
      <c r="D68" s="104"/>
      <c r="E68" s="104"/>
      <c r="F68" s="23" t="s">
        <v>524</v>
      </c>
      <c r="G68" s="24" t="s">
        <v>525</v>
      </c>
      <c r="H68" s="24">
        <v>0</v>
      </c>
      <c r="I68" s="25">
        <v>14</v>
      </c>
      <c r="J68" s="24" t="s">
        <v>39</v>
      </c>
      <c r="K68" s="24" t="s">
        <v>40</v>
      </c>
      <c r="L68" s="104"/>
      <c r="M68" s="14">
        <v>0</v>
      </c>
      <c r="N68" s="15">
        <f t="shared" si="0"/>
        <v>0</v>
      </c>
      <c r="O68" s="104"/>
      <c r="P68" s="16"/>
      <c r="Q68" s="17">
        <f t="shared" si="1"/>
        <v>0</v>
      </c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</row>
    <row r="69" spans="1:32" ht="47.25" customHeight="1" x14ac:dyDescent="0.25">
      <c r="A69" s="104"/>
      <c r="B69" s="104"/>
      <c r="C69" s="104"/>
      <c r="D69" s="104"/>
      <c r="E69" s="104"/>
      <c r="F69" s="23" t="s">
        <v>526</v>
      </c>
      <c r="G69" s="24" t="s">
        <v>525</v>
      </c>
      <c r="H69" s="24">
        <v>0</v>
      </c>
      <c r="I69" s="25">
        <v>319</v>
      </c>
      <c r="J69" s="24" t="s">
        <v>39</v>
      </c>
      <c r="K69" s="24" t="s">
        <v>40</v>
      </c>
      <c r="L69" s="104"/>
      <c r="M69" s="14">
        <v>0</v>
      </c>
      <c r="N69" s="15">
        <f t="shared" si="0"/>
        <v>0</v>
      </c>
      <c r="O69" s="104"/>
      <c r="P69" s="16"/>
      <c r="Q69" s="17">
        <f t="shared" si="1"/>
        <v>0</v>
      </c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</row>
    <row r="70" spans="1:32" ht="47.25" customHeight="1" x14ac:dyDescent="0.25">
      <c r="A70" s="104"/>
      <c r="B70" s="104"/>
      <c r="C70" s="104"/>
      <c r="D70" s="104"/>
      <c r="E70" s="104"/>
      <c r="F70" s="23" t="s">
        <v>527</v>
      </c>
      <c r="G70" s="24" t="s">
        <v>528</v>
      </c>
      <c r="H70" s="24">
        <v>0</v>
      </c>
      <c r="I70" s="25">
        <v>1</v>
      </c>
      <c r="J70" s="24" t="s">
        <v>39</v>
      </c>
      <c r="K70" s="24" t="s">
        <v>40</v>
      </c>
      <c r="L70" s="104"/>
      <c r="M70" s="14">
        <v>0</v>
      </c>
      <c r="N70" s="15">
        <f t="shared" si="0"/>
        <v>0</v>
      </c>
      <c r="O70" s="104"/>
      <c r="P70" s="16"/>
      <c r="Q70" s="17">
        <f t="shared" si="1"/>
        <v>0</v>
      </c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</row>
    <row r="71" spans="1:32" ht="47.25" customHeight="1" x14ac:dyDescent="0.25">
      <c r="A71" s="104"/>
      <c r="B71" s="82"/>
      <c r="C71" s="82"/>
      <c r="D71" s="82"/>
      <c r="E71" s="82"/>
      <c r="F71" s="55" t="s">
        <v>529</v>
      </c>
      <c r="G71" s="24" t="s">
        <v>525</v>
      </c>
      <c r="H71" s="24">
        <v>0</v>
      </c>
      <c r="I71" s="25">
        <v>15</v>
      </c>
      <c r="J71" s="24" t="s">
        <v>39</v>
      </c>
      <c r="K71" s="24" t="s">
        <v>40</v>
      </c>
      <c r="L71" s="82"/>
      <c r="M71" s="14">
        <v>0</v>
      </c>
      <c r="N71" s="15">
        <f t="shared" si="0"/>
        <v>0</v>
      </c>
      <c r="O71" s="82"/>
      <c r="P71" s="16"/>
      <c r="Q71" s="17">
        <f t="shared" si="1"/>
        <v>0</v>
      </c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</row>
    <row r="72" spans="1:32" ht="47.25" customHeight="1" x14ac:dyDescent="0.25">
      <c r="A72" s="104"/>
      <c r="B72" s="113" t="s">
        <v>530</v>
      </c>
      <c r="C72" s="81" t="s">
        <v>531</v>
      </c>
      <c r="D72" s="81" t="s">
        <v>532</v>
      </c>
      <c r="E72" s="85">
        <v>275000000</v>
      </c>
      <c r="F72" s="23" t="s">
        <v>533</v>
      </c>
      <c r="G72" s="24" t="s">
        <v>534</v>
      </c>
      <c r="H72" s="24">
        <v>0</v>
      </c>
      <c r="I72" s="25">
        <v>10</v>
      </c>
      <c r="J72" s="24" t="s">
        <v>39</v>
      </c>
      <c r="K72" s="24" t="s">
        <v>40</v>
      </c>
      <c r="L72" s="126" t="s">
        <v>489</v>
      </c>
      <c r="M72" s="14">
        <v>0</v>
      </c>
      <c r="N72" s="15">
        <f t="shared" si="0"/>
        <v>0</v>
      </c>
      <c r="O72" s="83">
        <f>AVERAGE(N72:N74)</f>
        <v>0</v>
      </c>
      <c r="P72" s="16"/>
      <c r="Q72" s="17">
        <f t="shared" si="1"/>
        <v>0</v>
      </c>
      <c r="R72" s="102"/>
      <c r="S72" s="81"/>
      <c r="T72" s="81" t="s">
        <v>535</v>
      </c>
      <c r="U72" s="81">
        <v>410402000</v>
      </c>
      <c r="V72" s="81" t="s">
        <v>536</v>
      </c>
      <c r="W72" s="81" t="s">
        <v>39</v>
      </c>
      <c r="X72" s="81" t="s">
        <v>40</v>
      </c>
      <c r="Y72" s="81">
        <v>0</v>
      </c>
      <c r="Z72" s="81">
        <v>120</v>
      </c>
      <c r="AA72" s="81">
        <v>30</v>
      </c>
      <c r="AB72" s="122">
        <v>0</v>
      </c>
      <c r="AC72" s="83">
        <f>IF((AB72/Z72)&gt;1,1,AB72/Z72)</f>
        <v>0</v>
      </c>
      <c r="AD72" s="85">
        <f>+E72</f>
        <v>275000000</v>
      </c>
      <c r="AE72" s="102">
        <f>SUM(Q72:Q74)</f>
        <v>0</v>
      </c>
      <c r="AF72" s="83">
        <f>IF((AE72/AD72)&gt;1,1,AE72/AD72)</f>
        <v>0</v>
      </c>
    </row>
    <row r="73" spans="1:32" ht="47.25" customHeight="1" x14ac:dyDescent="0.25">
      <c r="A73" s="104"/>
      <c r="B73" s="104"/>
      <c r="C73" s="104"/>
      <c r="D73" s="104"/>
      <c r="E73" s="104"/>
      <c r="F73" s="23" t="s">
        <v>537</v>
      </c>
      <c r="G73" s="24" t="s">
        <v>536</v>
      </c>
      <c r="H73" s="24">
        <v>0</v>
      </c>
      <c r="I73" s="25">
        <v>8</v>
      </c>
      <c r="J73" s="24" t="s">
        <v>39</v>
      </c>
      <c r="K73" s="24" t="s">
        <v>422</v>
      </c>
      <c r="L73" s="104"/>
      <c r="M73" s="14">
        <v>0</v>
      </c>
      <c r="N73" s="15">
        <f t="shared" si="0"/>
        <v>0</v>
      </c>
      <c r="O73" s="104"/>
      <c r="P73" s="16"/>
      <c r="Q73" s="17">
        <f t="shared" si="1"/>
        <v>0</v>
      </c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</row>
    <row r="74" spans="1:32" ht="47.25" customHeight="1" x14ac:dyDescent="0.25">
      <c r="A74" s="104"/>
      <c r="B74" s="82"/>
      <c r="C74" s="82"/>
      <c r="D74" s="82"/>
      <c r="E74" s="82"/>
      <c r="F74" s="23" t="s">
        <v>538</v>
      </c>
      <c r="G74" s="24" t="s">
        <v>536</v>
      </c>
      <c r="H74" s="24">
        <v>0</v>
      </c>
      <c r="I74" s="25">
        <v>12</v>
      </c>
      <c r="J74" s="24" t="s">
        <v>39</v>
      </c>
      <c r="K74" s="24" t="s">
        <v>40</v>
      </c>
      <c r="L74" s="82"/>
      <c r="M74" s="14">
        <v>0</v>
      </c>
      <c r="N74" s="15">
        <f t="shared" si="0"/>
        <v>0</v>
      </c>
      <c r="O74" s="90"/>
      <c r="P74" s="16"/>
      <c r="Q74" s="17">
        <f t="shared" si="1"/>
        <v>0</v>
      </c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90"/>
    </row>
    <row r="75" spans="1:32" ht="47.25" customHeight="1" x14ac:dyDescent="0.25">
      <c r="A75" s="104"/>
      <c r="B75" s="113" t="s">
        <v>539</v>
      </c>
      <c r="C75" s="81" t="s">
        <v>540</v>
      </c>
      <c r="D75" s="81" t="s">
        <v>541</v>
      </c>
      <c r="E75" s="85">
        <v>150000000</v>
      </c>
      <c r="F75" s="23" t="s">
        <v>542</v>
      </c>
      <c r="G75" s="24" t="s">
        <v>543</v>
      </c>
      <c r="H75" s="24">
        <v>0</v>
      </c>
      <c r="I75" s="25">
        <v>12</v>
      </c>
      <c r="J75" s="24" t="s">
        <v>39</v>
      </c>
      <c r="K75" s="24" t="s">
        <v>40</v>
      </c>
      <c r="L75" s="126" t="s">
        <v>489</v>
      </c>
      <c r="M75" s="14">
        <v>0</v>
      </c>
      <c r="N75" s="15">
        <f t="shared" si="0"/>
        <v>0</v>
      </c>
      <c r="O75" s="83">
        <f>AVERAGE(N75:N77)</f>
        <v>0</v>
      </c>
      <c r="P75" s="16"/>
      <c r="Q75" s="17">
        <f t="shared" si="1"/>
        <v>0</v>
      </c>
      <c r="R75" s="102"/>
      <c r="S75" s="81"/>
      <c r="T75" s="81" t="s">
        <v>544</v>
      </c>
      <c r="U75" s="81">
        <v>410103802</v>
      </c>
      <c r="V75" s="81" t="s">
        <v>545</v>
      </c>
      <c r="W75" s="81" t="s">
        <v>39</v>
      </c>
      <c r="X75" s="81" t="s">
        <v>40</v>
      </c>
      <c r="Y75" s="81">
        <v>0</v>
      </c>
      <c r="Z75" s="81">
        <v>400</v>
      </c>
      <c r="AA75" s="81">
        <v>100</v>
      </c>
      <c r="AB75" s="122">
        <v>0</v>
      </c>
      <c r="AC75" s="83">
        <f>IF((AB75/Z75)&gt;1,1,AB75/Z75)</f>
        <v>0</v>
      </c>
      <c r="AD75" s="85">
        <f>+E75</f>
        <v>150000000</v>
      </c>
      <c r="AE75" s="102">
        <f>SUM(Q75:Q77)</f>
        <v>0</v>
      </c>
      <c r="AF75" s="83">
        <f>IF((AE75/AD75)&gt;1,1,AE75/AD75)</f>
        <v>0</v>
      </c>
    </row>
    <row r="76" spans="1:32" ht="47.25" customHeight="1" x14ac:dyDescent="0.25">
      <c r="A76" s="104"/>
      <c r="B76" s="104"/>
      <c r="C76" s="104"/>
      <c r="D76" s="104"/>
      <c r="E76" s="104"/>
      <c r="F76" s="23" t="s">
        <v>546</v>
      </c>
      <c r="G76" s="24" t="s">
        <v>547</v>
      </c>
      <c r="H76" s="24">
        <v>0</v>
      </c>
      <c r="I76" s="25">
        <v>38</v>
      </c>
      <c r="J76" s="24" t="s">
        <v>39</v>
      </c>
      <c r="K76" s="24" t="s">
        <v>40</v>
      </c>
      <c r="L76" s="104"/>
      <c r="M76" s="14">
        <v>0</v>
      </c>
      <c r="N76" s="15">
        <f t="shared" si="0"/>
        <v>0</v>
      </c>
      <c r="O76" s="104"/>
      <c r="P76" s="16"/>
      <c r="Q76" s="17">
        <f t="shared" si="1"/>
        <v>0</v>
      </c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</row>
    <row r="77" spans="1:32" ht="47.25" customHeight="1" x14ac:dyDescent="0.25">
      <c r="A77" s="104"/>
      <c r="B77" s="82"/>
      <c r="C77" s="82"/>
      <c r="D77" s="82"/>
      <c r="E77" s="82"/>
      <c r="F77" s="23" t="s">
        <v>548</v>
      </c>
      <c r="G77" s="24" t="s">
        <v>549</v>
      </c>
      <c r="H77" s="24">
        <v>0</v>
      </c>
      <c r="I77" s="25">
        <v>50</v>
      </c>
      <c r="J77" s="24" t="s">
        <v>39</v>
      </c>
      <c r="K77" s="24" t="s">
        <v>40</v>
      </c>
      <c r="L77" s="82"/>
      <c r="M77" s="14">
        <v>0</v>
      </c>
      <c r="N77" s="15">
        <f t="shared" si="0"/>
        <v>0</v>
      </c>
      <c r="O77" s="90"/>
      <c r="P77" s="16"/>
      <c r="Q77" s="17">
        <f t="shared" si="1"/>
        <v>0</v>
      </c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90"/>
    </row>
    <row r="78" spans="1:32" ht="47.25" customHeight="1" x14ac:dyDescent="0.25">
      <c r="A78" s="104"/>
      <c r="B78" s="113" t="s">
        <v>550</v>
      </c>
      <c r="C78" s="81" t="s">
        <v>551</v>
      </c>
      <c r="D78" s="81" t="s">
        <v>552</v>
      </c>
      <c r="E78" s="85">
        <v>50000000</v>
      </c>
      <c r="F78" s="11" t="s">
        <v>553</v>
      </c>
      <c r="G78" s="12" t="s">
        <v>554</v>
      </c>
      <c r="H78" s="12">
        <v>0</v>
      </c>
      <c r="I78" s="13">
        <v>250</v>
      </c>
      <c r="J78" s="12" t="s">
        <v>39</v>
      </c>
      <c r="K78" s="12" t="s">
        <v>40</v>
      </c>
      <c r="L78" s="81" t="s">
        <v>489</v>
      </c>
      <c r="M78" s="14">
        <v>0</v>
      </c>
      <c r="N78" s="15">
        <f t="shared" si="0"/>
        <v>0</v>
      </c>
      <c r="O78" s="83">
        <f>AVERAGE(N78:N80)</f>
        <v>0</v>
      </c>
      <c r="P78" s="16"/>
      <c r="Q78" s="17">
        <f t="shared" si="1"/>
        <v>0</v>
      </c>
      <c r="R78" s="102"/>
      <c r="S78" s="81"/>
      <c r="T78" s="81" t="s">
        <v>555</v>
      </c>
      <c r="U78" s="81">
        <v>450203800</v>
      </c>
      <c r="V78" s="81" t="s">
        <v>556</v>
      </c>
      <c r="W78" s="81" t="s">
        <v>39</v>
      </c>
      <c r="X78" s="81" t="s">
        <v>40</v>
      </c>
      <c r="Y78" s="81">
        <v>0</v>
      </c>
      <c r="Z78" s="81">
        <v>6000</v>
      </c>
      <c r="AA78" s="81">
        <v>1500</v>
      </c>
      <c r="AB78" s="122">
        <v>0</v>
      </c>
      <c r="AC78" s="83">
        <f>IF((AB78/Z78)&gt;1,1,AB78/Z78)</f>
        <v>0</v>
      </c>
      <c r="AD78" s="85">
        <f>+E78</f>
        <v>50000000</v>
      </c>
      <c r="AE78" s="102">
        <f>SUM(Q78:Q80)</f>
        <v>0</v>
      </c>
      <c r="AF78" s="83">
        <f>IF((AE78/AD78)&gt;1,1,AE78/AD78)</f>
        <v>0</v>
      </c>
    </row>
    <row r="79" spans="1:32" ht="47.25" customHeight="1" x14ac:dyDescent="0.25">
      <c r="A79" s="104"/>
      <c r="B79" s="104"/>
      <c r="C79" s="104"/>
      <c r="D79" s="104"/>
      <c r="E79" s="104"/>
      <c r="F79" s="11" t="s">
        <v>557</v>
      </c>
      <c r="G79" s="12" t="s">
        <v>554</v>
      </c>
      <c r="H79" s="12">
        <v>0</v>
      </c>
      <c r="I79" s="13">
        <v>950</v>
      </c>
      <c r="J79" s="12" t="s">
        <v>39</v>
      </c>
      <c r="K79" s="12" t="s">
        <v>40</v>
      </c>
      <c r="L79" s="104"/>
      <c r="M79" s="14">
        <v>0</v>
      </c>
      <c r="N79" s="15">
        <f t="shared" si="0"/>
        <v>0</v>
      </c>
      <c r="O79" s="104"/>
      <c r="P79" s="16"/>
      <c r="Q79" s="17">
        <f t="shared" si="1"/>
        <v>0</v>
      </c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  <c r="AF79" s="104"/>
    </row>
    <row r="80" spans="1:32" ht="47.25" customHeight="1" x14ac:dyDescent="0.25">
      <c r="A80" s="104"/>
      <c r="B80" s="82"/>
      <c r="C80" s="82"/>
      <c r="D80" s="82"/>
      <c r="E80" s="82"/>
      <c r="F80" s="11" t="s">
        <v>558</v>
      </c>
      <c r="G80" s="12" t="s">
        <v>554</v>
      </c>
      <c r="H80" s="12">
        <v>0</v>
      </c>
      <c r="I80" s="13">
        <v>300</v>
      </c>
      <c r="J80" s="12" t="s">
        <v>39</v>
      </c>
      <c r="K80" s="12" t="s">
        <v>40</v>
      </c>
      <c r="L80" s="82"/>
      <c r="M80" s="14">
        <v>0</v>
      </c>
      <c r="N80" s="15">
        <f t="shared" si="0"/>
        <v>0</v>
      </c>
      <c r="O80" s="90"/>
      <c r="P80" s="16"/>
      <c r="Q80" s="17">
        <f t="shared" si="1"/>
        <v>0</v>
      </c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90"/>
    </row>
    <row r="81" spans="1:32" ht="47.25" customHeight="1" x14ac:dyDescent="0.25">
      <c r="A81" s="104"/>
      <c r="B81" s="113" t="s">
        <v>559</v>
      </c>
      <c r="C81" s="81" t="s">
        <v>560</v>
      </c>
      <c r="D81" s="81" t="s">
        <v>561</v>
      </c>
      <c r="E81" s="102">
        <v>175000000</v>
      </c>
      <c r="F81" s="11" t="s">
        <v>562</v>
      </c>
      <c r="G81" s="12" t="s">
        <v>563</v>
      </c>
      <c r="H81" s="12">
        <v>0</v>
      </c>
      <c r="I81" s="13">
        <v>1</v>
      </c>
      <c r="J81" s="12" t="s">
        <v>39</v>
      </c>
      <c r="K81" s="12" t="s">
        <v>40</v>
      </c>
      <c r="L81" s="12" t="s">
        <v>564</v>
      </c>
      <c r="M81" s="14">
        <v>0</v>
      </c>
      <c r="N81" s="15">
        <f t="shared" si="0"/>
        <v>0</v>
      </c>
      <c r="O81" s="83">
        <f>AVERAGE(N81:N82)</f>
        <v>0</v>
      </c>
      <c r="P81" s="16"/>
      <c r="Q81" s="17">
        <f t="shared" si="1"/>
        <v>0</v>
      </c>
      <c r="R81" s="102"/>
      <c r="S81" s="81"/>
      <c r="T81" s="81" t="s">
        <v>565</v>
      </c>
      <c r="U81" s="81">
        <v>450203800</v>
      </c>
      <c r="V81" s="81" t="s">
        <v>563</v>
      </c>
      <c r="W81" s="81" t="s">
        <v>39</v>
      </c>
      <c r="X81" s="81" t="s">
        <v>40</v>
      </c>
      <c r="Y81" s="81">
        <v>0</v>
      </c>
      <c r="Z81" s="81">
        <v>1</v>
      </c>
      <c r="AA81" s="81">
        <v>0</v>
      </c>
      <c r="AB81" s="122">
        <v>0</v>
      </c>
      <c r="AC81" s="83">
        <f>IF((AB81/Z81)&gt;1,1,AB81/Z81)</f>
        <v>0</v>
      </c>
      <c r="AD81" s="102">
        <f>+E81</f>
        <v>175000000</v>
      </c>
      <c r="AE81" s="102">
        <f>SUM(Q81:Q82)</f>
        <v>0</v>
      </c>
      <c r="AF81" s="83">
        <f>IF((AE81/AD81)&gt;1,1,AE81/AD81)</f>
        <v>0</v>
      </c>
    </row>
    <row r="82" spans="1:32" ht="47.25" customHeight="1" x14ac:dyDescent="0.25">
      <c r="A82" s="104"/>
      <c r="B82" s="82"/>
      <c r="C82" s="82"/>
      <c r="D82" s="82"/>
      <c r="E82" s="82"/>
      <c r="F82" s="11" t="s">
        <v>566</v>
      </c>
      <c r="G82" s="12" t="s">
        <v>567</v>
      </c>
      <c r="H82" s="12">
        <v>0</v>
      </c>
      <c r="I82" s="13">
        <v>1</v>
      </c>
      <c r="J82" s="12" t="s">
        <v>39</v>
      </c>
      <c r="K82" s="12" t="s">
        <v>40</v>
      </c>
      <c r="L82" s="12" t="s">
        <v>489</v>
      </c>
      <c r="M82" s="14">
        <v>0</v>
      </c>
      <c r="N82" s="15">
        <f t="shared" si="0"/>
        <v>0</v>
      </c>
      <c r="O82" s="82"/>
      <c r="P82" s="16"/>
      <c r="Q82" s="17">
        <f t="shared" si="1"/>
        <v>0</v>
      </c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90"/>
      <c r="AD82" s="82"/>
      <c r="AE82" s="82"/>
      <c r="AF82" s="90"/>
    </row>
    <row r="83" spans="1:32" ht="47.25" customHeight="1" x14ac:dyDescent="0.25">
      <c r="A83" s="104"/>
      <c r="B83" s="113" t="s">
        <v>568</v>
      </c>
      <c r="C83" s="81" t="s">
        <v>569</v>
      </c>
      <c r="D83" s="81" t="s">
        <v>570</v>
      </c>
      <c r="E83" s="85">
        <v>13951076</v>
      </c>
      <c r="F83" s="11" t="s">
        <v>571</v>
      </c>
      <c r="G83" s="12" t="s">
        <v>572</v>
      </c>
      <c r="H83" s="12">
        <v>0</v>
      </c>
      <c r="I83" s="21">
        <v>0.3</v>
      </c>
      <c r="J83" s="12" t="s">
        <v>39</v>
      </c>
      <c r="K83" s="12" t="s">
        <v>40</v>
      </c>
      <c r="L83" s="81" t="s">
        <v>489</v>
      </c>
      <c r="M83" s="14">
        <v>0</v>
      </c>
      <c r="N83" s="15">
        <f t="shared" si="0"/>
        <v>0</v>
      </c>
      <c r="O83" s="83">
        <f>AVERAGE(N83:N84)</f>
        <v>0</v>
      </c>
      <c r="P83" s="16"/>
      <c r="Q83" s="17">
        <f t="shared" si="1"/>
        <v>0</v>
      </c>
      <c r="R83" s="102"/>
      <c r="S83" s="81"/>
      <c r="T83" s="81" t="s">
        <v>573</v>
      </c>
      <c r="U83" s="81">
        <v>450203800</v>
      </c>
      <c r="V83" s="81" t="s">
        <v>556</v>
      </c>
      <c r="W83" s="81" t="s">
        <v>39</v>
      </c>
      <c r="X83" s="81" t="s">
        <v>40</v>
      </c>
      <c r="Y83" s="81">
        <v>0</v>
      </c>
      <c r="Z83" s="81">
        <v>1</v>
      </c>
      <c r="AA83" s="81">
        <v>0.3</v>
      </c>
      <c r="AB83" s="122">
        <v>0</v>
      </c>
      <c r="AC83" s="83">
        <f>IF((AB83/Z83)&gt;1,1,AB83/Z83)</f>
        <v>0</v>
      </c>
      <c r="AD83" s="85">
        <f>+E83</f>
        <v>13951076</v>
      </c>
      <c r="AE83" s="102">
        <f>SUM(Q83:Q84)</f>
        <v>0</v>
      </c>
      <c r="AF83" s="83">
        <f>IF((AE83/AD83)&gt;1,1,AE83/AD83)</f>
        <v>0</v>
      </c>
    </row>
    <row r="84" spans="1:32" ht="47.25" customHeight="1" x14ac:dyDescent="0.25">
      <c r="A84" s="104"/>
      <c r="B84" s="82"/>
      <c r="C84" s="82"/>
      <c r="D84" s="82"/>
      <c r="E84" s="82"/>
      <c r="F84" s="11" t="s">
        <v>574</v>
      </c>
      <c r="G84" s="12" t="s">
        <v>575</v>
      </c>
      <c r="H84" s="12">
        <v>0</v>
      </c>
      <c r="I84" s="13">
        <v>1</v>
      </c>
      <c r="J84" s="12" t="s">
        <v>39</v>
      </c>
      <c r="K84" s="12" t="s">
        <v>40</v>
      </c>
      <c r="L84" s="82"/>
      <c r="M84" s="14">
        <v>0</v>
      </c>
      <c r="N84" s="15">
        <f t="shared" si="0"/>
        <v>0</v>
      </c>
      <c r="O84" s="82"/>
      <c r="P84" s="16"/>
      <c r="Q84" s="17">
        <f t="shared" si="1"/>
        <v>0</v>
      </c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90"/>
      <c r="AD84" s="82"/>
      <c r="AE84" s="82"/>
      <c r="AF84" s="90"/>
    </row>
    <row r="85" spans="1:32" ht="47.25" customHeight="1" x14ac:dyDescent="0.25">
      <c r="A85" s="104"/>
      <c r="B85" s="113" t="s">
        <v>576</v>
      </c>
      <c r="C85" s="81" t="s">
        <v>577</v>
      </c>
      <c r="D85" s="81" t="s">
        <v>578</v>
      </c>
      <c r="E85" s="85">
        <v>68951076</v>
      </c>
      <c r="F85" s="11" t="s">
        <v>579</v>
      </c>
      <c r="G85" s="12" t="s">
        <v>580</v>
      </c>
      <c r="H85" s="12">
        <v>0</v>
      </c>
      <c r="I85" s="13">
        <v>5</v>
      </c>
      <c r="J85" s="12" t="s">
        <v>39</v>
      </c>
      <c r="K85" s="12" t="s">
        <v>40</v>
      </c>
      <c r="L85" s="81" t="s">
        <v>489</v>
      </c>
      <c r="M85" s="14">
        <v>0</v>
      </c>
      <c r="N85" s="15">
        <f t="shared" si="0"/>
        <v>0</v>
      </c>
      <c r="O85" s="83">
        <f>AVERAGE(N85:N86)</f>
        <v>0</v>
      </c>
      <c r="P85" s="16"/>
      <c r="Q85" s="17">
        <f t="shared" si="1"/>
        <v>0</v>
      </c>
      <c r="R85" s="102"/>
      <c r="S85" s="81"/>
      <c r="T85" s="81" t="s">
        <v>581</v>
      </c>
      <c r="U85" s="81">
        <v>450202201</v>
      </c>
      <c r="V85" s="81" t="s">
        <v>582</v>
      </c>
      <c r="W85" s="81" t="s">
        <v>39</v>
      </c>
      <c r="X85" s="81" t="s">
        <v>40</v>
      </c>
      <c r="Y85" s="81">
        <v>0</v>
      </c>
      <c r="Z85" s="81">
        <v>44</v>
      </c>
      <c r="AA85" s="81">
        <v>11</v>
      </c>
      <c r="AB85" s="122">
        <v>0</v>
      </c>
      <c r="AC85" s="83">
        <f>IF((AB85/Z85)&gt;1,1,AB85/Z85)</f>
        <v>0</v>
      </c>
      <c r="AD85" s="85">
        <f>+E85</f>
        <v>68951076</v>
      </c>
      <c r="AE85" s="102">
        <f>SUM(Q85:Q86)</f>
        <v>0</v>
      </c>
      <c r="AF85" s="83">
        <f>IF((AE85/AD85)&gt;1,1,AE85/AD85)</f>
        <v>0</v>
      </c>
    </row>
    <row r="86" spans="1:32" ht="47.25" customHeight="1" x14ac:dyDescent="0.25">
      <c r="A86" s="104"/>
      <c r="B86" s="82"/>
      <c r="C86" s="82"/>
      <c r="D86" s="82"/>
      <c r="E86" s="82"/>
      <c r="F86" s="11" t="s">
        <v>583</v>
      </c>
      <c r="G86" s="12" t="s">
        <v>580</v>
      </c>
      <c r="H86" s="12">
        <v>0</v>
      </c>
      <c r="I86" s="13">
        <v>6</v>
      </c>
      <c r="J86" s="12" t="s">
        <v>39</v>
      </c>
      <c r="K86" s="12" t="s">
        <v>40</v>
      </c>
      <c r="L86" s="82"/>
      <c r="M86" s="14">
        <v>0</v>
      </c>
      <c r="N86" s="15">
        <f t="shared" si="0"/>
        <v>0</v>
      </c>
      <c r="O86" s="82"/>
      <c r="P86" s="16"/>
      <c r="Q86" s="17">
        <f t="shared" si="1"/>
        <v>0</v>
      </c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90"/>
      <c r="AD86" s="82"/>
      <c r="AE86" s="82"/>
      <c r="AF86" s="82"/>
    </row>
    <row r="87" spans="1:32" ht="47.25" customHeight="1" x14ac:dyDescent="0.25">
      <c r="A87" s="104"/>
      <c r="B87" s="113" t="s">
        <v>584</v>
      </c>
      <c r="C87" s="81" t="s">
        <v>585</v>
      </c>
      <c r="D87" s="81" t="s">
        <v>586</v>
      </c>
      <c r="E87" s="102">
        <v>50000000</v>
      </c>
      <c r="F87" s="11" t="s">
        <v>587</v>
      </c>
      <c r="G87" s="12" t="s">
        <v>563</v>
      </c>
      <c r="H87" s="12">
        <v>0</v>
      </c>
      <c r="I87" s="13">
        <v>1</v>
      </c>
      <c r="J87" s="12" t="s">
        <v>39</v>
      </c>
      <c r="K87" s="12" t="s">
        <v>40</v>
      </c>
      <c r="L87" s="81" t="s">
        <v>489</v>
      </c>
      <c r="M87" s="14">
        <v>0</v>
      </c>
      <c r="N87" s="15">
        <f t="shared" si="0"/>
        <v>0</v>
      </c>
      <c r="O87" s="83">
        <f>AVERAGE(N87:N88)</f>
        <v>0</v>
      </c>
      <c r="P87" s="16"/>
      <c r="Q87" s="17">
        <f t="shared" si="1"/>
        <v>0</v>
      </c>
      <c r="R87" s="102"/>
      <c r="S87" s="81"/>
      <c r="T87" s="81" t="s">
        <v>588</v>
      </c>
      <c r="U87" s="81">
        <v>450202402</v>
      </c>
      <c r="V87" s="81" t="s">
        <v>563</v>
      </c>
      <c r="W87" s="81" t="s">
        <v>39</v>
      </c>
      <c r="X87" s="81" t="s">
        <v>40</v>
      </c>
      <c r="Y87" s="81">
        <v>0</v>
      </c>
      <c r="Z87" s="81">
        <v>1</v>
      </c>
      <c r="AA87" s="81">
        <v>0.25</v>
      </c>
      <c r="AB87" s="122">
        <v>0</v>
      </c>
      <c r="AC87" s="83">
        <f>IF((AB87/Z87)&gt;1,1,AB87/Z87)</f>
        <v>0</v>
      </c>
      <c r="AD87" s="102">
        <f>+E87</f>
        <v>50000000</v>
      </c>
      <c r="AE87" s="102">
        <f>SUM(Q87:Q88)</f>
        <v>0</v>
      </c>
      <c r="AF87" s="83">
        <f>IF((AE87/AD87)&gt;1,1,AE87/AD87)</f>
        <v>0</v>
      </c>
    </row>
    <row r="88" spans="1:32" ht="47.25" customHeight="1" x14ac:dyDescent="0.25">
      <c r="A88" s="82"/>
      <c r="B88" s="82"/>
      <c r="C88" s="82"/>
      <c r="D88" s="82"/>
      <c r="E88" s="82"/>
      <c r="F88" s="11" t="s">
        <v>589</v>
      </c>
      <c r="G88" s="12" t="s">
        <v>590</v>
      </c>
      <c r="H88" s="12">
        <v>0</v>
      </c>
      <c r="I88" s="13">
        <v>1</v>
      </c>
      <c r="J88" s="12" t="s">
        <v>39</v>
      </c>
      <c r="K88" s="12" t="s">
        <v>40</v>
      </c>
      <c r="L88" s="82"/>
      <c r="M88" s="14">
        <v>0</v>
      </c>
      <c r="N88" s="15">
        <f t="shared" si="0"/>
        <v>0</v>
      </c>
      <c r="O88" s="82"/>
      <c r="P88" s="16"/>
      <c r="Q88" s="17">
        <f t="shared" si="1"/>
        <v>0</v>
      </c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90"/>
      <c r="AD88" s="82"/>
      <c r="AE88" s="82"/>
      <c r="AF88" s="82"/>
    </row>
    <row r="89" spans="1:32" ht="58.5" customHeight="1" x14ac:dyDescent="0.25">
      <c r="A89" s="56"/>
      <c r="B89" s="56"/>
      <c r="C89" s="56"/>
      <c r="D89" s="56"/>
      <c r="E89" s="57"/>
      <c r="F89" s="58"/>
      <c r="G89" s="56"/>
      <c r="H89" s="56"/>
      <c r="I89" s="59"/>
      <c r="J89" s="56"/>
      <c r="K89" s="56"/>
      <c r="L89" s="56"/>
      <c r="M89" s="60" t="s">
        <v>282</v>
      </c>
      <c r="N89" s="39">
        <f t="shared" ref="N89:O89" si="2">AVERAGE(N4:N88)</f>
        <v>6.4772349617813224E-2</v>
      </c>
      <c r="O89" s="39">
        <f t="shared" si="2"/>
        <v>4.9791932446388437E-2</v>
      </c>
      <c r="P89" s="60" t="s">
        <v>282</v>
      </c>
      <c r="Q89" s="61">
        <f>SUM(Q4:Q88)</f>
        <v>0</v>
      </c>
      <c r="R89" s="1"/>
      <c r="S89" s="1"/>
      <c r="T89" s="56"/>
      <c r="U89" s="56"/>
      <c r="V89" s="56"/>
      <c r="W89" s="56"/>
      <c r="X89" s="56"/>
      <c r="Y89" s="56"/>
      <c r="Z89" s="56"/>
      <c r="AA89" s="56"/>
      <c r="AB89" s="60" t="s">
        <v>282</v>
      </c>
      <c r="AC89" s="39">
        <f>AVERAGE(AC4:AC88)</f>
        <v>0</v>
      </c>
      <c r="AD89" s="62" t="s">
        <v>282</v>
      </c>
      <c r="AE89" s="40">
        <f>SUM(AE31:AE88)</f>
        <v>0</v>
      </c>
      <c r="AF89" s="39">
        <f>AVERAGE(AF4:AF88)</f>
        <v>0</v>
      </c>
    </row>
    <row r="90" spans="1:32" ht="58.5" customHeight="1" x14ac:dyDescent="0.25">
      <c r="A90" s="56"/>
      <c r="B90" s="56"/>
      <c r="C90" s="56"/>
      <c r="D90" s="56"/>
      <c r="E90" s="57"/>
      <c r="F90" s="58"/>
      <c r="G90" s="56"/>
      <c r="H90" s="56"/>
      <c r="I90" s="59"/>
      <c r="J90" s="56"/>
      <c r="K90" s="56"/>
      <c r="L90" s="56"/>
      <c r="M90" s="1"/>
      <c r="N90" s="1"/>
      <c r="O90" s="1"/>
      <c r="P90" s="1"/>
      <c r="Q90" s="1"/>
      <c r="R90" s="1"/>
      <c r="S90" s="1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</row>
    <row r="91" spans="1:32" ht="58.5" customHeight="1" x14ac:dyDescent="0.25">
      <c r="A91" s="56"/>
      <c r="B91" s="56"/>
      <c r="C91" s="56"/>
      <c r="D91" s="56"/>
      <c r="E91" s="57"/>
      <c r="F91" s="58"/>
      <c r="G91" s="56"/>
      <c r="H91" s="56"/>
      <c r="I91" s="59"/>
      <c r="J91" s="56"/>
      <c r="K91" s="56"/>
      <c r="L91" s="56"/>
      <c r="M91" s="1"/>
      <c r="N91" s="1"/>
      <c r="O91" s="1"/>
      <c r="P91" s="1"/>
      <c r="Q91" s="1"/>
      <c r="R91" s="1"/>
      <c r="S91" s="1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</row>
    <row r="92" spans="1:32" ht="58.5" customHeight="1" x14ac:dyDescent="0.25">
      <c r="A92" s="56"/>
      <c r="B92" s="56"/>
      <c r="C92" s="56"/>
      <c r="D92" s="56"/>
      <c r="E92" s="57"/>
      <c r="F92" s="58"/>
      <c r="G92" s="56"/>
      <c r="H92" s="56"/>
      <c r="I92" s="59"/>
      <c r="J92" s="56"/>
      <c r="K92" s="56"/>
      <c r="L92" s="56"/>
      <c r="M92" s="1"/>
      <c r="N92" s="1"/>
      <c r="O92" s="1"/>
      <c r="P92" s="1"/>
      <c r="Q92" s="1"/>
      <c r="R92" s="1"/>
      <c r="S92" s="1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</row>
    <row r="93" spans="1:32" ht="58.5" customHeight="1" x14ac:dyDescent="0.25">
      <c r="A93" s="56"/>
      <c r="B93" s="56"/>
      <c r="C93" s="56"/>
      <c r="D93" s="56"/>
      <c r="E93" s="57"/>
      <c r="F93" s="58"/>
      <c r="G93" s="56"/>
      <c r="H93" s="56"/>
      <c r="I93" s="59"/>
      <c r="J93" s="56"/>
      <c r="K93" s="56"/>
      <c r="L93" s="56"/>
      <c r="M93" s="1"/>
      <c r="N93" s="1"/>
      <c r="O93" s="1"/>
      <c r="P93" s="1"/>
      <c r="Q93" s="1"/>
      <c r="R93" s="1"/>
      <c r="S93" s="1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</row>
    <row r="94" spans="1:32" ht="58.5" customHeight="1" x14ac:dyDescent="0.25">
      <c r="A94" s="56"/>
      <c r="B94" s="56"/>
      <c r="C94" s="56"/>
      <c r="D94" s="56"/>
      <c r="E94" s="57"/>
      <c r="F94" s="58"/>
      <c r="G94" s="56"/>
      <c r="H94" s="56"/>
      <c r="I94" s="59"/>
      <c r="J94" s="56"/>
      <c r="K94" s="56"/>
      <c r="L94" s="56"/>
      <c r="M94" s="1"/>
      <c r="N94" s="1"/>
      <c r="O94" s="1"/>
      <c r="P94" s="1"/>
      <c r="Q94" s="1"/>
      <c r="R94" s="1"/>
      <c r="S94" s="1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</row>
    <row r="95" spans="1:32" ht="58.5" customHeight="1" x14ac:dyDescent="0.25">
      <c r="A95" s="56"/>
      <c r="B95" s="56"/>
      <c r="C95" s="56"/>
      <c r="D95" s="56"/>
      <c r="E95" s="57"/>
      <c r="F95" s="58"/>
      <c r="G95" s="56"/>
      <c r="H95" s="56"/>
      <c r="I95" s="59"/>
      <c r="J95" s="56"/>
      <c r="K95" s="56"/>
      <c r="L95" s="56"/>
      <c r="M95" s="1"/>
      <c r="N95" s="1"/>
      <c r="O95" s="1"/>
      <c r="P95" s="1"/>
      <c r="Q95" s="1"/>
      <c r="R95" s="1"/>
      <c r="S95" s="1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</row>
    <row r="96" spans="1:32" ht="58.5" customHeight="1" x14ac:dyDescent="0.25">
      <c r="A96" s="56"/>
      <c r="B96" s="56"/>
      <c r="C96" s="56"/>
      <c r="D96" s="56"/>
      <c r="E96" s="57"/>
      <c r="F96" s="58"/>
      <c r="G96" s="56"/>
      <c r="H96" s="56"/>
      <c r="I96" s="59"/>
      <c r="J96" s="56"/>
      <c r="K96" s="56"/>
      <c r="L96" s="56"/>
      <c r="M96" s="1"/>
      <c r="N96" s="1"/>
      <c r="O96" s="1"/>
      <c r="P96" s="1"/>
      <c r="Q96" s="1"/>
      <c r="R96" s="1"/>
      <c r="S96" s="1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</row>
    <row r="97" spans="1:32" ht="58.5" customHeight="1" x14ac:dyDescent="0.25">
      <c r="A97" s="56"/>
      <c r="B97" s="56"/>
      <c r="C97" s="56"/>
      <c r="D97" s="56"/>
      <c r="E97" s="57"/>
      <c r="F97" s="58"/>
      <c r="G97" s="56"/>
      <c r="H97" s="56"/>
      <c r="I97" s="59"/>
      <c r="J97" s="56"/>
      <c r="K97" s="56"/>
      <c r="L97" s="56"/>
      <c r="M97" s="1"/>
      <c r="N97" s="1"/>
      <c r="O97" s="1"/>
      <c r="P97" s="1"/>
      <c r="Q97" s="1"/>
      <c r="R97" s="1"/>
      <c r="S97" s="1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</row>
    <row r="98" spans="1:32" ht="58.5" customHeight="1" x14ac:dyDescent="0.25">
      <c r="A98" s="56"/>
      <c r="B98" s="56"/>
      <c r="C98" s="56"/>
      <c r="D98" s="56"/>
      <c r="E98" s="57"/>
      <c r="F98" s="58"/>
      <c r="G98" s="56"/>
      <c r="H98" s="56"/>
      <c r="I98" s="59"/>
      <c r="J98" s="56"/>
      <c r="K98" s="56"/>
      <c r="L98" s="56"/>
      <c r="M98" s="1"/>
      <c r="N98" s="1"/>
      <c r="O98" s="1"/>
      <c r="P98" s="1"/>
      <c r="Q98" s="1"/>
      <c r="R98" s="1"/>
      <c r="S98" s="1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</row>
    <row r="99" spans="1:32" ht="58.5" customHeight="1" x14ac:dyDescent="0.25">
      <c r="A99" s="56"/>
      <c r="B99" s="56"/>
      <c r="C99" s="56"/>
      <c r="D99" s="56"/>
      <c r="E99" s="57"/>
      <c r="F99" s="58"/>
      <c r="G99" s="56"/>
      <c r="H99" s="56"/>
      <c r="I99" s="59"/>
      <c r="J99" s="56"/>
      <c r="K99" s="56"/>
      <c r="L99" s="56"/>
      <c r="M99" s="1"/>
      <c r="N99" s="1"/>
      <c r="O99" s="1"/>
      <c r="P99" s="1"/>
      <c r="Q99" s="1"/>
      <c r="R99" s="1"/>
      <c r="S99" s="1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</row>
    <row r="100" spans="1:32" ht="58.5" customHeight="1" x14ac:dyDescent="0.25">
      <c r="A100" s="56"/>
      <c r="B100" s="56"/>
      <c r="C100" s="56"/>
      <c r="D100" s="56"/>
      <c r="E100" s="57"/>
      <c r="F100" s="58"/>
      <c r="G100" s="56"/>
      <c r="H100" s="56"/>
      <c r="I100" s="59"/>
      <c r="J100" s="56"/>
      <c r="K100" s="56"/>
      <c r="L100" s="56"/>
      <c r="M100" s="1"/>
      <c r="N100" s="1"/>
      <c r="O100" s="1"/>
      <c r="P100" s="1"/>
      <c r="Q100" s="1"/>
      <c r="R100" s="1"/>
      <c r="S100" s="1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</row>
    <row r="101" spans="1:32" ht="58.5" customHeight="1" x14ac:dyDescent="0.25">
      <c r="A101" s="56"/>
      <c r="B101" s="56"/>
      <c r="C101" s="56"/>
      <c r="D101" s="56"/>
      <c r="E101" s="57"/>
      <c r="F101" s="58"/>
      <c r="G101" s="56"/>
      <c r="H101" s="56"/>
      <c r="I101" s="59"/>
      <c r="J101" s="56"/>
      <c r="K101" s="56"/>
      <c r="L101" s="56"/>
      <c r="M101" s="1"/>
      <c r="N101" s="1"/>
      <c r="O101" s="1"/>
      <c r="P101" s="1"/>
      <c r="Q101" s="1"/>
      <c r="R101" s="1"/>
      <c r="S101" s="1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</row>
    <row r="102" spans="1:32" ht="58.5" customHeight="1" x14ac:dyDescent="0.25">
      <c r="A102" s="56"/>
      <c r="B102" s="56"/>
      <c r="C102" s="56"/>
      <c r="D102" s="56"/>
      <c r="E102" s="57"/>
      <c r="F102" s="58"/>
      <c r="G102" s="56"/>
      <c r="H102" s="56"/>
      <c r="I102" s="59"/>
      <c r="J102" s="56"/>
      <c r="K102" s="56"/>
      <c r="L102" s="56"/>
      <c r="M102" s="1"/>
      <c r="N102" s="1"/>
      <c r="O102" s="1"/>
      <c r="P102" s="1"/>
      <c r="Q102" s="1"/>
      <c r="R102" s="1"/>
      <c r="S102" s="1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</row>
    <row r="103" spans="1:32" ht="58.5" customHeight="1" x14ac:dyDescent="0.25">
      <c r="A103" s="56"/>
      <c r="B103" s="56"/>
      <c r="C103" s="56"/>
      <c r="D103" s="56"/>
      <c r="E103" s="57"/>
      <c r="F103" s="58"/>
      <c r="G103" s="56"/>
      <c r="H103" s="56"/>
      <c r="I103" s="59"/>
      <c r="J103" s="56"/>
      <c r="K103" s="56"/>
      <c r="L103" s="56"/>
      <c r="M103" s="1"/>
      <c r="N103" s="1"/>
      <c r="O103" s="1"/>
      <c r="P103" s="1"/>
      <c r="Q103" s="1"/>
      <c r="R103" s="1"/>
      <c r="S103" s="1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</row>
    <row r="104" spans="1:32" ht="58.5" customHeight="1" x14ac:dyDescent="0.25">
      <c r="A104" s="56"/>
      <c r="B104" s="56"/>
      <c r="C104" s="56"/>
      <c r="D104" s="56"/>
      <c r="E104" s="57"/>
      <c r="F104" s="58"/>
      <c r="G104" s="56"/>
      <c r="H104" s="56"/>
      <c r="I104" s="59"/>
      <c r="J104" s="56"/>
      <c r="K104" s="56"/>
      <c r="L104" s="56"/>
      <c r="M104" s="1"/>
      <c r="N104" s="1"/>
      <c r="O104" s="1"/>
      <c r="P104" s="1"/>
      <c r="Q104" s="1"/>
      <c r="R104" s="1"/>
      <c r="S104" s="1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</row>
    <row r="105" spans="1:32" ht="58.5" customHeight="1" x14ac:dyDescent="0.25">
      <c r="A105" s="56"/>
      <c r="B105" s="56"/>
      <c r="C105" s="56"/>
      <c r="D105" s="56"/>
      <c r="E105" s="57"/>
      <c r="F105" s="58"/>
      <c r="G105" s="56"/>
      <c r="H105" s="56"/>
      <c r="I105" s="59"/>
      <c r="J105" s="56"/>
      <c r="K105" s="56"/>
      <c r="L105" s="56"/>
      <c r="M105" s="1"/>
      <c r="N105" s="1"/>
      <c r="O105" s="1"/>
      <c r="P105" s="1"/>
      <c r="Q105" s="1"/>
      <c r="R105" s="1"/>
      <c r="S105" s="1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</row>
    <row r="106" spans="1:32" ht="58.5" customHeight="1" x14ac:dyDescent="0.25">
      <c r="A106" s="56"/>
      <c r="B106" s="56"/>
      <c r="C106" s="56"/>
      <c r="D106" s="56"/>
      <c r="E106" s="57"/>
      <c r="F106" s="58"/>
      <c r="G106" s="56"/>
      <c r="H106" s="56"/>
      <c r="I106" s="59"/>
      <c r="J106" s="56"/>
      <c r="K106" s="56"/>
      <c r="L106" s="56"/>
      <c r="M106" s="1"/>
      <c r="N106" s="1"/>
      <c r="O106" s="1"/>
      <c r="P106" s="1"/>
      <c r="Q106" s="1"/>
      <c r="R106" s="1"/>
      <c r="S106" s="1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</row>
    <row r="107" spans="1:32" ht="58.5" customHeight="1" x14ac:dyDescent="0.25">
      <c r="A107" s="56"/>
      <c r="B107" s="56"/>
      <c r="C107" s="56"/>
      <c r="D107" s="56"/>
      <c r="E107" s="57"/>
      <c r="F107" s="58"/>
      <c r="G107" s="56"/>
      <c r="H107" s="56"/>
      <c r="I107" s="59"/>
      <c r="J107" s="56"/>
      <c r="K107" s="56"/>
      <c r="L107" s="56"/>
      <c r="M107" s="1"/>
      <c r="N107" s="46"/>
      <c r="O107" s="46"/>
      <c r="P107" s="1"/>
      <c r="Q107" s="1"/>
      <c r="R107" s="1"/>
      <c r="S107" s="1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</row>
    <row r="108" spans="1:32" ht="58.5" customHeight="1" x14ac:dyDescent="0.25">
      <c r="A108" s="56"/>
      <c r="B108" s="56"/>
      <c r="C108" s="56"/>
      <c r="D108" s="56"/>
      <c r="E108" s="57"/>
      <c r="F108" s="58"/>
      <c r="G108" s="56"/>
      <c r="H108" s="56"/>
      <c r="I108" s="59"/>
      <c r="J108" s="56"/>
      <c r="K108" s="56"/>
      <c r="L108" s="56"/>
      <c r="M108" s="1"/>
      <c r="N108" s="46"/>
      <c r="O108" s="46"/>
      <c r="P108" s="1"/>
      <c r="Q108" s="1"/>
      <c r="R108" s="1"/>
      <c r="S108" s="1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</row>
    <row r="109" spans="1:32" ht="58.5" customHeight="1" x14ac:dyDescent="0.25">
      <c r="A109" s="56"/>
      <c r="B109" s="56"/>
      <c r="C109" s="56"/>
      <c r="D109" s="56"/>
      <c r="E109" s="57"/>
      <c r="F109" s="58"/>
      <c r="G109" s="56"/>
      <c r="H109" s="56"/>
      <c r="I109" s="59"/>
      <c r="J109" s="56"/>
      <c r="K109" s="56"/>
      <c r="L109" s="56"/>
      <c r="M109" s="1"/>
      <c r="N109" s="1"/>
      <c r="O109" s="1"/>
      <c r="P109" s="1"/>
      <c r="Q109" s="1"/>
      <c r="R109" s="1"/>
      <c r="S109" s="1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</row>
    <row r="110" spans="1:32" ht="58.5" customHeight="1" x14ac:dyDescent="0.25">
      <c r="A110" s="56"/>
      <c r="B110" s="56"/>
      <c r="C110" s="56"/>
      <c r="D110" s="56"/>
      <c r="E110" s="57"/>
      <c r="F110" s="58"/>
      <c r="G110" s="56"/>
      <c r="H110" s="56"/>
      <c r="I110" s="59"/>
      <c r="J110" s="56"/>
      <c r="K110" s="56"/>
      <c r="L110" s="56"/>
      <c r="M110" s="1"/>
      <c r="N110" s="1"/>
      <c r="O110" s="1"/>
      <c r="P110" s="1"/>
      <c r="Q110" s="1"/>
      <c r="R110" s="1"/>
      <c r="S110" s="1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</row>
    <row r="111" spans="1:32" ht="58.5" customHeight="1" x14ac:dyDescent="0.25">
      <c r="A111" s="56"/>
      <c r="B111" s="56"/>
      <c r="C111" s="56"/>
      <c r="D111" s="56"/>
      <c r="E111" s="57"/>
      <c r="F111" s="58"/>
      <c r="G111" s="56"/>
      <c r="H111" s="56"/>
      <c r="I111" s="59"/>
      <c r="J111" s="56"/>
      <c r="K111" s="56"/>
      <c r="L111" s="56"/>
      <c r="M111" s="1"/>
      <c r="N111" s="1"/>
      <c r="O111" s="1"/>
      <c r="P111" s="1"/>
      <c r="Q111" s="1"/>
      <c r="R111" s="1"/>
      <c r="S111" s="1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</row>
    <row r="112" spans="1:32" ht="58.5" customHeight="1" x14ac:dyDescent="0.25">
      <c r="A112" s="56"/>
      <c r="B112" s="56"/>
      <c r="C112" s="56"/>
      <c r="D112" s="56"/>
      <c r="E112" s="57"/>
      <c r="F112" s="58"/>
      <c r="G112" s="56"/>
      <c r="H112" s="56"/>
      <c r="I112" s="59"/>
      <c r="J112" s="56"/>
      <c r="K112" s="56"/>
      <c r="L112" s="56"/>
      <c r="M112" s="1"/>
      <c r="N112" s="1"/>
      <c r="O112" s="1"/>
      <c r="P112" s="1"/>
      <c r="Q112" s="1"/>
      <c r="R112" s="1"/>
      <c r="S112" s="1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</row>
    <row r="113" spans="1:32" ht="58.5" customHeight="1" x14ac:dyDescent="0.25">
      <c r="A113" s="56"/>
      <c r="B113" s="56"/>
      <c r="C113" s="56"/>
      <c r="D113" s="56"/>
      <c r="E113" s="57"/>
      <c r="F113" s="58"/>
      <c r="G113" s="56"/>
      <c r="H113" s="56"/>
      <c r="I113" s="59"/>
      <c r="J113" s="56"/>
      <c r="K113" s="56"/>
      <c r="L113" s="56"/>
      <c r="M113" s="1"/>
      <c r="N113" s="1"/>
      <c r="O113" s="1"/>
      <c r="P113" s="1"/>
      <c r="Q113" s="1"/>
      <c r="R113" s="1"/>
      <c r="S113" s="1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</row>
    <row r="114" spans="1:32" ht="58.5" customHeight="1" x14ac:dyDescent="0.25">
      <c r="A114" s="56"/>
      <c r="B114" s="56"/>
      <c r="C114" s="56"/>
      <c r="D114" s="56"/>
      <c r="E114" s="57"/>
      <c r="F114" s="58"/>
      <c r="G114" s="56"/>
      <c r="H114" s="56"/>
      <c r="I114" s="59"/>
      <c r="J114" s="56"/>
      <c r="K114" s="56"/>
      <c r="L114" s="56"/>
      <c r="M114" s="1"/>
      <c r="N114" s="1"/>
      <c r="O114" s="1"/>
      <c r="P114" s="1"/>
      <c r="Q114" s="1"/>
      <c r="R114" s="1"/>
      <c r="S114" s="1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</row>
    <row r="115" spans="1:32" ht="58.5" customHeight="1" x14ac:dyDescent="0.25">
      <c r="A115" s="56"/>
      <c r="B115" s="56"/>
      <c r="C115" s="56"/>
      <c r="D115" s="56"/>
      <c r="E115" s="57"/>
      <c r="F115" s="58"/>
      <c r="G115" s="56"/>
      <c r="H115" s="56"/>
      <c r="I115" s="59"/>
      <c r="J115" s="56"/>
      <c r="K115" s="56"/>
      <c r="L115" s="56"/>
      <c r="M115" s="1"/>
      <c r="N115" s="1"/>
      <c r="O115" s="1"/>
      <c r="P115" s="1"/>
      <c r="Q115" s="1"/>
      <c r="R115" s="1"/>
      <c r="S115" s="1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</row>
    <row r="116" spans="1:32" ht="58.5" customHeight="1" x14ac:dyDescent="0.25">
      <c r="A116" s="56"/>
      <c r="B116" s="56"/>
      <c r="C116" s="56"/>
      <c r="D116" s="56"/>
      <c r="E116" s="57"/>
      <c r="F116" s="58"/>
      <c r="G116" s="56"/>
      <c r="H116" s="56"/>
      <c r="I116" s="59"/>
      <c r="J116" s="56"/>
      <c r="K116" s="56"/>
      <c r="L116" s="56"/>
      <c r="M116" s="1"/>
      <c r="N116" s="1"/>
      <c r="O116" s="1"/>
      <c r="P116" s="1"/>
      <c r="Q116" s="1"/>
      <c r="R116" s="1"/>
      <c r="S116" s="1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</row>
    <row r="117" spans="1:32" ht="58.5" customHeight="1" x14ac:dyDescent="0.25">
      <c r="A117" s="56"/>
      <c r="B117" s="56"/>
      <c r="C117" s="56"/>
      <c r="D117" s="56"/>
      <c r="E117" s="57"/>
      <c r="F117" s="58"/>
      <c r="G117" s="56"/>
      <c r="H117" s="56"/>
      <c r="I117" s="59"/>
      <c r="J117" s="56"/>
      <c r="K117" s="56"/>
      <c r="L117" s="56"/>
      <c r="M117" s="1"/>
      <c r="N117" s="1"/>
      <c r="O117" s="1"/>
      <c r="P117" s="1"/>
      <c r="Q117" s="1"/>
      <c r="R117" s="1"/>
      <c r="S117" s="1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</row>
    <row r="118" spans="1:32" ht="58.5" customHeight="1" x14ac:dyDescent="0.25">
      <c r="A118" s="56"/>
      <c r="B118" s="56"/>
      <c r="C118" s="56"/>
      <c r="D118" s="56"/>
      <c r="E118" s="57"/>
      <c r="F118" s="58"/>
      <c r="G118" s="56"/>
      <c r="H118" s="56"/>
      <c r="I118" s="59"/>
      <c r="J118" s="56"/>
      <c r="K118" s="56"/>
      <c r="L118" s="56"/>
      <c r="M118" s="1"/>
      <c r="N118" s="1"/>
      <c r="O118" s="1"/>
      <c r="P118" s="1"/>
      <c r="Q118" s="1"/>
      <c r="R118" s="1"/>
      <c r="S118" s="1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</row>
    <row r="119" spans="1:32" ht="58.5" customHeight="1" x14ac:dyDescent="0.25">
      <c r="A119" s="56"/>
      <c r="B119" s="56"/>
      <c r="C119" s="56"/>
      <c r="D119" s="56"/>
      <c r="E119" s="57"/>
      <c r="F119" s="58"/>
      <c r="G119" s="56"/>
      <c r="H119" s="56"/>
      <c r="I119" s="59"/>
      <c r="J119" s="56"/>
      <c r="K119" s="56"/>
      <c r="L119" s="56"/>
      <c r="M119" s="1"/>
      <c r="N119" s="1"/>
      <c r="O119" s="1"/>
      <c r="P119" s="1"/>
      <c r="Q119" s="1"/>
      <c r="R119" s="1"/>
      <c r="S119" s="1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</row>
    <row r="120" spans="1:32" ht="58.5" customHeight="1" x14ac:dyDescent="0.25">
      <c r="A120" s="56"/>
      <c r="B120" s="56"/>
      <c r="C120" s="56"/>
      <c r="D120" s="56"/>
      <c r="E120" s="57"/>
      <c r="F120" s="58"/>
      <c r="G120" s="56"/>
      <c r="H120" s="56"/>
      <c r="I120" s="59"/>
      <c r="J120" s="56"/>
      <c r="K120" s="56"/>
      <c r="L120" s="56"/>
      <c r="M120" s="1"/>
      <c r="N120" s="1"/>
      <c r="O120" s="1"/>
      <c r="P120" s="1"/>
      <c r="Q120" s="1"/>
      <c r="R120" s="1"/>
      <c r="S120" s="1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</row>
    <row r="121" spans="1:32" ht="58.5" customHeight="1" x14ac:dyDescent="0.25">
      <c r="A121" s="56"/>
      <c r="B121" s="56"/>
      <c r="C121" s="56"/>
      <c r="D121" s="56"/>
      <c r="E121" s="57"/>
      <c r="F121" s="58"/>
      <c r="G121" s="56"/>
      <c r="H121" s="56"/>
      <c r="I121" s="59"/>
      <c r="J121" s="56"/>
      <c r="K121" s="56"/>
      <c r="L121" s="56"/>
      <c r="M121" s="1"/>
      <c r="N121" s="1"/>
      <c r="O121" s="1"/>
      <c r="P121" s="1"/>
      <c r="Q121" s="1"/>
      <c r="R121" s="1"/>
      <c r="S121" s="1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</row>
    <row r="122" spans="1:32" ht="58.5" customHeight="1" x14ac:dyDescent="0.25">
      <c r="A122" s="56"/>
      <c r="B122" s="56"/>
      <c r="C122" s="56"/>
      <c r="D122" s="56"/>
      <c r="E122" s="57"/>
      <c r="F122" s="58"/>
      <c r="G122" s="56"/>
      <c r="H122" s="56"/>
      <c r="I122" s="59"/>
      <c r="J122" s="56"/>
      <c r="K122" s="56"/>
      <c r="L122" s="56"/>
      <c r="M122" s="1"/>
      <c r="N122" s="1"/>
      <c r="O122" s="1"/>
      <c r="P122" s="1"/>
      <c r="Q122" s="1"/>
      <c r="R122" s="1"/>
      <c r="S122" s="1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</row>
    <row r="123" spans="1:32" ht="58.5" customHeight="1" x14ac:dyDescent="0.25">
      <c r="A123" s="56"/>
      <c r="B123" s="56"/>
      <c r="C123" s="56"/>
      <c r="D123" s="56"/>
      <c r="E123" s="57"/>
      <c r="F123" s="58"/>
      <c r="G123" s="56"/>
      <c r="H123" s="56"/>
      <c r="I123" s="59"/>
      <c r="J123" s="56"/>
      <c r="K123" s="56"/>
      <c r="L123" s="56"/>
      <c r="M123" s="1"/>
      <c r="N123" s="1"/>
      <c r="O123" s="1"/>
      <c r="P123" s="1"/>
      <c r="Q123" s="1"/>
      <c r="R123" s="1"/>
      <c r="S123" s="1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</row>
    <row r="124" spans="1:32" ht="58.5" customHeight="1" x14ac:dyDescent="0.25">
      <c r="A124" s="56"/>
      <c r="B124" s="56"/>
      <c r="C124" s="56"/>
      <c r="D124" s="56"/>
      <c r="E124" s="57"/>
      <c r="F124" s="58"/>
      <c r="G124" s="56"/>
      <c r="H124" s="56"/>
      <c r="I124" s="59"/>
      <c r="J124" s="56"/>
      <c r="K124" s="56"/>
      <c r="L124" s="56"/>
      <c r="M124" s="1"/>
      <c r="N124" s="1"/>
      <c r="O124" s="1"/>
      <c r="P124" s="1"/>
      <c r="Q124" s="1"/>
      <c r="R124" s="1"/>
      <c r="S124" s="1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</row>
    <row r="125" spans="1:32" ht="58.5" customHeight="1" x14ac:dyDescent="0.25">
      <c r="A125" s="56"/>
      <c r="B125" s="56"/>
      <c r="C125" s="56"/>
      <c r="D125" s="56"/>
      <c r="E125" s="57"/>
      <c r="F125" s="58"/>
      <c r="G125" s="56"/>
      <c r="H125" s="56"/>
      <c r="I125" s="59"/>
      <c r="J125" s="56"/>
      <c r="K125" s="56"/>
      <c r="L125" s="56"/>
      <c r="M125" s="1"/>
      <c r="N125" s="1"/>
      <c r="O125" s="1"/>
      <c r="P125" s="1"/>
      <c r="Q125" s="1"/>
      <c r="R125" s="1"/>
      <c r="S125" s="1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</row>
    <row r="126" spans="1:32" ht="58.5" customHeight="1" x14ac:dyDescent="0.25">
      <c r="A126" s="56"/>
      <c r="B126" s="56"/>
      <c r="C126" s="56"/>
      <c r="D126" s="56"/>
      <c r="E126" s="57"/>
      <c r="F126" s="58"/>
      <c r="G126" s="56"/>
      <c r="H126" s="56"/>
      <c r="I126" s="59"/>
      <c r="J126" s="56"/>
      <c r="K126" s="56"/>
      <c r="L126" s="56"/>
      <c r="M126" s="1"/>
      <c r="N126" s="1"/>
      <c r="O126" s="1"/>
      <c r="P126" s="1"/>
      <c r="Q126" s="1"/>
      <c r="R126" s="1"/>
      <c r="S126" s="1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</row>
    <row r="127" spans="1:32" ht="58.5" customHeight="1" x14ac:dyDescent="0.25">
      <c r="A127" s="56"/>
      <c r="B127" s="56"/>
      <c r="C127" s="56"/>
      <c r="D127" s="56"/>
      <c r="E127" s="57"/>
      <c r="F127" s="58"/>
      <c r="G127" s="56"/>
      <c r="H127" s="56"/>
      <c r="I127" s="59"/>
      <c r="J127" s="56"/>
      <c r="K127" s="56"/>
      <c r="L127" s="56"/>
      <c r="M127" s="1"/>
      <c r="N127" s="1"/>
      <c r="O127" s="1"/>
      <c r="P127" s="1"/>
      <c r="Q127" s="1"/>
      <c r="R127" s="1"/>
      <c r="S127" s="1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</row>
    <row r="128" spans="1:32" ht="58.5" customHeight="1" x14ac:dyDescent="0.25">
      <c r="A128" s="56"/>
      <c r="B128" s="56"/>
      <c r="C128" s="56"/>
      <c r="D128" s="56"/>
      <c r="E128" s="57"/>
      <c r="F128" s="58"/>
      <c r="G128" s="56"/>
      <c r="H128" s="56"/>
      <c r="I128" s="59"/>
      <c r="J128" s="56"/>
      <c r="K128" s="56"/>
      <c r="L128" s="56"/>
      <c r="M128" s="1"/>
      <c r="N128" s="1"/>
      <c r="O128" s="1"/>
      <c r="P128" s="1"/>
      <c r="Q128" s="1"/>
      <c r="R128" s="1"/>
      <c r="S128" s="1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</row>
    <row r="129" spans="1:32" ht="58.5" customHeight="1" x14ac:dyDescent="0.25">
      <c r="A129" s="56"/>
      <c r="B129" s="56"/>
      <c r="C129" s="56"/>
      <c r="D129" s="56"/>
      <c r="E129" s="57"/>
      <c r="F129" s="58"/>
      <c r="G129" s="56"/>
      <c r="H129" s="56"/>
      <c r="I129" s="59"/>
      <c r="J129" s="56"/>
      <c r="K129" s="56"/>
      <c r="L129" s="56"/>
      <c r="M129" s="1"/>
      <c r="N129" s="1"/>
      <c r="O129" s="1"/>
      <c r="P129" s="1"/>
      <c r="Q129" s="1"/>
      <c r="R129" s="1"/>
      <c r="S129" s="1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</row>
    <row r="130" spans="1:32" ht="58.5" customHeight="1" x14ac:dyDescent="0.25">
      <c r="A130" s="56"/>
      <c r="B130" s="56"/>
      <c r="C130" s="56"/>
      <c r="D130" s="56"/>
      <c r="E130" s="57"/>
      <c r="F130" s="58"/>
      <c r="G130" s="56"/>
      <c r="H130" s="56"/>
      <c r="I130" s="59"/>
      <c r="J130" s="56"/>
      <c r="K130" s="56"/>
      <c r="L130" s="56"/>
      <c r="M130" s="1"/>
      <c r="N130" s="1"/>
      <c r="O130" s="1"/>
      <c r="P130" s="1"/>
      <c r="Q130" s="1"/>
      <c r="R130" s="1"/>
      <c r="S130" s="1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</row>
    <row r="131" spans="1:32" ht="58.5" customHeight="1" x14ac:dyDescent="0.25">
      <c r="A131" s="56"/>
      <c r="B131" s="56"/>
      <c r="C131" s="56"/>
      <c r="D131" s="56"/>
      <c r="E131" s="57"/>
      <c r="F131" s="58"/>
      <c r="G131" s="56"/>
      <c r="H131" s="56"/>
      <c r="I131" s="59"/>
      <c r="J131" s="56"/>
      <c r="K131" s="56"/>
      <c r="L131" s="56"/>
      <c r="M131" s="1"/>
      <c r="N131" s="1"/>
      <c r="O131" s="1"/>
      <c r="P131" s="1"/>
      <c r="Q131" s="1"/>
      <c r="R131" s="1"/>
      <c r="S131" s="1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</row>
    <row r="132" spans="1:32" ht="58.5" customHeight="1" x14ac:dyDescent="0.25">
      <c r="A132" s="56"/>
      <c r="B132" s="56"/>
      <c r="C132" s="56"/>
      <c r="D132" s="56"/>
      <c r="E132" s="57"/>
      <c r="F132" s="58"/>
      <c r="G132" s="56"/>
      <c r="H132" s="56"/>
      <c r="I132" s="59"/>
      <c r="J132" s="56"/>
      <c r="K132" s="56"/>
      <c r="L132" s="56"/>
      <c r="M132" s="1"/>
      <c r="N132" s="1"/>
      <c r="O132" s="1"/>
      <c r="P132" s="1"/>
      <c r="Q132" s="1"/>
      <c r="R132" s="1"/>
      <c r="S132" s="1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</row>
    <row r="133" spans="1:32" ht="58.5" customHeight="1" x14ac:dyDescent="0.25">
      <c r="A133" s="56"/>
      <c r="B133" s="56"/>
      <c r="C133" s="56"/>
      <c r="D133" s="56"/>
      <c r="E133" s="57"/>
      <c r="F133" s="58"/>
      <c r="G133" s="56"/>
      <c r="H133" s="56"/>
      <c r="I133" s="59"/>
      <c r="J133" s="56"/>
      <c r="K133" s="56"/>
      <c r="L133" s="56"/>
      <c r="M133" s="1"/>
      <c r="N133" s="1"/>
      <c r="O133" s="1"/>
      <c r="P133" s="1"/>
      <c r="Q133" s="1"/>
      <c r="R133" s="1"/>
      <c r="S133" s="1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</row>
    <row r="134" spans="1:32" ht="58.5" customHeight="1" x14ac:dyDescent="0.25">
      <c r="A134" s="56"/>
      <c r="B134" s="56"/>
      <c r="C134" s="56"/>
      <c r="D134" s="56"/>
      <c r="E134" s="57"/>
      <c r="F134" s="58"/>
      <c r="G134" s="56"/>
      <c r="H134" s="56"/>
      <c r="I134" s="59"/>
      <c r="J134" s="56"/>
      <c r="K134" s="56"/>
      <c r="L134" s="56"/>
      <c r="M134" s="1"/>
      <c r="N134" s="1"/>
      <c r="O134" s="1"/>
      <c r="P134" s="1"/>
      <c r="Q134" s="1"/>
      <c r="R134" s="1"/>
      <c r="S134" s="1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</row>
    <row r="135" spans="1:32" ht="58.5" customHeight="1" x14ac:dyDescent="0.25">
      <c r="A135" s="56"/>
      <c r="B135" s="56"/>
      <c r="C135" s="56"/>
      <c r="D135" s="56"/>
      <c r="E135" s="57"/>
      <c r="F135" s="58"/>
      <c r="G135" s="56"/>
      <c r="H135" s="56"/>
      <c r="I135" s="59"/>
      <c r="J135" s="56"/>
      <c r="K135" s="56"/>
      <c r="L135" s="56"/>
      <c r="M135" s="1"/>
      <c r="N135" s="1"/>
      <c r="O135" s="1"/>
      <c r="P135" s="1"/>
      <c r="Q135" s="1"/>
      <c r="R135" s="1"/>
      <c r="S135" s="1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</row>
    <row r="136" spans="1:32" ht="58.5" customHeight="1" x14ac:dyDescent="0.25">
      <c r="A136" s="56"/>
      <c r="B136" s="56"/>
      <c r="C136" s="56"/>
      <c r="D136" s="56"/>
      <c r="E136" s="57"/>
      <c r="F136" s="58"/>
      <c r="G136" s="56"/>
      <c r="H136" s="56"/>
      <c r="I136" s="59"/>
      <c r="J136" s="56"/>
      <c r="K136" s="56"/>
      <c r="L136" s="56"/>
      <c r="M136" s="1"/>
      <c r="N136" s="1"/>
      <c r="O136" s="1"/>
      <c r="P136" s="1"/>
      <c r="Q136" s="1"/>
      <c r="R136" s="1"/>
      <c r="S136" s="1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</row>
    <row r="137" spans="1:32" ht="58.5" customHeight="1" x14ac:dyDescent="0.25">
      <c r="A137" s="56"/>
      <c r="B137" s="56"/>
      <c r="C137" s="56"/>
      <c r="D137" s="56"/>
      <c r="E137" s="57"/>
      <c r="F137" s="58"/>
      <c r="G137" s="56"/>
      <c r="H137" s="56"/>
      <c r="I137" s="59"/>
      <c r="J137" s="56"/>
      <c r="K137" s="56"/>
      <c r="L137" s="56"/>
      <c r="M137" s="1"/>
      <c r="N137" s="1"/>
      <c r="O137" s="1"/>
      <c r="P137" s="1"/>
      <c r="Q137" s="1"/>
      <c r="R137" s="1"/>
      <c r="S137" s="1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</row>
    <row r="138" spans="1:32" ht="58.5" customHeight="1" x14ac:dyDescent="0.25">
      <c r="A138" s="56"/>
      <c r="B138" s="56"/>
      <c r="C138" s="56"/>
      <c r="D138" s="56"/>
      <c r="E138" s="57"/>
      <c r="F138" s="58"/>
      <c r="G138" s="56"/>
      <c r="H138" s="56"/>
      <c r="I138" s="59"/>
      <c r="J138" s="56"/>
      <c r="K138" s="56"/>
      <c r="L138" s="56"/>
      <c r="M138" s="1"/>
      <c r="N138" s="1"/>
      <c r="O138" s="1"/>
      <c r="P138" s="1"/>
      <c r="Q138" s="1"/>
      <c r="R138" s="1"/>
      <c r="S138" s="1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</row>
    <row r="139" spans="1:32" ht="58.5" customHeight="1" x14ac:dyDescent="0.25">
      <c r="A139" s="56"/>
      <c r="B139" s="56"/>
      <c r="C139" s="56"/>
      <c r="D139" s="56"/>
      <c r="E139" s="57"/>
      <c r="F139" s="58"/>
      <c r="G139" s="56"/>
      <c r="H139" s="56"/>
      <c r="I139" s="59"/>
      <c r="J139" s="56"/>
      <c r="K139" s="56"/>
      <c r="L139" s="56"/>
      <c r="M139" s="1"/>
      <c r="N139" s="1"/>
      <c r="O139" s="1"/>
      <c r="P139" s="1"/>
      <c r="Q139" s="1"/>
      <c r="R139" s="1"/>
      <c r="S139" s="1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</row>
    <row r="140" spans="1:32" ht="58.5" customHeight="1" x14ac:dyDescent="0.25">
      <c r="A140" s="56"/>
      <c r="B140" s="56"/>
      <c r="C140" s="56"/>
      <c r="D140" s="56"/>
      <c r="E140" s="57"/>
      <c r="F140" s="58"/>
      <c r="G140" s="56"/>
      <c r="H140" s="56"/>
      <c r="I140" s="59"/>
      <c r="J140" s="56"/>
      <c r="K140" s="56"/>
      <c r="L140" s="56"/>
      <c r="M140" s="1"/>
      <c r="N140" s="1"/>
      <c r="O140" s="1"/>
      <c r="P140" s="1"/>
      <c r="Q140" s="1"/>
      <c r="R140" s="1"/>
      <c r="S140" s="1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</row>
    <row r="141" spans="1:32" ht="58.5" customHeight="1" x14ac:dyDescent="0.25">
      <c r="A141" s="56"/>
      <c r="B141" s="56"/>
      <c r="C141" s="56"/>
      <c r="D141" s="56"/>
      <c r="E141" s="57"/>
      <c r="F141" s="58"/>
      <c r="G141" s="56"/>
      <c r="H141" s="56"/>
      <c r="I141" s="59"/>
      <c r="J141" s="56"/>
      <c r="K141" s="56"/>
      <c r="L141" s="56"/>
      <c r="M141" s="1"/>
      <c r="N141" s="1"/>
      <c r="O141" s="1"/>
      <c r="P141" s="1"/>
      <c r="Q141" s="1"/>
      <c r="R141" s="1"/>
      <c r="S141" s="1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</row>
    <row r="142" spans="1:32" ht="58.5" customHeight="1" x14ac:dyDescent="0.25">
      <c r="A142" s="56"/>
      <c r="B142" s="56"/>
      <c r="C142" s="56"/>
      <c r="D142" s="56"/>
      <c r="E142" s="57"/>
      <c r="F142" s="58"/>
      <c r="G142" s="56"/>
      <c r="H142" s="56"/>
      <c r="I142" s="59"/>
      <c r="J142" s="56"/>
      <c r="K142" s="56"/>
      <c r="L142" s="56"/>
      <c r="M142" s="1"/>
      <c r="N142" s="1"/>
      <c r="O142" s="1"/>
      <c r="P142" s="1"/>
      <c r="Q142" s="1"/>
      <c r="R142" s="1"/>
      <c r="S142" s="1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</row>
    <row r="143" spans="1:32" ht="58.5" customHeight="1" x14ac:dyDescent="0.25">
      <c r="A143" s="56"/>
      <c r="B143" s="56"/>
      <c r="C143" s="56"/>
      <c r="D143" s="56"/>
      <c r="E143" s="57"/>
      <c r="F143" s="58"/>
      <c r="G143" s="56"/>
      <c r="H143" s="56"/>
      <c r="I143" s="59"/>
      <c r="J143" s="56"/>
      <c r="K143" s="56"/>
      <c r="L143" s="56"/>
      <c r="M143" s="1"/>
      <c r="N143" s="1"/>
      <c r="O143" s="1"/>
      <c r="P143" s="1"/>
      <c r="Q143" s="1"/>
      <c r="R143" s="1"/>
      <c r="S143" s="1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</row>
    <row r="144" spans="1:32" ht="58.5" customHeight="1" x14ac:dyDescent="0.25">
      <c r="A144" s="56"/>
      <c r="B144" s="56"/>
      <c r="C144" s="56"/>
      <c r="D144" s="56"/>
      <c r="E144" s="57"/>
      <c r="F144" s="58"/>
      <c r="G144" s="56"/>
      <c r="H144" s="56"/>
      <c r="I144" s="59"/>
      <c r="J144" s="56"/>
      <c r="K144" s="56"/>
      <c r="L144" s="56"/>
      <c r="M144" s="1"/>
      <c r="N144" s="1"/>
      <c r="O144" s="1"/>
      <c r="P144" s="1"/>
      <c r="Q144" s="1"/>
      <c r="R144" s="1"/>
      <c r="S144" s="1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</row>
    <row r="145" spans="1:32" ht="58.5" customHeight="1" x14ac:dyDescent="0.25">
      <c r="A145" s="56"/>
      <c r="B145" s="56"/>
      <c r="C145" s="56"/>
      <c r="D145" s="56"/>
      <c r="E145" s="57"/>
      <c r="F145" s="58"/>
      <c r="G145" s="56"/>
      <c r="H145" s="56"/>
      <c r="I145" s="59"/>
      <c r="J145" s="56"/>
      <c r="K145" s="56"/>
      <c r="L145" s="56"/>
      <c r="M145" s="1"/>
      <c r="N145" s="1"/>
      <c r="O145" s="1"/>
      <c r="P145" s="1"/>
      <c r="Q145" s="1"/>
      <c r="R145" s="1"/>
      <c r="S145" s="1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</row>
    <row r="146" spans="1:32" ht="58.5" customHeight="1" x14ac:dyDescent="0.25">
      <c r="A146" s="56"/>
      <c r="B146" s="56"/>
      <c r="C146" s="56"/>
      <c r="D146" s="56"/>
      <c r="E146" s="57"/>
      <c r="F146" s="58"/>
      <c r="G146" s="56"/>
      <c r="H146" s="56"/>
      <c r="I146" s="59"/>
      <c r="J146" s="56"/>
      <c r="K146" s="56"/>
      <c r="L146" s="56"/>
      <c r="M146" s="1"/>
      <c r="N146" s="1"/>
      <c r="O146" s="1"/>
      <c r="P146" s="1"/>
      <c r="Q146" s="1"/>
      <c r="R146" s="1"/>
      <c r="S146" s="1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</row>
    <row r="147" spans="1:32" ht="58.5" customHeight="1" x14ac:dyDescent="0.25">
      <c r="A147" s="56"/>
      <c r="B147" s="56"/>
      <c r="C147" s="56"/>
      <c r="D147" s="56"/>
      <c r="E147" s="57"/>
      <c r="F147" s="58"/>
      <c r="G147" s="56"/>
      <c r="H147" s="56"/>
      <c r="I147" s="59"/>
      <c r="J147" s="56"/>
      <c r="K147" s="56"/>
      <c r="L147" s="56"/>
      <c r="M147" s="1"/>
      <c r="N147" s="1"/>
      <c r="O147" s="1"/>
      <c r="P147" s="1"/>
      <c r="Q147" s="1"/>
      <c r="R147" s="1"/>
      <c r="S147" s="1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</row>
    <row r="148" spans="1:32" ht="58.5" customHeight="1" x14ac:dyDescent="0.25">
      <c r="A148" s="56"/>
      <c r="B148" s="56"/>
      <c r="C148" s="56"/>
      <c r="D148" s="56"/>
      <c r="E148" s="57"/>
      <c r="F148" s="58"/>
      <c r="G148" s="56"/>
      <c r="H148" s="56"/>
      <c r="I148" s="59"/>
      <c r="J148" s="56"/>
      <c r="K148" s="56"/>
      <c r="L148" s="56"/>
      <c r="M148" s="1"/>
      <c r="N148" s="1"/>
      <c r="O148" s="1"/>
      <c r="P148" s="1"/>
      <c r="Q148" s="1"/>
      <c r="R148" s="1"/>
      <c r="S148" s="1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</row>
    <row r="149" spans="1:32" ht="58.5" customHeight="1" x14ac:dyDescent="0.25">
      <c r="A149" s="56"/>
      <c r="B149" s="56"/>
      <c r="C149" s="56"/>
      <c r="D149" s="56"/>
      <c r="E149" s="57"/>
      <c r="F149" s="58"/>
      <c r="G149" s="56"/>
      <c r="H149" s="56"/>
      <c r="I149" s="59"/>
      <c r="J149" s="56"/>
      <c r="K149" s="56"/>
      <c r="L149" s="56"/>
      <c r="M149" s="1"/>
      <c r="N149" s="1"/>
      <c r="O149" s="1"/>
      <c r="P149" s="1"/>
      <c r="Q149" s="1"/>
      <c r="R149" s="1"/>
      <c r="S149" s="1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</row>
    <row r="150" spans="1:32" ht="58.5" customHeight="1" x14ac:dyDescent="0.25">
      <c r="A150" s="56"/>
      <c r="B150" s="56"/>
      <c r="C150" s="56"/>
      <c r="D150" s="56"/>
      <c r="E150" s="57"/>
      <c r="F150" s="58"/>
      <c r="G150" s="56"/>
      <c r="H150" s="56"/>
      <c r="I150" s="59"/>
      <c r="J150" s="56"/>
      <c r="K150" s="56"/>
      <c r="L150" s="56"/>
      <c r="M150" s="1"/>
      <c r="N150" s="1"/>
      <c r="O150" s="1"/>
      <c r="P150" s="1"/>
      <c r="Q150" s="1"/>
      <c r="R150" s="1"/>
      <c r="S150" s="1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</row>
    <row r="151" spans="1:32" ht="58.5" customHeight="1" x14ac:dyDescent="0.25">
      <c r="A151" s="56"/>
      <c r="B151" s="56"/>
      <c r="C151" s="56"/>
      <c r="D151" s="56"/>
      <c r="E151" s="57"/>
      <c r="F151" s="58"/>
      <c r="G151" s="56"/>
      <c r="H151" s="56"/>
      <c r="I151" s="59"/>
      <c r="J151" s="56"/>
      <c r="K151" s="56"/>
      <c r="L151" s="56"/>
      <c r="M151" s="1"/>
      <c r="N151" s="1"/>
      <c r="O151" s="1"/>
      <c r="P151" s="1"/>
      <c r="Q151" s="1"/>
      <c r="R151" s="1"/>
      <c r="S151" s="1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</row>
    <row r="152" spans="1:32" ht="58.5" customHeight="1" x14ac:dyDescent="0.25">
      <c r="A152" s="56"/>
      <c r="B152" s="56"/>
      <c r="C152" s="56"/>
      <c r="D152" s="56"/>
      <c r="E152" s="57"/>
      <c r="F152" s="58"/>
      <c r="G152" s="56"/>
      <c r="H152" s="56"/>
      <c r="I152" s="59"/>
      <c r="J152" s="56"/>
      <c r="K152" s="56"/>
      <c r="L152" s="56"/>
      <c r="M152" s="1"/>
      <c r="N152" s="1"/>
      <c r="O152" s="1"/>
      <c r="P152" s="1"/>
      <c r="Q152" s="1"/>
      <c r="R152" s="1"/>
      <c r="S152" s="1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</row>
    <row r="153" spans="1:32" ht="58.5" customHeight="1" x14ac:dyDescent="0.25">
      <c r="A153" s="56"/>
      <c r="B153" s="56"/>
      <c r="C153" s="56"/>
      <c r="D153" s="56"/>
      <c r="E153" s="57"/>
      <c r="F153" s="58"/>
      <c r="G153" s="56"/>
      <c r="H153" s="56"/>
      <c r="I153" s="59"/>
      <c r="J153" s="56"/>
      <c r="K153" s="56"/>
      <c r="L153" s="56"/>
      <c r="M153" s="1"/>
      <c r="N153" s="1"/>
      <c r="O153" s="1"/>
      <c r="P153" s="1"/>
      <c r="Q153" s="1"/>
      <c r="R153" s="1"/>
      <c r="S153" s="1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</row>
    <row r="154" spans="1:32" ht="58.5" customHeight="1" x14ac:dyDescent="0.25">
      <c r="A154" s="56"/>
      <c r="B154" s="56"/>
      <c r="C154" s="56"/>
      <c r="D154" s="56"/>
      <c r="E154" s="57"/>
      <c r="F154" s="58"/>
      <c r="G154" s="56"/>
      <c r="H154" s="56"/>
      <c r="I154" s="59"/>
      <c r="J154" s="56"/>
      <c r="K154" s="56"/>
      <c r="L154" s="56"/>
      <c r="M154" s="1"/>
      <c r="N154" s="1"/>
      <c r="O154" s="1"/>
      <c r="P154" s="1"/>
      <c r="Q154" s="1"/>
      <c r="R154" s="1"/>
      <c r="S154" s="1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</row>
    <row r="155" spans="1:32" ht="58.5" customHeight="1" x14ac:dyDescent="0.25">
      <c r="A155" s="56"/>
      <c r="B155" s="56"/>
      <c r="C155" s="56"/>
      <c r="D155" s="56"/>
      <c r="E155" s="57"/>
      <c r="F155" s="58"/>
      <c r="G155" s="56"/>
      <c r="H155" s="56"/>
      <c r="I155" s="59"/>
      <c r="J155" s="56"/>
      <c r="K155" s="56"/>
      <c r="L155" s="56"/>
      <c r="M155" s="1"/>
      <c r="N155" s="1"/>
      <c r="O155" s="1"/>
      <c r="P155" s="1"/>
      <c r="Q155" s="1"/>
      <c r="R155" s="1"/>
      <c r="S155" s="1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</row>
    <row r="156" spans="1:32" ht="58.5" customHeight="1" x14ac:dyDescent="0.25">
      <c r="A156" s="56"/>
      <c r="B156" s="56"/>
      <c r="C156" s="56"/>
      <c r="D156" s="56"/>
      <c r="E156" s="57"/>
      <c r="F156" s="58"/>
      <c r="G156" s="56"/>
      <c r="H156" s="56"/>
      <c r="I156" s="59"/>
      <c r="J156" s="56"/>
      <c r="K156" s="56"/>
      <c r="L156" s="56"/>
      <c r="M156" s="1"/>
      <c r="N156" s="1"/>
      <c r="O156" s="1"/>
      <c r="P156" s="1"/>
      <c r="Q156" s="1"/>
      <c r="R156" s="1"/>
      <c r="S156" s="1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</row>
    <row r="157" spans="1:32" ht="58.5" customHeight="1" x14ac:dyDescent="0.25">
      <c r="A157" s="56"/>
      <c r="B157" s="56"/>
      <c r="C157" s="56"/>
      <c r="D157" s="56"/>
      <c r="E157" s="57"/>
      <c r="F157" s="58"/>
      <c r="G157" s="56"/>
      <c r="H157" s="56"/>
      <c r="I157" s="59"/>
      <c r="J157" s="56"/>
      <c r="K157" s="56"/>
      <c r="L157" s="56"/>
      <c r="M157" s="1"/>
      <c r="N157" s="1"/>
      <c r="O157" s="1"/>
      <c r="P157" s="1"/>
      <c r="Q157" s="1"/>
      <c r="R157" s="1"/>
      <c r="S157" s="1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</row>
    <row r="158" spans="1:32" ht="58.5" customHeight="1" x14ac:dyDescent="0.25">
      <c r="A158" s="56"/>
      <c r="B158" s="56"/>
      <c r="C158" s="56"/>
      <c r="D158" s="56"/>
      <c r="E158" s="57"/>
      <c r="F158" s="58"/>
      <c r="G158" s="56"/>
      <c r="H158" s="56"/>
      <c r="I158" s="59"/>
      <c r="J158" s="56"/>
      <c r="K158" s="56"/>
      <c r="L158" s="56"/>
      <c r="M158" s="1"/>
      <c r="N158" s="1"/>
      <c r="O158" s="1"/>
      <c r="P158" s="1"/>
      <c r="Q158" s="1"/>
      <c r="R158" s="1"/>
      <c r="S158" s="1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</row>
    <row r="159" spans="1:32" ht="58.5" customHeight="1" x14ac:dyDescent="0.25">
      <c r="A159" s="56"/>
      <c r="B159" s="56"/>
      <c r="C159" s="56"/>
      <c r="D159" s="56"/>
      <c r="E159" s="57"/>
      <c r="F159" s="58"/>
      <c r="G159" s="56"/>
      <c r="H159" s="56"/>
      <c r="I159" s="59"/>
      <c r="J159" s="56"/>
      <c r="K159" s="56"/>
      <c r="L159" s="56"/>
      <c r="M159" s="1"/>
      <c r="N159" s="1"/>
      <c r="O159" s="1"/>
      <c r="P159" s="1"/>
      <c r="Q159" s="1"/>
      <c r="R159" s="1"/>
      <c r="S159" s="1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</row>
    <row r="160" spans="1:32" ht="58.5" customHeight="1" x14ac:dyDescent="0.25">
      <c r="A160" s="56"/>
      <c r="B160" s="56"/>
      <c r="C160" s="56"/>
      <c r="D160" s="56"/>
      <c r="E160" s="57"/>
      <c r="F160" s="58"/>
      <c r="G160" s="56"/>
      <c r="H160" s="56"/>
      <c r="I160" s="59"/>
      <c r="J160" s="56"/>
      <c r="K160" s="56"/>
      <c r="L160" s="56"/>
      <c r="M160" s="1"/>
      <c r="N160" s="1"/>
      <c r="O160" s="1"/>
      <c r="P160" s="1"/>
      <c r="Q160" s="1"/>
      <c r="R160" s="1"/>
      <c r="S160" s="1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</row>
    <row r="161" spans="1:32" ht="58.5" customHeight="1" x14ac:dyDescent="0.25">
      <c r="A161" s="56"/>
      <c r="B161" s="56"/>
      <c r="C161" s="56"/>
      <c r="D161" s="56"/>
      <c r="E161" s="57"/>
      <c r="F161" s="58"/>
      <c r="G161" s="56"/>
      <c r="H161" s="56"/>
      <c r="I161" s="59"/>
      <c r="J161" s="56"/>
      <c r="K161" s="56"/>
      <c r="L161" s="56"/>
      <c r="M161" s="1"/>
      <c r="N161" s="1"/>
      <c r="O161" s="1"/>
      <c r="P161" s="1"/>
      <c r="Q161" s="1"/>
      <c r="R161" s="1"/>
      <c r="S161" s="1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</row>
    <row r="162" spans="1:32" ht="58.5" customHeight="1" x14ac:dyDescent="0.25">
      <c r="A162" s="56"/>
      <c r="B162" s="56"/>
      <c r="C162" s="56"/>
      <c r="D162" s="56"/>
      <c r="E162" s="57"/>
      <c r="F162" s="58"/>
      <c r="G162" s="56"/>
      <c r="H162" s="56"/>
      <c r="I162" s="59"/>
      <c r="J162" s="56"/>
      <c r="K162" s="56"/>
      <c r="L162" s="56"/>
      <c r="M162" s="1"/>
      <c r="N162" s="1"/>
      <c r="O162" s="1"/>
      <c r="P162" s="1"/>
      <c r="Q162" s="1"/>
      <c r="R162" s="1"/>
      <c r="S162" s="1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</row>
    <row r="163" spans="1:32" ht="58.5" customHeight="1" x14ac:dyDescent="0.25">
      <c r="A163" s="56"/>
      <c r="B163" s="56"/>
      <c r="C163" s="56"/>
      <c r="D163" s="56"/>
      <c r="E163" s="57"/>
      <c r="F163" s="58"/>
      <c r="G163" s="56"/>
      <c r="H163" s="56"/>
      <c r="I163" s="59"/>
      <c r="J163" s="56"/>
      <c r="K163" s="56"/>
      <c r="L163" s="56"/>
      <c r="M163" s="1"/>
      <c r="N163" s="1"/>
      <c r="O163" s="1"/>
      <c r="P163" s="1"/>
      <c r="Q163" s="1"/>
      <c r="R163" s="1"/>
      <c r="S163" s="1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</row>
    <row r="164" spans="1:32" ht="58.5" customHeight="1" x14ac:dyDescent="0.25">
      <c r="A164" s="56"/>
      <c r="B164" s="56"/>
      <c r="C164" s="56"/>
      <c r="D164" s="56"/>
      <c r="E164" s="57"/>
      <c r="F164" s="58"/>
      <c r="G164" s="56"/>
      <c r="H164" s="56"/>
      <c r="I164" s="59"/>
      <c r="J164" s="56"/>
      <c r="K164" s="56"/>
      <c r="L164" s="56"/>
      <c r="M164" s="1"/>
      <c r="N164" s="1"/>
      <c r="O164" s="1"/>
      <c r="P164" s="1"/>
      <c r="Q164" s="1"/>
      <c r="R164" s="1"/>
      <c r="S164" s="1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</row>
    <row r="165" spans="1:32" ht="58.5" customHeight="1" x14ac:dyDescent="0.25">
      <c r="A165" s="56"/>
      <c r="B165" s="56"/>
      <c r="C165" s="56"/>
      <c r="D165" s="56"/>
      <c r="E165" s="57"/>
      <c r="F165" s="58"/>
      <c r="G165" s="56"/>
      <c r="H165" s="56"/>
      <c r="I165" s="59"/>
      <c r="J165" s="56"/>
      <c r="K165" s="56"/>
      <c r="L165" s="56"/>
      <c r="M165" s="1"/>
      <c r="N165" s="1"/>
      <c r="O165" s="1"/>
      <c r="P165" s="1"/>
      <c r="Q165" s="1"/>
      <c r="R165" s="1"/>
      <c r="S165" s="1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</row>
    <row r="166" spans="1:32" ht="58.5" customHeight="1" x14ac:dyDescent="0.25">
      <c r="A166" s="56"/>
      <c r="B166" s="56"/>
      <c r="C166" s="56"/>
      <c r="D166" s="56"/>
      <c r="E166" s="57"/>
      <c r="F166" s="58"/>
      <c r="G166" s="56"/>
      <c r="H166" s="56"/>
      <c r="I166" s="59"/>
      <c r="J166" s="56"/>
      <c r="K166" s="56"/>
      <c r="L166" s="56"/>
      <c r="M166" s="1"/>
      <c r="N166" s="1"/>
      <c r="O166" s="1"/>
      <c r="P166" s="1"/>
      <c r="Q166" s="1"/>
      <c r="R166" s="1"/>
      <c r="S166" s="1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</row>
    <row r="167" spans="1:32" ht="58.5" customHeight="1" x14ac:dyDescent="0.25">
      <c r="A167" s="56"/>
      <c r="B167" s="56"/>
      <c r="C167" s="56"/>
      <c r="D167" s="56"/>
      <c r="E167" s="57"/>
      <c r="F167" s="58"/>
      <c r="G167" s="56"/>
      <c r="H167" s="56"/>
      <c r="I167" s="59"/>
      <c r="J167" s="56"/>
      <c r="K167" s="56"/>
      <c r="L167" s="56"/>
      <c r="M167" s="1"/>
      <c r="N167" s="1"/>
      <c r="O167" s="1"/>
      <c r="P167" s="1"/>
      <c r="Q167" s="1"/>
      <c r="R167" s="1"/>
      <c r="S167" s="1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</row>
    <row r="168" spans="1:32" ht="58.5" customHeight="1" x14ac:dyDescent="0.25">
      <c r="A168" s="56"/>
      <c r="B168" s="56"/>
      <c r="C168" s="56"/>
      <c r="D168" s="56"/>
      <c r="E168" s="57"/>
      <c r="F168" s="58"/>
      <c r="G168" s="56"/>
      <c r="H168" s="56"/>
      <c r="I168" s="59"/>
      <c r="J168" s="56"/>
      <c r="K168" s="56"/>
      <c r="L168" s="56"/>
      <c r="M168" s="1"/>
      <c r="N168" s="1"/>
      <c r="O168" s="1"/>
      <c r="P168" s="1"/>
      <c r="Q168" s="1"/>
      <c r="R168" s="1"/>
      <c r="S168" s="1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</row>
    <row r="169" spans="1:32" ht="58.5" customHeight="1" x14ac:dyDescent="0.25">
      <c r="A169" s="56"/>
      <c r="B169" s="56"/>
      <c r="C169" s="56"/>
      <c r="D169" s="56"/>
      <c r="E169" s="57"/>
      <c r="F169" s="58"/>
      <c r="G169" s="56"/>
      <c r="H169" s="56"/>
      <c r="I169" s="59"/>
      <c r="J169" s="56"/>
      <c r="K169" s="56"/>
      <c r="L169" s="56"/>
      <c r="M169" s="1"/>
      <c r="N169" s="1"/>
      <c r="O169" s="1"/>
      <c r="P169" s="1"/>
      <c r="Q169" s="1"/>
      <c r="R169" s="1"/>
      <c r="S169" s="1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</row>
    <row r="170" spans="1:32" ht="58.5" customHeight="1" x14ac:dyDescent="0.25">
      <c r="A170" s="56"/>
      <c r="B170" s="56"/>
      <c r="C170" s="56"/>
      <c r="D170" s="56"/>
      <c r="E170" s="57"/>
      <c r="F170" s="58"/>
      <c r="G170" s="56"/>
      <c r="H170" s="56"/>
      <c r="I170" s="59"/>
      <c r="J170" s="56"/>
      <c r="K170" s="56"/>
      <c r="L170" s="56"/>
      <c r="M170" s="1"/>
      <c r="N170" s="1"/>
      <c r="O170" s="1"/>
      <c r="P170" s="1"/>
      <c r="Q170" s="1"/>
      <c r="R170" s="1"/>
      <c r="S170" s="1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</row>
    <row r="171" spans="1:32" ht="58.5" customHeight="1" x14ac:dyDescent="0.25">
      <c r="A171" s="56"/>
      <c r="B171" s="56"/>
      <c r="C171" s="56"/>
      <c r="D171" s="56"/>
      <c r="E171" s="57"/>
      <c r="F171" s="58"/>
      <c r="G171" s="56"/>
      <c r="H171" s="56"/>
      <c r="I171" s="59"/>
      <c r="J171" s="56"/>
      <c r="K171" s="56"/>
      <c r="L171" s="56"/>
      <c r="M171" s="1"/>
      <c r="N171" s="1"/>
      <c r="O171" s="1"/>
      <c r="P171" s="1"/>
      <c r="Q171" s="1"/>
      <c r="R171" s="1"/>
      <c r="S171" s="1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</row>
    <row r="172" spans="1:32" ht="58.5" customHeight="1" x14ac:dyDescent="0.25">
      <c r="A172" s="56"/>
      <c r="B172" s="56"/>
      <c r="C172" s="56"/>
      <c r="D172" s="56"/>
      <c r="E172" s="57"/>
      <c r="F172" s="58"/>
      <c r="G172" s="56"/>
      <c r="H172" s="56"/>
      <c r="I172" s="59"/>
      <c r="J172" s="56"/>
      <c r="K172" s="56"/>
      <c r="L172" s="56"/>
      <c r="M172" s="1"/>
      <c r="N172" s="1"/>
      <c r="O172" s="1"/>
      <c r="P172" s="1"/>
      <c r="Q172" s="1"/>
      <c r="R172" s="1"/>
      <c r="S172" s="1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</row>
    <row r="173" spans="1:32" ht="58.5" customHeight="1" x14ac:dyDescent="0.25">
      <c r="A173" s="56"/>
      <c r="B173" s="56"/>
      <c r="C173" s="56"/>
      <c r="D173" s="56"/>
      <c r="E173" s="57"/>
      <c r="F173" s="58"/>
      <c r="G173" s="56"/>
      <c r="H173" s="56"/>
      <c r="I173" s="59"/>
      <c r="J173" s="56"/>
      <c r="K173" s="56"/>
      <c r="L173" s="56"/>
      <c r="M173" s="1"/>
      <c r="N173" s="1"/>
      <c r="O173" s="1"/>
      <c r="P173" s="1"/>
      <c r="Q173" s="1"/>
      <c r="R173" s="1"/>
      <c r="S173" s="1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</row>
    <row r="174" spans="1:32" ht="58.5" customHeight="1" x14ac:dyDescent="0.25">
      <c r="A174" s="56"/>
      <c r="B174" s="56"/>
      <c r="C174" s="56"/>
      <c r="D174" s="56"/>
      <c r="E174" s="57"/>
      <c r="F174" s="58"/>
      <c r="G174" s="56"/>
      <c r="H174" s="56"/>
      <c r="I174" s="59"/>
      <c r="J174" s="56"/>
      <c r="K174" s="56"/>
      <c r="L174" s="56"/>
      <c r="M174" s="1"/>
      <c r="N174" s="1"/>
      <c r="O174" s="1"/>
      <c r="P174" s="1"/>
      <c r="Q174" s="1"/>
      <c r="R174" s="1"/>
      <c r="S174" s="1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</row>
    <row r="175" spans="1:32" ht="58.5" customHeight="1" x14ac:dyDescent="0.25">
      <c r="A175" s="56"/>
      <c r="B175" s="56"/>
      <c r="C175" s="56"/>
      <c r="D175" s="56"/>
      <c r="E175" s="57"/>
      <c r="F175" s="58"/>
      <c r="G175" s="56"/>
      <c r="H175" s="56"/>
      <c r="I175" s="59"/>
      <c r="J175" s="56"/>
      <c r="K175" s="56"/>
      <c r="L175" s="56"/>
      <c r="M175" s="1"/>
      <c r="N175" s="1"/>
      <c r="O175" s="1"/>
      <c r="P175" s="1"/>
      <c r="Q175" s="1"/>
      <c r="R175" s="1"/>
      <c r="S175" s="1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</row>
    <row r="176" spans="1:32" ht="58.5" customHeight="1" x14ac:dyDescent="0.25">
      <c r="A176" s="56"/>
      <c r="B176" s="56"/>
      <c r="C176" s="56"/>
      <c r="D176" s="56"/>
      <c r="E176" s="57"/>
      <c r="F176" s="58"/>
      <c r="G176" s="56"/>
      <c r="H176" s="56"/>
      <c r="I176" s="59"/>
      <c r="J176" s="56"/>
      <c r="K176" s="56"/>
      <c r="L176" s="56"/>
      <c r="M176" s="1"/>
      <c r="N176" s="1"/>
      <c r="O176" s="1"/>
      <c r="P176" s="1"/>
      <c r="Q176" s="1"/>
      <c r="R176" s="1"/>
      <c r="S176" s="1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</row>
    <row r="177" spans="1:32" ht="58.5" customHeight="1" x14ac:dyDescent="0.25">
      <c r="A177" s="56"/>
      <c r="B177" s="56"/>
      <c r="C177" s="56"/>
      <c r="D177" s="56"/>
      <c r="E177" s="57"/>
      <c r="F177" s="58"/>
      <c r="G177" s="56"/>
      <c r="H177" s="56"/>
      <c r="I177" s="59"/>
      <c r="J177" s="56"/>
      <c r="K177" s="56"/>
      <c r="L177" s="56"/>
      <c r="M177" s="1"/>
      <c r="N177" s="1"/>
      <c r="O177" s="1"/>
      <c r="P177" s="1"/>
      <c r="Q177" s="1"/>
      <c r="R177" s="1"/>
      <c r="S177" s="1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</row>
    <row r="178" spans="1:32" ht="58.5" customHeight="1" x14ac:dyDescent="0.25">
      <c r="A178" s="56"/>
      <c r="B178" s="56"/>
      <c r="C178" s="56"/>
      <c r="D178" s="56"/>
      <c r="E178" s="57"/>
      <c r="F178" s="58"/>
      <c r="G178" s="56"/>
      <c r="H178" s="56"/>
      <c r="I178" s="59"/>
      <c r="J178" s="56"/>
      <c r="K178" s="56"/>
      <c r="L178" s="56"/>
      <c r="M178" s="1"/>
      <c r="N178" s="1"/>
      <c r="O178" s="1"/>
      <c r="P178" s="1"/>
      <c r="Q178" s="1"/>
      <c r="R178" s="1"/>
      <c r="S178" s="1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</row>
    <row r="179" spans="1:32" ht="58.5" customHeight="1" x14ac:dyDescent="0.25">
      <c r="A179" s="56"/>
      <c r="B179" s="56"/>
      <c r="C179" s="56"/>
      <c r="D179" s="56"/>
      <c r="E179" s="57"/>
      <c r="F179" s="58"/>
      <c r="G179" s="56"/>
      <c r="H179" s="56"/>
      <c r="I179" s="59"/>
      <c r="J179" s="56"/>
      <c r="K179" s="56"/>
      <c r="L179" s="56"/>
      <c r="M179" s="1"/>
      <c r="N179" s="1"/>
      <c r="O179" s="1"/>
      <c r="P179" s="1"/>
      <c r="Q179" s="1"/>
      <c r="R179" s="1"/>
      <c r="S179" s="1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</row>
    <row r="180" spans="1:32" ht="58.5" customHeight="1" x14ac:dyDescent="0.25">
      <c r="A180" s="56"/>
      <c r="B180" s="56"/>
      <c r="C180" s="56"/>
      <c r="D180" s="56"/>
      <c r="E180" s="57"/>
      <c r="F180" s="58"/>
      <c r="G180" s="56"/>
      <c r="H180" s="56"/>
      <c r="I180" s="59"/>
      <c r="J180" s="56"/>
      <c r="K180" s="56"/>
      <c r="L180" s="56"/>
      <c r="M180" s="1"/>
      <c r="N180" s="1"/>
      <c r="O180" s="1"/>
      <c r="P180" s="1"/>
      <c r="Q180" s="1"/>
      <c r="R180" s="1"/>
      <c r="S180" s="1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</row>
    <row r="181" spans="1:32" ht="58.5" customHeight="1" x14ac:dyDescent="0.25">
      <c r="A181" s="56"/>
      <c r="B181" s="56"/>
      <c r="C181" s="56"/>
      <c r="D181" s="56"/>
      <c r="E181" s="57"/>
      <c r="F181" s="58"/>
      <c r="G181" s="56"/>
      <c r="H181" s="56"/>
      <c r="I181" s="59"/>
      <c r="J181" s="56"/>
      <c r="K181" s="56"/>
      <c r="L181" s="56"/>
      <c r="M181" s="1"/>
      <c r="N181" s="1"/>
      <c r="O181" s="1"/>
      <c r="P181" s="1"/>
      <c r="Q181" s="1"/>
      <c r="R181" s="1"/>
      <c r="S181" s="1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</row>
    <row r="182" spans="1:32" ht="58.5" customHeight="1" x14ac:dyDescent="0.25">
      <c r="A182" s="56"/>
      <c r="B182" s="56"/>
      <c r="C182" s="56"/>
      <c r="D182" s="56"/>
      <c r="E182" s="57"/>
      <c r="F182" s="58"/>
      <c r="G182" s="56"/>
      <c r="H182" s="56"/>
      <c r="I182" s="59"/>
      <c r="J182" s="56"/>
      <c r="K182" s="56"/>
      <c r="L182" s="56"/>
      <c r="M182" s="1"/>
      <c r="N182" s="1"/>
      <c r="O182" s="1"/>
      <c r="P182" s="1"/>
      <c r="Q182" s="1"/>
      <c r="R182" s="1"/>
      <c r="S182" s="1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</row>
    <row r="183" spans="1:32" ht="58.5" customHeight="1" x14ac:dyDescent="0.25">
      <c r="A183" s="56"/>
      <c r="B183" s="56"/>
      <c r="C183" s="56"/>
      <c r="D183" s="56"/>
      <c r="E183" s="57"/>
      <c r="F183" s="58"/>
      <c r="G183" s="56"/>
      <c r="H183" s="56"/>
      <c r="I183" s="59"/>
      <c r="J183" s="56"/>
      <c r="K183" s="56"/>
      <c r="L183" s="56"/>
      <c r="M183" s="1"/>
      <c r="N183" s="1"/>
      <c r="O183" s="1"/>
      <c r="P183" s="1"/>
      <c r="Q183" s="1"/>
      <c r="R183" s="1"/>
      <c r="S183" s="1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</row>
    <row r="184" spans="1:32" ht="58.5" customHeight="1" x14ac:dyDescent="0.25">
      <c r="A184" s="56"/>
      <c r="B184" s="56"/>
      <c r="C184" s="56"/>
      <c r="D184" s="56"/>
      <c r="E184" s="57"/>
      <c r="F184" s="58"/>
      <c r="G184" s="56"/>
      <c r="H184" s="56"/>
      <c r="I184" s="59"/>
      <c r="J184" s="56"/>
      <c r="K184" s="56"/>
      <c r="L184" s="56"/>
      <c r="M184" s="1"/>
      <c r="N184" s="1"/>
      <c r="O184" s="1"/>
      <c r="P184" s="1"/>
      <c r="Q184" s="1"/>
      <c r="R184" s="1"/>
      <c r="S184" s="1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</row>
    <row r="185" spans="1:32" ht="58.5" customHeight="1" x14ac:dyDescent="0.25">
      <c r="A185" s="56"/>
      <c r="B185" s="56"/>
      <c r="C185" s="56"/>
      <c r="D185" s="56"/>
      <c r="E185" s="57"/>
      <c r="F185" s="58"/>
      <c r="G185" s="56"/>
      <c r="H185" s="56"/>
      <c r="I185" s="59"/>
      <c r="J185" s="56"/>
      <c r="K185" s="56"/>
      <c r="L185" s="56"/>
      <c r="M185" s="1"/>
      <c r="N185" s="1"/>
      <c r="O185" s="1"/>
      <c r="P185" s="1"/>
      <c r="Q185" s="1"/>
      <c r="R185" s="1"/>
      <c r="S185" s="1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</row>
    <row r="186" spans="1:32" ht="58.5" customHeight="1" x14ac:dyDescent="0.25">
      <c r="A186" s="56"/>
      <c r="B186" s="56"/>
      <c r="C186" s="56"/>
      <c r="D186" s="56"/>
      <c r="E186" s="57"/>
      <c r="F186" s="58"/>
      <c r="G186" s="56"/>
      <c r="H186" s="56"/>
      <c r="I186" s="59"/>
      <c r="J186" s="56"/>
      <c r="K186" s="56"/>
      <c r="L186" s="56"/>
      <c r="M186" s="1"/>
      <c r="N186" s="1"/>
      <c r="O186" s="1"/>
      <c r="P186" s="1"/>
      <c r="Q186" s="1"/>
      <c r="R186" s="1"/>
      <c r="S186" s="1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</row>
    <row r="187" spans="1:32" ht="58.5" customHeight="1" x14ac:dyDescent="0.25">
      <c r="A187" s="56"/>
      <c r="B187" s="56"/>
      <c r="C187" s="56"/>
      <c r="D187" s="56"/>
      <c r="E187" s="57"/>
      <c r="F187" s="58"/>
      <c r="G187" s="56"/>
      <c r="H187" s="56"/>
      <c r="I187" s="59"/>
      <c r="J187" s="56"/>
      <c r="K187" s="56"/>
      <c r="L187" s="56"/>
      <c r="M187" s="1"/>
      <c r="N187" s="1"/>
      <c r="O187" s="1"/>
      <c r="P187" s="1"/>
      <c r="Q187" s="1"/>
      <c r="R187" s="1"/>
      <c r="S187" s="1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</row>
    <row r="188" spans="1:32" ht="58.5" customHeight="1" x14ac:dyDescent="0.25">
      <c r="A188" s="56"/>
      <c r="B188" s="56"/>
      <c r="C188" s="56"/>
      <c r="D188" s="56"/>
      <c r="E188" s="57"/>
      <c r="F188" s="58"/>
      <c r="G188" s="56"/>
      <c r="H188" s="56"/>
      <c r="I188" s="59"/>
      <c r="J188" s="56"/>
      <c r="K188" s="56"/>
      <c r="L188" s="56"/>
      <c r="M188" s="1"/>
      <c r="N188" s="1"/>
      <c r="O188" s="1"/>
      <c r="P188" s="1"/>
      <c r="Q188" s="1"/>
      <c r="R188" s="1"/>
      <c r="S188" s="1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</row>
    <row r="189" spans="1:32" ht="58.5" customHeight="1" x14ac:dyDescent="0.25">
      <c r="A189" s="56"/>
      <c r="B189" s="56"/>
      <c r="C189" s="56"/>
      <c r="D189" s="56"/>
      <c r="E189" s="57"/>
      <c r="F189" s="58"/>
      <c r="G189" s="56"/>
      <c r="H189" s="56"/>
      <c r="I189" s="59"/>
      <c r="J189" s="56"/>
      <c r="K189" s="56"/>
      <c r="L189" s="56"/>
      <c r="M189" s="1"/>
      <c r="N189" s="1"/>
      <c r="O189" s="1"/>
      <c r="P189" s="1"/>
      <c r="Q189" s="1"/>
      <c r="R189" s="1"/>
      <c r="S189" s="1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</row>
    <row r="190" spans="1:32" ht="58.5" customHeight="1" x14ac:dyDescent="0.25">
      <c r="A190" s="56"/>
      <c r="B190" s="56"/>
      <c r="C190" s="56"/>
      <c r="D190" s="56"/>
      <c r="E190" s="57"/>
      <c r="F190" s="58"/>
      <c r="G190" s="56"/>
      <c r="H190" s="56"/>
      <c r="I190" s="59"/>
      <c r="J190" s="56"/>
      <c r="K190" s="56"/>
      <c r="L190" s="56"/>
      <c r="M190" s="1"/>
      <c r="N190" s="1"/>
      <c r="O190" s="1"/>
      <c r="P190" s="1"/>
      <c r="Q190" s="1"/>
      <c r="R190" s="1"/>
      <c r="S190" s="1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</row>
    <row r="191" spans="1:32" ht="58.5" customHeight="1" x14ac:dyDescent="0.25">
      <c r="A191" s="56"/>
      <c r="B191" s="56"/>
      <c r="C191" s="56"/>
      <c r="D191" s="56"/>
      <c r="E191" s="57"/>
      <c r="F191" s="58"/>
      <c r="G191" s="56"/>
      <c r="H191" s="56"/>
      <c r="I191" s="59"/>
      <c r="J191" s="56"/>
      <c r="K191" s="56"/>
      <c r="L191" s="56"/>
      <c r="M191" s="1"/>
      <c r="N191" s="1"/>
      <c r="O191" s="1"/>
      <c r="P191" s="1"/>
      <c r="Q191" s="1"/>
      <c r="R191" s="1"/>
      <c r="S191" s="1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</row>
    <row r="192" spans="1:32" ht="58.5" customHeight="1" x14ac:dyDescent="0.25">
      <c r="A192" s="56"/>
      <c r="B192" s="56"/>
      <c r="C192" s="56"/>
      <c r="D192" s="56"/>
      <c r="E192" s="57"/>
      <c r="F192" s="58"/>
      <c r="G192" s="56"/>
      <c r="H192" s="56"/>
      <c r="I192" s="59"/>
      <c r="J192" s="56"/>
      <c r="K192" s="56"/>
      <c r="L192" s="56"/>
      <c r="M192" s="1"/>
      <c r="N192" s="1"/>
      <c r="O192" s="1"/>
      <c r="P192" s="1"/>
      <c r="Q192" s="1"/>
      <c r="R192" s="1"/>
      <c r="S192" s="1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</row>
    <row r="193" spans="1:32" ht="58.5" customHeight="1" x14ac:dyDescent="0.25">
      <c r="A193" s="56"/>
      <c r="B193" s="56"/>
      <c r="C193" s="56"/>
      <c r="D193" s="56"/>
      <c r="E193" s="57"/>
      <c r="F193" s="58"/>
      <c r="G193" s="56"/>
      <c r="H193" s="56"/>
      <c r="I193" s="59"/>
      <c r="J193" s="56"/>
      <c r="K193" s="56"/>
      <c r="L193" s="56"/>
      <c r="M193" s="1"/>
      <c r="N193" s="1"/>
      <c r="O193" s="1"/>
      <c r="P193" s="1"/>
      <c r="Q193" s="1"/>
      <c r="R193" s="1"/>
      <c r="S193" s="1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</row>
    <row r="194" spans="1:32" ht="58.5" customHeight="1" x14ac:dyDescent="0.25">
      <c r="A194" s="56"/>
      <c r="B194" s="56"/>
      <c r="C194" s="56"/>
      <c r="D194" s="56"/>
      <c r="E194" s="57"/>
      <c r="F194" s="58"/>
      <c r="G194" s="56"/>
      <c r="H194" s="56"/>
      <c r="I194" s="59"/>
      <c r="J194" s="56"/>
      <c r="K194" s="56"/>
      <c r="L194" s="56"/>
      <c r="M194" s="1"/>
      <c r="N194" s="1"/>
      <c r="O194" s="1"/>
      <c r="P194" s="1"/>
      <c r="Q194" s="1"/>
      <c r="R194" s="1"/>
      <c r="S194" s="1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</row>
    <row r="195" spans="1:32" ht="58.5" customHeight="1" x14ac:dyDescent="0.25">
      <c r="A195" s="56"/>
      <c r="B195" s="56"/>
      <c r="C195" s="56"/>
      <c r="D195" s="56"/>
      <c r="E195" s="57"/>
      <c r="F195" s="58"/>
      <c r="G195" s="56"/>
      <c r="H195" s="56"/>
      <c r="I195" s="59"/>
      <c r="J195" s="56"/>
      <c r="K195" s="56"/>
      <c r="L195" s="56"/>
      <c r="M195" s="1"/>
      <c r="N195" s="1"/>
      <c r="O195" s="1"/>
      <c r="P195" s="1"/>
      <c r="Q195" s="1"/>
      <c r="R195" s="1"/>
      <c r="S195" s="1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</row>
    <row r="196" spans="1:32" ht="58.5" customHeight="1" x14ac:dyDescent="0.25">
      <c r="A196" s="56"/>
      <c r="B196" s="56"/>
      <c r="C196" s="56"/>
      <c r="D196" s="56"/>
      <c r="E196" s="57"/>
      <c r="F196" s="58"/>
      <c r="G196" s="56"/>
      <c r="H196" s="56"/>
      <c r="I196" s="59"/>
      <c r="J196" s="56"/>
      <c r="K196" s="56"/>
      <c r="L196" s="56"/>
      <c r="M196" s="1"/>
      <c r="N196" s="1"/>
      <c r="O196" s="1"/>
      <c r="P196" s="1"/>
      <c r="Q196" s="1"/>
      <c r="R196" s="1"/>
      <c r="S196" s="1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</row>
    <row r="197" spans="1:32" ht="58.5" customHeight="1" x14ac:dyDescent="0.25">
      <c r="A197" s="56"/>
      <c r="B197" s="56"/>
      <c r="C197" s="56"/>
      <c r="D197" s="56"/>
      <c r="E197" s="57"/>
      <c r="F197" s="58"/>
      <c r="G197" s="56"/>
      <c r="H197" s="56"/>
      <c r="I197" s="59"/>
      <c r="J197" s="56"/>
      <c r="K197" s="56"/>
      <c r="L197" s="56"/>
      <c r="M197" s="1"/>
      <c r="N197" s="1"/>
      <c r="O197" s="1"/>
      <c r="P197" s="1"/>
      <c r="Q197" s="1"/>
      <c r="R197" s="1"/>
      <c r="S197" s="1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</row>
    <row r="198" spans="1:32" ht="58.5" customHeight="1" x14ac:dyDescent="0.25">
      <c r="A198" s="56"/>
      <c r="B198" s="56"/>
      <c r="C198" s="56"/>
      <c r="D198" s="56"/>
      <c r="E198" s="57"/>
      <c r="F198" s="58"/>
      <c r="G198" s="56"/>
      <c r="H198" s="56"/>
      <c r="I198" s="59"/>
      <c r="J198" s="56"/>
      <c r="K198" s="56"/>
      <c r="L198" s="56"/>
      <c r="M198" s="1"/>
      <c r="N198" s="1"/>
      <c r="O198" s="1"/>
      <c r="P198" s="1"/>
      <c r="Q198" s="1"/>
      <c r="R198" s="1"/>
      <c r="S198" s="1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</row>
    <row r="199" spans="1:32" ht="58.5" customHeight="1" x14ac:dyDescent="0.25">
      <c r="A199" s="56"/>
      <c r="B199" s="56"/>
      <c r="C199" s="56"/>
      <c r="D199" s="56"/>
      <c r="E199" s="57"/>
      <c r="F199" s="58"/>
      <c r="G199" s="56"/>
      <c r="H199" s="56"/>
      <c r="I199" s="59"/>
      <c r="J199" s="56"/>
      <c r="K199" s="56"/>
      <c r="L199" s="56"/>
      <c r="M199" s="1"/>
      <c r="N199" s="1"/>
      <c r="O199" s="1"/>
      <c r="P199" s="1"/>
      <c r="Q199" s="1"/>
      <c r="R199" s="1"/>
      <c r="S199" s="1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</row>
    <row r="200" spans="1:32" ht="58.5" customHeight="1" x14ac:dyDescent="0.25">
      <c r="A200" s="56"/>
      <c r="B200" s="47" t="s">
        <v>283</v>
      </c>
      <c r="C200" s="56"/>
      <c r="D200" s="56"/>
      <c r="E200" s="57"/>
      <c r="F200" s="58"/>
      <c r="G200" s="56"/>
      <c r="H200" s="56"/>
      <c r="I200" s="59"/>
      <c r="J200" s="56"/>
      <c r="K200" s="56"/>
      <c r="L200" s="56"/>
      <c r="M200" s="1"/>
      <c r="N200" s="1"/>
      <c r="O200" s="1"/>
      <c r="P200" s="1"/>
      <c r="Q200" s="1"/>
      <c r="R200" s="1"/>
      <c r="S200" s="1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</row>
    <row r="201" spans="1:32" ht="58.5" customHeight="1" x14ac:dyDescent="0.25">
      <c r="A201" s="56"/>
      <c r="B201" s="47" t="s">
        <v>284</v>
      </c>
      <c r="C201" s="56"/>
      <c r="D201" s="56"/>
      <c r="E201" s="57"/>
      <c r="F201" s="58"/>
      <c r="G201" s="56"/>
      <c r="H201" s="56"/>
      <c r="I201" s="59"/>
      <c r="J201" s="56"/>
      <c r="K201" s="56"/>
      <c r="L201" s="56"/>
      <c r="M201" s="1"/>
      <c r="N201" s="1"/>
      <c r="O201" s="1"/>
      <c r="P201" s="1"/>
      <c r="Q201" s="1"/>
      <c r="R201" s="1"/>
      <c r="S201" s="1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</row>
    <row r="202" spans="1:32" ht="58.5" customHeight="1" x14ac:dyDescent="0.25">
      <c r="A202" s="56"/>
      <c r="B202" s="56"/>
      <c r="C202" s="56"/>
      <c r="D202" s="56"/>
      <c r="E202" s="57"/>
      <c r="F202" s="58"/>
      <c r="G202" s="56"/>
      <c r="H202" s="56"/>
      <c r="I202" s="59"/>
      <c r="J202" s="56"/>
      <c r="K202" s="56"/>
      <c r="L202" s="56"/>
      <c r="M202" s="1"/>
      <c r="N202" s="1"/>
      <c r="O202" s="1"/>
      <c r="P202" s="1"/>
      <c r="Q202" s="1"/>
      <c r="R202" s="1"/>
      <c r="S202" s="1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</row>
    <row r="203" spans="1:32" ht="58.5" customHeight="1" x14ac:dyDescent="0.25">
      <c r="A203" s="56"/>
      <c r="B203" s="56"/>
      <c r="C203" s="56"/>
      <c r="D203" s="56"/>
      <c r="E203" s="57"/>
      <c r="F203" s="58"/>
      <c r="G203" s="56"/>
      <c r="H203" s="56"/>
      <c r="I203" s="59"/>
      <c r="J203" s="56"/>
      <c r="K203" s="56"/>
      <c r="L203" s="56"/>
      <c r="M203" s="1"/>
      <c r="N203" s="1"/>
      <c r="O203" s="1"/>
      <c r="P203" s="1"/>
      <c r="Q203" s="1"/>
      <c r="R203" s="1"/>
      <c r="S203" s="1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</row>
    <row r="204" spans="1:32" ht="58.5" customHeight="1" x14ac:dyDescent="0.25">
      <c r="A204" s="56"/>
      <c r="B204" s="56"/>
      <c r="C204" s="56"/>
      <c r="D204" s="56"/>
      <c r="E204" s="57"/>
      <c r="F204" s="58"/>
      <c r="G204" s="56"/>
      <c r="H204" s="56"/>
      <c r="I204" s="59"/>
      <c r="J204" s="56"/>
      <c r="K204" s="56"/>
      <c r="L204" s="56"/>
      <c r="M204" s="1"/>
      <c r="N204" s="1"/>
      <c r="O204" s="1"/>
      <c r="P204" s="1"/>
      <c r="Q204" s="1"/>
      <c r="R204" s="1"/>
      <c r="S204" s="1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</row>
    <row r="205" spans="1:32" ht="58.5" customHeight="1" x14ac:dyDescent="0.25">
      <c r="A205" s="56"/>
      <c r="B205" s="56"/>
      <c r="C205" s="56"/>
      <c r="D205" s="56"/>
      <c r="E205" s="57"/>
      <c r="F205" s="58"/>
      <c r="G205" s="56"/>
      <c r="H205" s="56"/>
      <c r="I205" s="59"/>
      <c r="J205" s="56"/>
      <c r="K205" s="56"/>
      <c r="L205" s="56"/>
      <c r="M205" s="1"/>
      <c r="N205" s="1"/>
      <c r="O205" s="1"/>
      <c r="P205" s="1"/>
      <c r="Q205" s="1"/>
      <c r="R205" s="1"/>
      <c r="S205" s="1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</row>
    <row r="206" spans="1:32" ht="58.5" customHeight="1" x14ac:dyDescent="0.25">
      <c r="A206" s="56"/>
      <c r="B206" s="56"/>
      <c r="C206" s="56"/>
      <c r="D206" s="56"/>
      <c r="E206" s="57"/>
      <c r="F206" s="58"/>
      <c r="G206" s="56"/>
      <c r="H206" s="56"/>
      <c r="I206" s="59"/>
      <c r="J206" s="56"/>
      <c r="K206" s="56"/>
      <c r="L206" s="56"/>
      <c r="M206" s="1"/>
      <c r="N206" s="1"/>
      <c r="O206" s="1"/>
      <c r="P206" s="1"/>
      <c r="Q206" s="1"/>
      <c r="R206" s="1"/>
      <c r="S206" s="1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</row>
    <row r="207" spans="1:32" ht="58.5" customHeight="1" x14ac:dyDescent="0.25">
      <c r="A207" s="56"/>
      <c r="B207" s="56"/>
      <c r="C207" s="56"/>
      <c r="D207" s="56"/>
      <c r="E207" s="57"/>
      <c r="F207" s="58"/>
      <c r="G207" s="56"/>
      <c r="H207" s="56"/>
      <c r="I207" s="59"/>
      <c r="J207" s="56"/>
      <c r="K207" s="56"/>
      <c r="L207" s="56"/>
      <c r="M207" s="1"/>
      <c r="N207" s="1"/>
      <c r="O207" s="1"/>
      <c r="P207" s="1"/>
      <c r="Q207" s="1"/>
      <c r="R207" s="1"/>
      <c r="S207" s="1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</row>
    <row r="208" spans="1:32" ht="58.5" customHeight="1" x14ac:dyDescent="0.25">
      <c r="A208" s="56"/>
      <c r="B208" s="56"/>
      <c r="C208" s="56"/>
      <c r="D208" s="56"/>
      <c r="E208" s="57"/>
      <c r="F208" s="58"/>
      <c r="G208" s="56"/>
      <c r="H208" s="56"/>
      <c r="I208" s="59"/>
      <c r="J208" s="56"/>
      <c r="K208" s="56"/>
      <c r="L208" s="56"/>
      <c r="M208" s="1"/>
      <c r="N208" s="1"/>
      <c r="O208" s="1"/>
      <c r="P208" s="1"/>
      <c r="Q208" s="1"/>
      <c r="R208" s="1"/>
      <c r="S208" s="1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</row>
    <row r="209" spans="1:32" ht="58.5" customHeight="1" x14ac:dyDescent="0.25">
      <c r="A209" s="56"/>
      <c r="B209" s="56"/>
      <c r="C209" s="56"/>
      <c r="D209" s="56"/>
      <c r="E209" s="57"/>
      <c r="F209" s="58"/>
      <c r="G209" s="56"/>
      <c r="H209" s="56"/>
      <c r="I209" s="59"/>
      <c r="J209" s="56"/>
      <c r="K209" s="56"/>
      <c r="L209" s="56"/>
      <c r="M209" s="1"/>
      <c r="N209" s="1"/>
      <c r="O209" s="1"/>
      <c r="P209" s="1"/>
      <c r="Q209" s="1"/>
      <c r="R209" s="1"/>
      <c r="S209" s="1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</row>
    <row r="210" spans="1:32" ht="58.5" customHeight="1" x14ac:dyDescent="0.25">
      <c r="A210" s="56"/>
      <c r="B210" s="56"/>
      <c r="C210" s="56"/>
      <c r="D210" s="56"/>
      <c r="E210" s="57"/>
      <c r="F210" s="58"/>
      <c r="G210" s="56"/>
      <c r="H210" s="56"/>
      <c r="I210" s="59"/>
      <c r="J210" s="56"/>
      <c r="K210" s="56"/>
      <c r="L210" s="56"/>
      <c r="M210" s="1"/>
      <c r="N210" s="1"/>
      <c r="O210" s="1"/>
      <c r="P210" s="1"/>
      <c r="Q210" s="1"/>
      <c r="R210" s="1"/>
      <c r="S210" s="1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</row>
    <row r="211" spans="1:32" ht="58.5" customHeight="1" x14ac:dyDescent="0.25">
      <c r="A211" s="56"/>
      <c r="B211" s="56"/>
      <c r="C211" s="56"/>
      <c r="D211" s="56"/>
      <c r="E211" s="57"/>
      <c r="F211" s="58"/>
      <c r="G211" s="56"/>
      <c r="H211" s="56"/>
      <c r="I211" s="59"/>
      <c r="J211" s="56"/>
      <c r="K211" s="56"/>
      <c r="L211" s="56"/>
      <c r="M211" s="1"/>
      <c r="N211" s="1"/>
      <c r="O211" s="1"/>
      <c r="P211" s="1"/>
      <c r="Q211" s="1"/>
      <c r="R211" s="1"/>
      <c r="S211" s="1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</row>
    <row r="212" spans="1:32" ht="58.5" customHeight="1" x14ac:dyDescent="0.25">
      <c r="A212" s="56"/>
      <c r="B212" s="56"/>
      <c r="C212" s="56"/>
      <c r="D212" s="56"/>
      <c r="E212" s="57"/>
      <c r="F212" s="58"/>
      <c r="G212" s="56"/>
      <c r="H212" s="56"/>
      <c r="I212" s="59"/>
      <c r="J212" s="56"/>
      <c r="K212" s="56"/>
      <c r="L212" s="56"/>
      <c r="M212" s="1"/>
      <c r="N212" s="1"/>
      <c r="O212" s="1"/>
      <c r="P212" s="1"/>
      <c r="Q212" s="1"/>
      <c r="R212" s="1"/>
      <c r="S212" s="1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</row>
    <row r="213" spans="1:32" ht="58.5" customHeight="1" x14ac:dyDescent="0.25">
      <c r="A213" s="56"/>
      <c r="B213" s="56"/>
      <c r="C213" s="56"/>
      <c r="D213" s="56"/>
      <c r="E213" s="57"/>
      <c r="F213" s="58"/>
      <c r="G213" s="56"/>
      <c r="H213" s="56"/>
      <c r="I213" s="59"/>
      <c r="J213" s="56"/>
      <c r="K213" s="56"/>
      <c r="L213" s="56"/>
      <c r="M213" s="1"/>
      <c r="N213" s="1"/>
      <c r="O213" s="1"/>
      <c r="P213" s="1"/>
      <c r="Q213" s="1"/>
      <c r="R213" s="1"/>
      <c r="S213" s="1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</row>
    <row r="214" spans="1:32" ht="58.5" customHeight="1" x14ac:dyDescent="0.25">
      <c r="A214" s="56"/>
      <c r="B214" s="56"/>
      <c r="C214" s="56"/>
      <c r="D214" s="56"/>
      <c r="E214" s="57"/>
      <c r="F214" s="58"/>
      <c r="G214" s="56"/>
      <c r="H214" s="56"/>
      <c r="I214" s="59"/>
      <c r="J214" s="56"/>
      <c r="K214" s="56"/>
      <c r="L214" s="56"/>
      <c r="M214" s="1"/>
      <c r="N214" s="1"/>
      <c r="O214" s="1"/>
      <c r="P214" s="1"/>
      <c r="Q214" s="1"/>
      <c r="R214" s="1"/>
      <c r="S214" s="1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</row>
    <row r="215" spans="1:32" ht="58.5" customHeight="1" x14ac:dyDescent="0.25">
      <c r="A215" s="56"/>
      <c r="B215" s="56"/>
      <c r="C215" s="56"/>
      <c r="D215" s="56"/>
      <c r="E215" s="57"/>
      <c r="F215" s="58"/>
      <c r="G215" s="56"/>
      <c r="H215" s="56"/>
      <c r="I215" s="59"/>
      <c r="J215" s="56"/>
      <c r="K215" s="56"/>
      <c r="L215" s="56"/>
      <c r="M215" s="1"/>
      <c r="N215" s="1"/>
      <c r="O215" s="1"/>
      <c r="P215" s="1"/>
      <c r="Q215" s="1"/>
      <c r="R215" s="1"/>
      <c r="S215" s="1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</row>
    <row r="216" spans="1:32" ht="58.5" customHeight="1" x14ac:dyDescent="0.25">
      <c r="A216" s="56"/>
      <c r="B216" s="56"/>
      <c r="C216" s="56"/>
      <c r="D216" s="56"/>
      <c r="E216" s="57"/>
      <c r="F216" s="58"/>
      <c r="G216" s="56"/>
      <c r="H216" s="56"/>
      <c r="I216" s="59"/>
      <c r="J216" s="56"/>
      <c r="K216" s="56"/>
      <c r="L216" s="56"/>
      <c r="M216" s="1"/>
      <c r="N216" s="1"/>
      <c r="O216" s="1"/>
      <c r="P216" s="1"/>
      <c r="Q216" s="1"/>
      <c r="R216" s="1"/>
      <c r="S216" s="1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</row>
    <row r="217" spans="1:32" ht="58.5" customHeight="1" x14ac:dyDescent="0.25">
      <c r="A217" s="56"/>
      <c r="B217" s="56"/>
      <c r="C217" s="56"/>
      <c r="D217" s="56"/>
      <c r="E217" s="57"/>
      <c r="F217" s="58"/>
      <c r="G217" s="56"/>
      <c r="H217" s="56"/>
      <c r="I217" s="59"/>
      <c r="J217" s="56"/>
      <c r="K217" s="56"/>
      <c r="L217" s="56"/>
      <c r="M217" s="1"/>
      <c r="N217" s="1"/>
      <c r="O217" s="1"/>
      <c r="P217" s="1"/>
      <c r="Q217" s="1"/>
      <c r="R217" s="1"/>
      <c r="S217" s="1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</row>
    <row r="218" spans="1:32" ht="58.5" customHeight="1" x14ac:dyDescent="0.25">
      <c r="A218" s="56"/>
      <c r="B218" s="56"/>
      <c r="C218" s="56"/>
      <c r="D218" s="56"/>
      <c r="E218" s="57"/>
      <c r="F218" s="58"/>
      <c r="G218" s="56"/>
      <c r="H218" s="56"/>
      <c r="I218" s="59"/>
      <c r="J218" s="56"/>
      <c r="K218" s="56"/>
      <c r="L218" s="56"/>
      <c r="M218" s="1"/>
      <c r="N218" s="1"/>
      <c r="O218" s="1"/>
      <c r="P218" s="1"/>
      <c r="Q218" s="1"/>
      <c r="R218" s="1"/>
      <c r="S218" s="1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</row>
    <row r="219" spans="1:32" ht="58.5" customHeight="1" x14ac:dyDescent="0.25">
      <c r="A219" s="56"/>
      <c r="B219" s="56"/>
      <c r="C219" s="56"/>
      <c r="D219" s="56"/>
      <c r="E219" s="57"/>
      <c r="F219" s="58"/>
      <c r="G219" s="56"/>
      <c r="H219" s="56"/>
      <c r="I219" s="59"/>
      <c r="J219" s="56"/>
      <c r="K219" s="56"/>
      <c r="L219" s="56"/>
      <c r="M219" s="1"/>
      <c r="N219" s="1"/>
      <c r="O219" s="1"/>
      <c r="P219" s="1"/>
      <c r="Q219" s="1"/>
      <c r="R219" s="1"/>
      <c r="S219" s="1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</row>
    <row r="220" spans="1:32" ht="58.5" customHeight="1" x14ac:dyDescent="0.25">
      <c r="A220" s="56"/>
      <c r="B220" s="56"/>
      <c r="C220" s="56"/>
      <c r="D220" s="56"/>
      <c r="E220" s="57"/>
      <c r="F220" s="58"/>
      <c r="G220" s="56"/>
      <c r="H220" s="56"/>
      <c r="I220" s="59"/>
      <c r="J220" s="56"/>
      <c r="K220" s="56"/>
      <c r="L220" s="56"/>
      <c r="M220" s="1"/>
      <c r="N220" s="1"/>
      <c r="O220" s="1"/>
      <c r="P220" s="1"/>
      <c r="Q220" s="1"/>
      <c r="R220" s="1"/>
      <c r="S220" s="1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</row>
    <row r="221" spans="1:32" ht="58.5" customHeight="1" x14ac:dyDescent="0.25">
      <c r="A221" s="56"/>
      <c r="B221" s="56"/>
      <c r="C221" s="56"/>
      <c r="D221" s="56"/>
      <c r="E221" s="57"/>
      <c r="F221" s="58"/>
      <c r="G221" s="56"/>
      <c r="H221" s="56"/>
      <c r="I221" s="59"/>
      <c r="J221" s="56"/>
      <c r="K221" s="56"/>
      <c r="L221" s="56"/>
      <c r="M221" s="1"/>
      <c r="N221" s="1"/>
      <c r="O221" s="1"/>
      <c r="P221" s="1"/>
      <c r="Q221" s="1"/>
      <c r="R221" s="1"/>
      <c r="S221" s="1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</row>
    <row r="222" spans="1:32" ht="58.5" customHeight="1" x14ac:dyDescent="0.25">
      <c r="A222" s="56"/>
      <c r="B222" s="56"/>
      <c r="C222" s="56"/>
      <c r="D222" s="56"/>
      <c r="E222" s="57"/>
      <c r="F222" s="58"/>
      <c r="G222" s="56"/>
      <c r="H222" s="56"/>
      <c r="I222" s="59"/>
      <c r="J222" s="56"/>
      <c r="K222" s="56"/>
      <c r="L222" s="56"/>
      <c r="M222" s="1"/>
      <c r="N222" s="1"/>
      <c r="O222" s="1"/>
      <c r="P222" s="1"/>
      <c r="Q222" s="1"/>
      <c r="R222" s="1"/>
      <c r="S222" s="1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</row>
    <row r="223" spans="1:32" ht="58.5" customHeight="1" x14ac:dyDescent="0.25">
      <c r="A223" s="56"/>
      <c r="B223" s="56"/>
      <c r="C223" s="56"/>
      <c r="D223" s="56"/>
      <c r="E223" s="57"/>
      <c r="F223" s="58"/>
      <c r="G223" s="56"/>
      <c r="H223" s="56"/>
      <c r="I223" s="59"/>
      <c r="J223" s="56"/>
      <c r="K223" s="56"/>
      <c r="L223" s="56"/>
      <c r="M223" s="1"/>
      <c r="N223" s="1"/>
      <c r="O223" s="1"/>
      <c r="P223" s="1"/>
      <c r="Q223" s="1"/>
      <c r="R223" s="1"/>
      <c r="S223" s="1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</row>
    <row r="224" spans="1:32" ht="58.5" customHeight="1" x14ac:dyDescent="0.25">
      <c r="A224" s="56"/>
      <c r="B224" s="56"/>
      <c r="C224" s="56"/>
      <c r="D224" s="56"/>
      <c r="E224" s="57"/>
      <c r="F224" s="58"/>
      <c r="G224" s="56"/>
      <c r="H224" s="56"/>
      <c r="I224" s="59"/>
      <c r="J224" s="56"/>
      <c r="K224" s="56"/>
      <c r="L224" s="56"/>
      <c r="M224" s="1"/>
      <c r="N224" s="1"/>
      <c r="O224" s="1"/>
      <c r="P224" s="1"/>
      <c r="Q224" s="1"/>
      <c r="R224" s="1"/>
      <c r="S224" s="1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</row>
    <row r="225" spans="1:32" ht="58.5" customHeight="1" x14ac:dyDescent="0.25">
      <c r="A225" s="56"/>
      <c r="B225" s="56"/>
      <c r="C225" s="56"/>
      <c r="D225" s="56"/>
      <c r="E225" s="57"/>
      <c r="F225" s="58"/>
      <c r="G225" s="56"/>
      <c r="H225" s="56"/>
      <c r="I225" s="59"/>
      <c r="J225" s="56"/>
      <c r="K225" s="56"/>
      <c r="L225" s="56"/>
      <c r="M225" s="1"/>
      <c r="N225" s="1"/>
      <c r="O225" s="1"/>
      <c r="P225" s="1"/>
      <c r="Q225" s="1"/>
      <c r="R225" s="1"/>
      <c r="S225" s="1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</row>
    <row r="226" spans="1:32" ht="58.5" customHeight="1" x14ac:dyDescent="0.25">
      <c r="A226" s="56"/>
      <c r="B226" s="56"/>
      <c r="C226" s="56"/>
      <c r="D226" s="56"/>
      <c r="E226" s="57"/>
      <c r="F226" s="58"/>
      <c r="G226" s="56"/>
      <c r="H226" s="56"/>
      <c r="I226" s="59"/>
      <c r="J226" s="56"/>
      <c r="K226" s="56"/>
      <c r="L226" s="56"/>
      <c r="M226" s="1"/>
      <c r="N226" s="1"/>
      <c r="O226" s="1"/>
      <c r="P226" s="1"/>
      <c r="Q226" s="1"/>
      <c r="R226" s="1"/>
      <c r="S226" s="1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</row>
    <row r="227" spans="1:32" ht="58.5" customHeight="1" x14ac:dyDescent="0.25">
      <c r="A227" s="56"/>
      <c r="B227" s="56"/>
      <c r="C227" s="56"/>
      <c r="D227" s="56"/>
      <c r="E227" s="57"/>
      <c r="F227" s="58"/>
      <c r="G227" s="56"/>
      <c r="H227" s="56"/>
      <c r="I227" s="59"/>
      <c r="J227" s="56"/>
      <c r="K227" s="56"/>
      <c r="L227" s="56"/>
      <c r="M227" s="1"/>
      <c r="N227" s="1"/>
      <c r="O227" s="1"/>
      <c r="P227" s="1"/>
      <c r="Q227" s="1"/>
      <c r="R227" s="1"/>
      <c r="S227" s="1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</row>
    <row r="228" spans="1:32" ht="58.5" customHeight="1" x14ac:dyDescent="0.25">
      <c r="A228" s="56"/>
      <c r="B228" s="56"/>
      <c r="C228" s="56"/>
      <c r="D228" s="56"/>
      <c r="E228" s="57"/>
      <c r="F228" s="58"/>
      <c r="G228" s="56"/>
      <c r="H228" s="56"/>
      <c r="I228" s="59"/>
      <c r="J228" s="56"/>
      <c r="K228" s="56"/>
      <c r="L228" s="56"/>
      <c r="M228" s="1"/>
      <c r="N228" s="1"/>
      <c r="O228" s="1"/>
      <c r="P228" s="1"/>
      <c r="Q228" s="1"/>
      <c r="R228" s="1"/>
      <c r="S228" s="1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</row>
    <row r="229" spans="1:32" ht="58.5" customHeight="1" x14ac:dyDescent="0.25">
      <c r="A229" s="56"/>
      <c r="B229" s="56"/>
      <c r="C229" s="56"/>
      <c r="D229" s="56"/>
      <c r="E229" s="57"/>
      <c r="F229" s="58"/>
      <c r="G229" s="56"/>
      <c r="H229" s="56"/>
      <c r="I229" s="59"/>
      <c r="J229" s="56"/>
      <c r="K229" s="56"/>
      <c r="L229" s="56"/>
      <c r="M229" s="1"/>
      <c r="N229" s="1"/>
      <c r="O229" s="1"/>
      <c r="P229" s="1"/>
      <c r="Q229" s="1"/>
      <c r="R229" s="1"/>
      <c r="S229" s="1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</row>
    <row r="230" spans="1:32" ht="58.5" customHeight="1" x14ac:dyDescent="0.25">
      <c r="A230" s="56"/>
      <c r="B230" s="56"/>
      <c r="C230" s="56"/>
      <c r="D230" s="56"/>
      <c r="E230" s="57"/>
      <c r="F230" s="58"/>
      <c r="G230" s="56"/>
      <c r="H230" s="56"/>
      <c r="I230" s="59"/>
      <c r="J230" s="56"/>
      <c r="K230" s="56"/>
      <c r="L230" s="56"/>
      <c r="M230" s="1"/>
      <c r="N230" s="1"/>
      <c r="O230" s="1"/>
      <c r="P230" s="1"/>
      <c r="Q230" s="1"/>
      <c r="R230" s="1"/>
      <c r="S230" s="1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</row>
    <row r="231" spans="1:32" ht="58.5" customHeight="1" x14ac:dyDescent="0.25">
      <c r="A231" s="56"/>
      <c r="B231" s="56"/>
      <c r="C231" s="56"/>
      <c r="D231" s="56"/>
      <c r="E231" s="57"/>
      <c r="F231" s="58"/>
      <c r="G231" s="56"/>
      <c r="H231" s="56"/>
      <c r="I231" s="59"/>
      <c r="J231" s="56"/>
      <c r="K231" s="56"/>
      <c r="L231" s="56"/>
      <c r="M231" s="1"/>
      <c r="N231" s="1"/>
      <c r="O231" s="1"/>
      <c r="P231" s="1"/>
      <c r="Q231" s="1"/>
      <c r="R231" s="1"/>
      <c r="S231" s="1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</row>
    <row r="232" spans="1:32" ht="58.5" customHeight="1" x14ac:dyDescent="0.25">
      <c r="A232" s="56"/>
      <c r="B232" s="56"/>
      <c r="C232" s="56"/>
      <c r="D232" s="56"/>
      <c r="E232" s="57"/>
      <c r="F232" s="58"/>
      <c r="G232" s="56"/>
      <c r="H232" s="56"/>
      <c r="I232" s="59"/>
      <c r="J232" s="56"/>
      <c r="K232" s="56"/>
      <c r="L232" s="56"/>
      <c r="M232" s="1"/>
      <c r="N232" s="1"/>
      <c r="O232" s="1"/>
      <c r="P232" s="1"/>
      <c r="Q232" s="1"/>
      <c r="R232" s="1"/>
      <c r="S232" s="1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</row>
    <row r="233" spans="1:32" ht="58.5" customHeight="1" x14ac:dyDescent="0.25">
      <c r="A233" s="56"/>
      <c r="B233" s="56"/>
      <c r="C233" s="56"/>
      <c r="D233" s="56"/>
      <c r="E233" s="57"/>
      <c r="F233" s="58"/>
      <c r="G233" s="56"/>
      <c r="H233" s="56"/>
      <c r="I233" s="59"/>
      <c r="J233" s="56"/>
      <c r="K233" s="56"/>
      <c r="L233" s="56"/>
      <c r="M233" s="1"/>
      <c r="N233" s="1"/>
      <c r="O233" s="1"/>
      <c r="P233" s="1"/>
      <c r="Q233" s="1"/>
      <c r="R233" s="1"/>
      <c r="S233" s="1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</row>
    <row r="234" spans="1:32" ht="58.5" customHeight="1" x14ac:dyDescent="0.25">
      <c r="A234" s="56"/>
      <c r="B234" s="56"/>
      <c r="C234" s="56"/>
      <c r="D234" s="56"/>
      <c r="E234" s="57"/>
      <c r="F234" s="58"/>
      <c r="G234" s="56"/>
      <c r="H234" s="56"/>
      <c r="I234" s="59"/>
      <c r="J234" s="56"/>
      <c r="K234" s="56"/>
      <c r="L234" s="56"/>
      <c r="M234" s="1"/>
      <c r="N234" s="1"/>
      <c r="O234" s="1"/>
      <c r="P234" s="1"/>
      <c r="Q234" s="1"/>
      <c r="R234" s="1"/>
      <c r="S234" s="1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</row>
    <row r="235" spans="1:32" ht="58.5" customHeight="1" x14ac:dyDescent="0.25">
      <c r="A235" s="56"/>
      <c r="B235" s="56"/>
      <c r="C235" s="56"/>
      <c r="D235" s="56"/>
      <c r="E235" s="57"/>
      <c r="F235" s="58"/>
      <c r="G235" s="56"/>
      <c r="H235" s="56"/>
      <c r="I235" s="59"/>
      <c r="J235" s="56"/>
      <c r="K235" s="56"/>
      <c r="L235" s="56"/>
      <c r="M235" s="1"/>
      <c r="N235" s="1"/>
      <c r="O235" s="1"/>
      <c r="P235" s="1"/>
      <c r="Q235" s="1"/>
      <c r="R235" s="1"/>
      <c r="S235" s="1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</row>
    <row r="236" spans="1:32" ht="58.5" customHeight="1" x14ac:dyDescent="0.25">
      <c r="A236" s="56"/>
      <c r="B236" s="56"/>
      <c r="C236" s="56"/>
      <c r="D236" s="56"/>
      <c r="E236" s="57"/>
      <c r="F236" s="58"/>
      <c r="G236" s="56"/>
      <c r="H236" s="56"/>
      <c r="I236" s="59"/>
      <c r="J236" s="56"/>
      <c r="K236" s="56"/>
      <c r="L236" s="56"/>
      <c r="M236" s="1"/>
      <c r="N236" s="1"/>
      <c r="O236" s="1"/>
      <c r="P236" s="1"/>
      <c r="Q236" s="1"/>
      <c r="R236" s="1"/>
      <c r="S236" s="1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</row>
    <row r="237" spans="1:32" ht="58.5" customHeight="1" x14ac:dyDescent="0.25">
      <c r="A237" s="56"/>
      <c r="B237" s="56"/>
      <c r="C237" s="56"/>
      <c r="D237" s="56"/>
      <c r="E237" s="57"/>
      <c r="F237" s="58"/>
      <c r="G237" s="56"/>
      <c r="H237" s="56"/>
      <c r="I237" s="59"/>
      <c r="J237" s="56"/>
      <c r="K237" s="56"/>
      <c r="L237" s="56"/>
      <c r="M237" s="1"/>
      <c r="N237" s="1"/>
      <c r="O237" s="1"/>
      <c r="P237" s="1"/>
      <c r="Q237" s="1"/>
      <c r="R237" s="1"/>
      <c r="S237" s="1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</row>
    <row r="238" spans="1:32" ht="58.5" customHeight="1" x14ac:dyDescent="0.25">
      <c r="A238" s="56"/>
      <c r="B238" s="56"/>
      <c r="C238" s="56"/>
      <c r="D238" s="56"/>
      <c r="E238" s="57"/>
      <c r="F238" s="58"/>
      <c r="G238" s="56"/>
      <c r="H238" s="56"/>
      <c r="I238" s="59"/>
      <c r="J238" s="56"/>
      <c r="K238" s="56"/>
      <c r="L238" s="56"/>
      <c r="M238" s="1"/>
      <c r="N238" s="1"/>
      <c r="O238" s="1"/>
      <c r="P238" s="1"/>
      <c r="Q238" s="1"/>
      <c r="R238" s="1"/>
      <c r="S238" s="1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</row>
    <row r="239" spans="1:32" ht="58.5" customHeight="1" x14ac:dyDescent="0.25">
      <c r="A239" s="56"/>
      <c r="B239" s="56"/>
      <c r="C239" s="56"/>
      <c r="D239" s="56"/>
      <c r="E239" s="57"/>
      <c r="F239" s="58"/>
      <c r="G239" s="56"/>
      <c r="H239" s="56"/>
      <c r="I239" s="59"/>
      <c r="J239" s="56"/>
      <c r="K239" s="56"/>
      <c r="L239" s="56"/>
      <c r="M239" s="1"/>
      <c r="N239" s="1"/>
      <c r="O239" s="1"/>
      <c r="P239" s="1"/>
      <c r="Q239" s="1"/>
      <c r="R239" s="1"/>
      <c r="S239" s="1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</row>
    <row r="240" spans="1:32" ht="58.5" customHeight="1" x14ac:dyDescent="0.25">
      <c r="A240" s="56"/>
      <c r="B240" s="56"/>
      <c r="C240" s="56"/>
      <c r="D240" s="56"/>
      <c r="E240" s="57"/>
      <c r="F240" s="58"/>
      <c r="G240" s="56"/>
      <c r="H240" s="56"/>
      <c r="I240" s="59"/>
      <c r="J240" s="56"/>
      <c r="K240" s="56"/>
      <c r="L240" s="56"/>
      <c r="M240" s="1"/>
      <c r="N240" s="1"/>
      <c r="O240" s="1"/>
      <c r="P240" s="1"/>
      <c r="Q240" s="1"/>
      <c r="R240" s="1"/>
      <c r="S240" s="1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</row>
    <row r="241" spans="1:32" ht="58.5" customHeight="1" x14ac:dyDescent="0.25">
      <c r="A241" s="56"/>
      <c r="B241" s="56"/>
      <c r="C241" s="56"/>
      <c r="D241" s="56"/>
      <c r="E241" s="57"/>
      <c r="F241" s="58"/>
      <c r="G241" s="56"/>
      <c r="H241" s="56"/>
      <c r="I241" s="59"/>
      <c r="J241" s="56"/>
      <c r="K241" s="56"/>
      <c r="L241" s="56"/>
      <c r="M241" s="1"/>
      <c r="N241" s="1"/>
      <c r="O241" s="1"/>
      <c r="P241" s="1"/>
      <c r="Q241" s="1"/>
      <c r="R241" s="1"/>
      <c r="S241" s="1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</row>
    <row r="242" spans="1:32" ht="58.5" customHeight="1" x14ac:dyDescent="0.25">
      <c r="A242" s="56"/>
      <c r="B242" s="56"/>
      <c r="C242" s="56"/>
      <c r="D242" s="56"/>
      <c r="E242" s="57"/>
      <c r="F242" s="58"/>
      <c r="G242" s="56"/>
      <c r="H242" s="56"/>
      <c r="I242" s="59"/>
      <c r="J242" s="56"/>
      <c r="K242" s="56"/>
      <c r="L242" s="56"/>
      <c r="M242" s="1"/>
      <c r="N242" s="1"/>
      <c r="O242" s="1"/>
      <c r="P242" s="1"/>
      <c r="Q242" s="1"/>
      <c r="R242" s="1"/>
      <c r="S242" s="1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</row>
    <row r="243" spans="1:32" ht="58.5" customHeight="1" x14ac:dyDescent="0.25">
      <c r="A243" s="56"/>
      <c r="B243" s="56"/>
      <c r="C243" s="56"/>
      <c r="D243" s="56"/>
      <c r="E243" s="57"/>
      <c r="F243" s="58"/>
      <c r="G243" s="56"/>
      <c r="H243" s="56"/>
      <c r="I243" s="59"/>
      <c r="J243" s="56"/>
      <c r="K243" s="56"/>
      <c r="L243" s="56"/>
      <c r="M243" s="1"/>
      <c r="N243" s="1"/>
      <c r="O243" s="1"/>
      <c r="P243" s="1"/>
      <c r="Q243" s="1"/>
      <c r="R243" s="1"/>
      <c r="S243" s="1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</row>
    <row r="244" spans="1:32" ht="58.5" customHeight="1" x14ac:dyDescent="0.25">
      <c r="A244" s="56"/>
      <c r="B244" s="56"/>
      <c r="C244" s="56"/>
      <c r="D244" s="56"/>
      <c r="E244" s="57"/>
      <c r="F244" s="58"/>
      <c r="G244" s="56"/>
      <c r="H244" s="56"/>
      <c r="I244" s="59"/>
      <c r="J244" s="56"/>
      <c r="K244" s="56"/>
      <c r="L244" s="56"/>
      <c r="M244" s="1"/>
      <c r="N244" s="1"/>
      <c r="O244" s="1"/>
      <c r="P244" s="1"/>
      <c r="Q244" s="1"/>
      <c r="R244" s="1"/>
      <c r="S244" s="1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</row>
    <row r="245" spans="1:32" ht="58.5" customHeight="1" x14ac:dyDescent="0.25">
      <c r="A245" s="56"/>
      <c r="B245" s="56"/>
      <c r="C245" s="56"/>
      <c r="D245" s="56"/>
      <c r="E245" s="57"/>
      <c r="F245" s="58"/>
      <c r="G245" s="56"/>
      <c r="H245" s="56"/>
      <c r="I245" s="59"/>
      <c r="J245" s="56"/>
      <c r="K245" s="56"/>
      <c r="L245" s="56"/>
      <c r="M245" s="1"/>
      <c r="N245" s="1"/>
      <c r="O245" s="1"/>
      <c r="P245" s="1"/>
      <c r="Q245" s="1"/>
      <c r="R245" s="1"/>
      <c r="S245" s="1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</row>
    <row r="246" spans="1:32" ht="58.5" customHeight="1" x14ac:dyDescent="0.25">
      <c r="A246" s="56"/>
      <c r="B246" s="56"/>
      <c r="C246" s="56"/>
      <c r="D246" s="56"/>
      <c r="E246" s="57"/>
      <c r="F246" s="58"/>
      <c r="G246" s="56"/>
      <c r="H246" s="56"/>
      <c r="I246" s="59"/>
      <c r="J246" s="56"/>
      <c r="K246" s="56"/>
      <c r="L246" s="56"/>
      <c r="M246" s="1"/>
      <c r="N246" s="1"/>
      <c r="O246" s="1"/>
      <c r="P246" s="1"/>
      <c r="Q246" s="1"/>
      <c r="R246" s="1"/>
      <c r="S246" s="1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</row>
    <row r="247" spans="1:32" ht="58.5" customHeight="1" x14ac:dyDescent="0.25">
      <c r="A247" s="56"/>
      <c r="B247" s="56"/>
      <c r="C247" s="56"/>
      <c r="D247" s="56"/>
      <c r="E247" s="57"/>
      <c r="F247" s="58"/>
      <c r="G247" s="56"/>
      <c r="H247" s="56"/>
      <c r="I247" s="59"/>
      <c r="J247" s="56"/>
      <c r="K247" s="56"/>
      <c r="L247" s="56"/>
      <c r="M247" s="1"/>
      <c r="N247" s="1"/>
      <c r="O247" s="1"/>
      <c r="P247" s="1"/>
      <c r="Q247" s="1"/>
      <c r="R247" s="1"/>
      <c r="S247" s="1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</row>
    <row r="248" spans="1:32" ht="58.5" customHeight="1" x14ac:dyDescent="0.25">
      <c r="A248" s="56"/>
      <c r="B248" s="56"/>
      <c r="C248" s="56"/>
      <c r="D248" s="56"/>
      <c r="E248" s="57"/>
      <c r="F248" s="58"/>
      <c r="G248" s="56"/>
      <c r="H248" s="56"/>
      <c r="I248" s="59"/>
      <c r="J248" s="56"/>
      <c r="K248" s="56"/>
      <c r="L248" s="56"/>
      <c r="M248" s="1"/>
      <c r="N248" s="1"/>
      <c r="O248" s="1"/>
      <c r="P248" s="1"/>
      <c r="Q248" s="1"/>
      <c r="R248" s="1"/>
      <c r="S248" s="1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</row>
    <row r="249" spans="1:32" ht="58.5" customHeight="1" x14ac:dyDescent="0.25">
      <c r="A249" s="56"/>
      <c r="B249" s="56"/>
      <c r="C249" s="56"/>
      <c r="D249" s="56"/>
      <c r="E249" s="57"/>
      <c r="F249" s="58"/>
      <c r="G249" s="56"/>
      <c r="H249" s="56"/>
      <c r="I249" s="59"/>
      <c r="J249" s="56"/>
      <c r="K249" s="56"/>
      <c r="L249" s="56"/>
      <c r="M249" s="1"/>
      <c r="N249" s="1"/>
      <c r="O249" s="1"/>
      <c r="P249" s="1"/>
      <c r="Q249" s="1"/>
      <c r="R249" s="1"/>
      <c r="S249" s="1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</row>
    <row r="250" spans="1:32" ht="58.5" customHeight="1" x14ac:dyDescent="0.25">
      <c r="A250" s="56"/>
      <c r="B250" s="56"/>
      <c r="C250" s="56"/>
      <c r="D250" s="56"/>
      <c r="E250" s="57"/>
      <c r="F250" s="58"/>
      <c r="G250" s="56"/>
      <c r="H250" s="56"/>
      <c r="I250" s="59"/>
      <c r="J250" s="56"/>
      <c r="K250" s="56"/>
      <c r="L250" s="56"/>
      <c r="M250" s="1"/>
      <c r="N250" s="1"/>
      <c r="O250" s="1"/>
      <c r="P250" s="1"/>
      <c r="Q250" s="1"/>
      <c r="R250" s="1"/>
      <c r="S250" s="1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</row>
    <row r="251" spans="1:32" ht="58.5" customHeight="1" x14ac:dyDescent="0.25">
      <c r="A251" s="56"/>
      <c r="B251" s="56"/>
      <c r="C251" s="56"/>
      <c r="D251" s="56"/>
      <c r="E251" s="57"/>
      <c r="F251" s="58"/>
      <c r="G251" s="56"/>
      <c r="H251" s="56"/>
      <c r="I251" s="59"/>
      <c r="J251" s="56"/>
      <c r="K251" s="56"/>
      <c r="L251" s="56"/>
      <c r="M251" s="1"/>
      <c r="N251" s="1"/>
      <c r="O251" s="1"/>
      <c r="P251" s="1"/>
      <c r="Q251" s="1"/>
      <c r="R251" s="1"/>
      <c r="S251" s="1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</row>
    <row r="252" spans="1:32" ht="58.5" customHeight="1" x14ac:dyDescent="0.25">
      <c r="A252" s="56"/>
      <c r="B252" s="56"/>
      <c r="C252" s="56"/>
      <c r="D252" s="56"/>
      <c r="E252" s="57"/>
      <c r="F252" s="58"/>
      <c r="G252" s="56"/>
      <c r="H252" s="56"/>
      <c r="I252" s="59"/>
      <c r="J252" s="56"/>
      <c r="K252" s="56"/>
      <c r="L252" s="56"/>
      <c r="M252" s="1"/>
      <c r="N252" s="1"/>
      <c r="O252" s="1"/>
      <c r="P252" s="1"/>
      <c r="Q252" s="1"/>
      <c r="R252" s="1"/>
      <c r="S252" s="1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</row>
    <row r="253" spans="1:32" ht="58.5" customHeight="1" x14ac:dyDescent="0.25">
      <c r="A253" s="56"/>
      <c r="B253" s="56"/>
      <c r="C253" s="56"/>
      <c r="D253" s="56"/>
      <c r="E253" s="57"/>
      <c r="F253" s="58"/>
      <c r="G253" s="56"/>
      <c r="H253" s="56"/>
      <c r="I253" s="59"/>
      <c r="J253" s="56"/>
      <c r="K253" s="56"/>
      <c r="L253" s="56"/>
      <c r="M253" s="1"/>
      <c r="N253" s="1"/>
      <c r="O253" s="1"/>
      <c r="P253" s="1"/>
      <c r="Q253" s="1"/>
      <c r="R253" s="1"/>
      <c r="S253" s="1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</row>
    <row r="254" spans="1:32" ht="58.5" customHeight="1" x14ac:dyDescent="0.25">
      <c r="A254" s="56"/>
      <c r="B254" s="56"/>
      <c r="C254" s="56"/>
      <c r="D254" s="56"/>
      <c r="E254" s="57"/>
      <c r="F254" s="58"/>
      <c r="G254" s="56"/>
      <c r="H254" s="56"/>
      <c r="I254" s="59"/>
      <c r="J254" s="56"/>
      <c r="K254" s="56"/>
      <c r="L254" s="56"/>
      <c r="M254" s="1"/>
      <c r="N254" s="1"/>
      <c r="O254" s="1"/>
      <c r="P254" s="1"/>
      <c r="Q254" s="1"/>
      <c r="R254" s="1"/>
      <c r="S254" s="1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</row>
    <row r="255" spans="1:32" ht="58.5" customHeight="1" x14ac:dyDescent="0.25">
      <c r="A255" s="56"/>
      <c r="B255" s="56"/>
      <c r="C255" s="56"/>
      <c r="D255" s="56"/>
      <c r="E255" s="57"/>
      <c r="F255" s="58"/>
      <c r="G255" s="56"/>
      <c r="H255" s="56"/>
      <c r="I255" s="59"/>
      <c r="J255" s="56"/>
      <c r="K255" s="56"/>
      <c r="L255" s="56"/>
      <c r="M255" s="1"/>
      <c r="N255" s="1"/>
      <c r="O255" s="1"/>
      <c r="P255" s="1"/>
      <c r="Q255" s="1"/>
      <c r="R255" s="1"/>
      <c r="S255" s="1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</row>
    <row r="256" spans="1:32" ht="58.5" customHeight="1" x14ac:dyDescent="0.25">
      <c r="A256" s="56"/>
      <c r="B256" s="56"/>
      <c r="C256" s="56"/>
      <c r="D256" s="56"/>
      <c r="E256" s="57"/>
      <c r="F256" s="58"/>
      <c r="G256" s="56"/>
      <c r="H256" s="56"/>
      <c r="I256" s="59"/>
      <c r="J256" s="56"/>
      <c r="K256" s="56"/>
      <c r="L256" s="56"/>
      <c r="M256" s="1"/>
      <c r="N256" s="1"/>
      <c r="O256" s="1"/>
      <c r="P256" s="1"/>
      <c r="Q256" s="1"/>
      <c r="R256" s="1"/>
      <c r="S256" s="1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</row>
    <row r="257" spans="1:32" ht="58.5" customHeight="1" x14ac:dyDescent="0.25">
      <c r="A257" s="56"/>
      <c r="B257" s="56"/>
      <c r="C257" s="56"/>
      <c r="D257" s="56"/>
      <c r="E257" s="57"/>
      <c r="F257" s="58"/>
      <c r="G257" s="56"/>
      <c r="H257" s="56"/>
      <c r="I257" s="59"/>
      <c r="J257" s="56"/>
      <c r="K257" s="56"/>
      <c r="L257" s="56"/>
      <c r="M257" s="1"/>
      <c r="N257" s="1"/>
      <c r="O257" s="1"/>
      <c r="P257" s="1"/>
      <c r="Q257" s="1"/>
      <c r="R257" s="1"/>
      <c r="S257" s="1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</row>
    <row r="258" spans="1:32" ht="58.5" customHeight="1" x14ac:dyDescent="0.25">
      <c r="A258" s="56"/>
      <c r="B258" s="56"/>
      <c r="C258" s="56"/>
      <c r="D258" s="56"/>
      <c r="E258" s="57"/>
      <c r="F258" s="58"/>
      <c r="G258" s="56"/>
      <c r="H258" s="56"/>
      <c r="I258" s="59"/>
      <c r="J258" s="56"/>
      <c r="K258" s="56"/>
      <c r="L258" s="56"/>
      <c r="M258" s="1"/>
      <c r="N258" s="1"/>
      <c r="O258" s="1"/>
      <c r="P258" s="1"/>
      <c r="Q258" s="1"/>
      <c r="R258" s="1"/>
      <c r="S258" s="1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</row>
    <row r="259" spans="1:32" ht="58.5" customHeight="1" x14ac:dyDescent="0.25">
      <c r="A259" s="56"/>
      <c r="B259" s="56"/>
      <c r="C259" s="56"/>
      <c r="D259" s="56"/>
      <c r="E259" s="57"/>
      <c r="F259" s="58"/>
      <c r="G259" s="56"/>
      <c r="H259" s="56"/>
      <c r="I259" s="59"/>
      <c r="J259" s="56"/>
      <c r="K259" s="56"/>
      <c r="L259" s="56"/>
      <c r="M259" s="1"/>
      <c r="N259" s="1"/>
      <c r="O259" s="1"/>
      <c r="P259" s="1"/>
      <c r="Q259" s="1"/>
      <c r="R259" s="1"/>
      <c r="S259" s="1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</row>
    <row r="260" spans="1:32" ht="58.5" customHeight="1" x14ac:dyDescent="0.25">
      <c r="A260" s="56"/>
      <c r="B260" s="56"/>
      <c r="C260" s="56"/>
      <c r="D260" s="56"/>
      <c r="E260" s="57"/>
      <c r="F260" s="58"/>
      <c r="G260" s="56"/>
      <c r="H260" s="56"/>
      <c r="I260" s="59"/>
      <c r="J260" s="56"/>
      <c r="K260" s="56"/>
      <c r="L260" s="56"/>
      <c r="M260" s="1"/>
      <c r="N260" s="1"/>
      <c r="O260" s="1"/>
      <c r="P260" s="1"/>
      <c r="Q260" s="1"/>
      <c r="R260" s="1"/>
      <c r="S260" s="1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</row>
    <row r="261" spans="1:32" ht="58.5" customHeight="1" x14ac:dyDescent="0.25">
      <c r="A261" s="56"/>
      <c r="B261" s="56"/>
      <c r="C261" s="56"/>
      <c r="D261" s="56"/>
      <c r="E261" s="57"/>
      <c r="F261" s="58"/>
      <c r="G261" s="56"/>
      <c r="H261" s="56"/>
      <c r="I261" s="59"/>
      <c r="J261" s="56"/>
      <c r="K261" s="56"/>
      <c r="L261" s="56"/>
      <c r="M261" s="1"/>
      <c r="N261" s="1"/>
      <c r="O261" s="1"/>
      <c r="P261" s="1"/>
      <c r="Q261" s="1"/>
      <c r="R261" s="1"/>
      <c r="S261" s="1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</row>
    <row r="262" spans="1:32" ht="58.5" customHeight="1" x14ac:dyDescent="0.25">
      <c r="A262" s="56"/>
      <c r="B262" s="56"/>
      <c r="C262" s="56"/>
      <c r="D262" s="56"/>
      <c r="E262" s="57"/>
      <c r="F262" s="58"/>
      <c r="G262" s="56"/>
      <c r="H262" s="56"/>
      <c r="I262" s="59"/>
      <c r="J262" s="56"/>
      <c r="K262" s="56"/>
      <c r="L262" s="56"/>
      <c r="M262" s="1"/>
      <c r="N262" s="1"/>
      <c r="O262" s="1"/>
      <c r="P262" s="1"/>
      <c r="Q262" s="1"/>
      <c r="R262" s="1"/>
      <c r="S262" s="1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</row>
    <row r="263" spans="1:32" ht="58.5" customHeight="1" x14ac:dyDescent="0.25">
      <c r="A263" s="56"/>
      <c r="B263" s="56"/>
      <c r="C263" s="56"/>
      <c r="D263" s="56"/>
      <c r="E263" s="57"/>
      <c r="F263" s="58"/>
      <c r="G263" s="56"/>
      <c r="H263" s="56"/>
      <c r="I263" s="59"/>
      <c r="J263" s="56"/>
      <c r="K263" s="56"/>
      <c r="L263" s="56"/>
      <c r="M263" s="1"/>
      <c r="N263" s="1"/>
      <c r="O263" s="1"/>
      <c r="P263" s="1"/>
      <c r="Q263" s="1"/>
      <c r="R263" s="1"/>
      <c r="S263" s="1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</row>
    <row r="264" spans="1:32" ht="58.5" customHeight="1" x14ac:dyDescent="0.25">
      <c r="A264" s="56"/>
      <c r="B264" s="56"/>
      <c r="C264" s="56"/>
      <c r="D264" s="56"/>
      <c r="E264" s="57"/>
      <c r="F264" s="58"/>
      <c r="G264" s="56"/>
      <c r="H264" s="56"/>
      <c r="I264" s="59"/>
      <c r="J264" s="56"/>
      <c r="K264" s="56"/>
      <c r="L264" s="56"/>
      <c r="M264" s="1"/>
      <c r="N264" s="1"/>
      <c r="O264" s="1"/>
      <c r="P264" s="1"/>
      <c r="Q264" s="1"/>
      <c r="R264" s="1"/>
      <c r="S264" s="1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</row>
    <row r="265" spans="1:32" ht="58.5" customHeight="1" x14ac:dyDescent="0.25">
      <c r="A265" s="56"/>
      <c r="B265" s="56"/>
      <c r="C265" s="56"/>
      <c r="D265" s="56"/>
      <c r="E265" s="57"/>
      <c r="F265" s="58"/>
      <c r="G265" s="56"/>
      <c r="H265" s="56"/>
      <c r="I265" s="59"/>
      <c r="J265" s="56"/>
      <c r="K265" s="56"/>
      <c r="L265" s="56"/>
      <c r="M265" s="1"/>
      <c r="N265" s="1"/>
      <c r="O265" s="1"/>
      <c r="P265" s="1"/>
      <c r="Q265" s="1"/>
      <c r="R265" s="1"/>
      <c r="S265" s="1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</row>
    <row r="266" spans="1:32" ht="58.5" customHeight="1" x14ac:dyDescent="0.25">
      <c r="A266" s="56"/>
      <c r="B266" s="56"/>
      <c r="C266" s="56"/>
      <c r="D266" s="56"/>
      <c r="E266" s="57"/>
      <c r="F266" s="58"/>
      <c r="G266" s="56"/>
      <c r="H266" s="56"/>
      <c r="I266" s="59"/>
      <c r="J266" s="56"/>
      <c r="K266" s="56"/>
      <c r="L266" s="56"/>
      <c r="M266" s="1"/>
      <c r="N266" s="1"/>
      <c r="O266" s="1"/>
      <c r="P266" s="1"/>
      <c r="Q266" s="1"/>
      <c r="R266" s="1"/>
      <c r="S266" s="1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</row>
    <row r="267" spans="1:32" ht="58.5" customHeight="1" x14ac:dyDescent="0.25">
      <c r="A267" s="56"/>
      <c r="B267" s="56"/>
      <c r="C267" s="56"/>
      <c r="D267" s="56"/>
      <c r="E267" s="57"/>
      <c r="F267" s="58"/>
      <c r="G267" s="56"/>
      <c r="H267" s="56"/>
      <c r="I267" s="59"/>
      <c r="J267" s="56"/>
      <c r="K267" s="56"/>
      <c r="L267" s="56"/>
      <c r="M267" s="1"/>
      <c r="N267" s="1"/>
      <c r="O267" s="1"/>
      <c r="P267" s="1"/>
      <c r="Q267" s="1"/>
      <c r="R267" s="1"/>
      <c r="S267" s="1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</row>
    <row r="268" spans="1:32" ht="58.5" customHeight="1" x14ac:dyDescent="0.25">
      <c r="A268" s="56"/>
      <c r="B268" s="56"/>
      <c r="C268" s="56"/>
      <c r="D268" s="56"/>
      <c r="E268" s="57"/>
      <c r="F268" s="58"/>
      <c r="G268" s="56"/>
      <c r="H268" s="56"/>
      <c r="I268" s="59"/>
      <c r="J268" s="56"/>
      <c r="K268" s="56"/>
      <c r="L268" s="56"/>
      <c r="M268" s="1"/>
      <c r="N268" s="1"/>
      <c r="O268" s="1"/>
      <c r="P268" s="1"/>
      <c r="Q268" s="1"/>
      <c r="R268" s="1"/>
      <c r="S268" s="1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</row>
    <row r="269" spans="1:32" ht="58.5" customHeight="1" x14ac:dyDescent="0.25">
      <c r="A269" s="56"/>
      <c r="B269" s="56"/>
      <c r="C269" s="56"/>
      <c r="D269" s="56"/>
      <c r="E269" s="57"/>
      <c r="F269" s="58"/>
      <c r="G269" s="56"/>
      <c r="H269" s="56"/>
      <c r="I269" s="59"/>
      <c r="J269" s="56"/>
      <c r="K269" s="56"/>
      <c r="L269" s="56"/>
      <c r="M269" s="1"/>
      <c r="N269" s="1"/>
      <c r="O269" s="1"/>
      <c r="P269" s="1"/>
      <c r="Q269" s="1"/>
      <c r="R269" s="1"/>
      <c r="S269" s="1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</row>
    <row r="270" spans="1:32" ht="58.5" customHeight="1" x14ac:dyDescent="0.25">
      <c r="A270" s="56"/>
      <c r="B270" s="56"/>
      <c r="C270" s="56"/>
      <c r="D270" s="56"/>
      <c r="E270" s="57"/>
      <c r="F270" s="58"/>
      <c r="G270" s="56"/>
      <c r="H270" s="56"/>
      <c r="I270" s="59"/>
      <c r="J270" s="56"/>
      <c r="K270" s="56"/>
      <c r="L270" s="56"/>
      <c r="M270" s="1"/>
      <c r="N270" s="1"/>
      <c r="O270" s="1"/>
      <c r="P270" s="1"/>
      <c r="Q270" s="1"/>
      <c r="R270" s="1"/>
      <c r="S270" s="1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</row>
    <row r="271" spans="1:32" ht="58.5" customHeight="1" x14ac:dyDescent="0.25">
      <c r="A271" s="56"/>
      <c r="B271" s="56"/>
      <c r="C271" s="56"/>
      <c r="D271" s="56"/>
      <c r="E271" s="57"/>
      <c r="F271" s="58"/>
      <c r="G271" s="56"/>
      <c r="H271" s="56"/>
      <c r="I271" s="59"/>
      <c r="J271" s="56"/>
      <c r="K271" s="56"/>
      <c r="L271" s="56"/>
      <c r="M271" s="1"/>
      <c r="N271" s="1"/>
      <c r="O271" s="1"/>
      <c r="P271" s="1"/>
      <c r="Q271" s="1"/>
      <c r="R271" s="1"/>
      <c r="S271" s="1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</row>
    <row r="272" spans="1:32" ht="58.5" customHeight="1" x14ac:dyDescent="0.25">
      <c r="A272" s="56"/>
      <c r="B272" s="56"/>
      <c r="C272" s="56"/>
      <c r="D272" s="56"/>
      <c r="E272" s="57"/>
      <c r="F272" s="58"/>
      <c r="G272" s="56"/>
      <c r="H272" s="56"/>
      <c r="I272" s="59"/>
      <c r="J272" s="56"/>
      <c r="K272" s="56"/>
      <c r="L272" s="56"/>
      <c r="M272" s="1"/>
      <c r="N272" s="1"/>
      <c r="O272" s="1"/>
      <c r="P272" s="1"/>
      <c r="Q272" s="1"/>
      <c r="R272" s="1"/>
      <c r="S272" s="1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</row>
    <row r="273" spans="1:32" ht="58.5" customHeight="1" x14ac:dyDescent="0.25">
      <c r="A273" s="56"/>
      <c r="B273" s="56"/>
      <c r="C273" s="56"/>
      <c r="D273" s="56"/>
      <c r="E273" s="57"/>
      <c r="F273" s="58"/>
      <c r="G273" s="56"/>
      <c r="H273" s="56"/>
      <c r="I273" s="59"/>
      <c r="J273" s="56"/>
      <c r="K273" s="56"/>
      <c r="L273" s="56"/>
      <c r="M273" s="1"/>
      <c r="N273" s="1"/>
      <c r="O273" s="1"/>
      <c r="P273" s="1"/>
      <c r="Q273" s="1"/>
      <c r="R273" s="1"/>
      <c r="S273" s="1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</row>
    <row r="274" spans="1:32" ht="58.5" customHeight="1" x14ac:dyDescent="0.25">
      <c r="A274" s="56"/>
      <c r="B274" s="56"/>
      <c r="C274" s="56"/>
      <c r="D274" s="56"/>
      <c r="E274" s="57"/>
      <c r="F274" s="58"/>
      <c r="G274" s="56"/>
      <c r="H274" s="56"/>
      <c r="I274" s="59"/>
      <c r="J274" s="56"/>
      <c r="K274" s="56"/>
      <c r="L274" s="56"/>
      <c r="M274" s="1"/>
      <c r="N274" s="1"/>
      <c r="O274" s="1"/>
      <c r="P274" s="1"/>
      <c r="Q274" s="1"/>
      <c r="R274" s="1"/>
      <c r="S274" s="1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</row>
    <row r="275" spans="1:32" ht="58.5" customHeight="1" x14ac:dyDescent="0.25">
      <c r="A275" s="56"/>
      <c r="B275" s="56"/>
      <c r="C275" s="56"/>
      <c r="D275" s="56"/>
      <c r="E275" s="57"/>
      <c r="F275" s="58"/>
      <c r="G275" s="56"/>
      <c r="H275" s="56"/>
      <c r="I275" s="59"/>
      <c r="J275" s="56"/>
      <c r="K275" s="56"/>
      <c r="L275" s="56"/>
      <c r="M275" s="1"/>
      <c r="N275" s="1"/>
      <c r="O275" s="1"/>
      <c r="P275" s="1"/>
      <c r="Q275" s="1"/>
      <c r="R275" s="1"/>
      <c r="S275" s="1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</row>
    <row r="276" spans="1:32" ht="58.5" customHeight="1" x14ac:dyDescent="0.25">
      <c r="A276" s="56"/>
      <c r="B276" s="56"/>
      <c r="C276" s="56"/>
      <c r="D276" s="56"/>
      <c r="E276" s="57"/>
      <c r="F276" s="58"/>
      <c r="G276" s="56"/>
      <c r="H276" s="56"/>
      <c r="I276" s="59"/>
      <c r="J276" s="56"/>
      <c r="K276" s="56"/>
      <c r="L276" s="56"/>
      <c r="M276" s="1"/>
      <c r="N276" s="1"/>
      <c r="O276" s="1"/>
      <c r="P276" s="1"/>
      <c r="Q276" s="1"/>
      <c r="R276" s="1"/>
      <c r="S276" s="1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</row>
    <row r="277" spans="1:32" ht="58.5" customHeight="1" x14ac:dyDescent="0.25">
      <c r="A277" s="56"/>
      <c r="B277" s="56"/>
      <c r="C277" s="56"/>
      <c r="D277" s="56"/>
      <c r="E277" s="57"/>
      <c r="F277" s="58"/>
      <c r="G277" s="56"/>
      <c r="H277" s="56"/>
      <c r="I277" s="59"/>
      <c r="J277" s="56"/>
      <c r="K277" s="56"/>
      <c r="L277" s="56"/>
      <c r="M277" s="1"/>
      <c r="N277" s="1"/>
      <c r="O277" s="1"/>
      <c r="P277" s="1"/>
      <c r="Q277" s="1"/>
      <c r="R277" s="1"/>
      <c r="S277" s="1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</row>
    <row r="278" spans="1:32" ht="58.5" customHeight="1" x14ac:dyDescent="0.25">
      <c r="A278" s="56"/>
      <c r="B278" s="56"/>
      <c r="C278" s="56"/>
      <c r="D278" s="56"/>
      <c r="E278" s="57"/>
      <c r="F278" s="58"/>
      <c r="G278" s="56"/>
      <c r="H278" s="56"/>
      <c r="I278" s="59"/>
      <c r="J278" s="56"/>
      <c r="K278" s="56"/>
      <c r="L278" s="56"/>
      <c r="M278" s="1"/>
      <c r="N278" s="1"/>
      <c r="O278" s="1"/>
      <c r="P278" s="1"/>
      <c r="Q278" s="1"/>
      <c r="R278" s="1"/>
      <c r="S278" s="1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</row>
    <row r="279" spans="1:32" ht="58.5" customHeight="1" x14ac:dyDescent="0.25">
      <c r="A279" s="56"/>
      <c r="B279" s="56"/>
      <c r="C279" s="56"/>
      <c r="D279" s="56"/>
      <c r="E279" s="57"/>
      <c r="F279" s="58"/>
      <c r="G279" s="56"/>
      <c r="H279" s="56"/>
      <c r="I279" s="59"/>
      <c r="J279" s="56"/>
      <c r="K279" s="56"/>
      <c r="L279" s="56"/>
      <c r="M279" s="1"/>
      <c r="N279" s="1"/>
      <c r="O279" s="1"/>
      <c r="P279" s="1"/>
      <c r="Q279" s="1"/>
      <c r="R279" s="1"/>
      <c r="S279" s="1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</row>
    <row r="280" spans="1:32" ht="58.5" customHeight="1" x14ac:dyDescent="0.25">
      <c r="A280" s="56"/>
      <c r="B280" s="56"/>
      <c r="C280" s="56"/>
      <c r="D280" s="56"/>
      <c r="E280" s="57"/>
      <c r="F280" s="58"/>
      <c r="G280" s="56"/>
      <c r="H280" s="56"/>
      <c r="I280" s="59"/>
      <c r="J280" s="56"/>
      <c r="K280" s="56"/>
      <c r="L280" s="56"/>
      <c r="M280" s="1"/>
      <c r="N280" s="1"/>
      <c r="O280" s="1"/>
      <c r="P280" s="1"/>
      <c r="Q280" s="1"/>
      <c r="R280" s="1"/>
      <c r="S280" s="1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</row>
    <row r="281" spans="1:32" ht="58.5" customHeight="1" x14ac:dyDescent="0.25">
      <c r="A281" s="56"/>
      <c r="B281" s="56"/>
      <c r="C281" s="56"/>
      <c r="D281" s="56"/>
      <c r="E281" s="57"/>
      <c r="F281" s="58"/>
      <c r="G281" s="56"/>
      <c r="H281" s="56"/>
      <c r="I281" s="59"/>
      <c r="J281" s="56"/>
      <c r="K281" s="56"/>
      <c r="L281" s="56"/>
      <c r="M281" s="1"/>
      <c r="N281" s="1"/>
      <c r="O281" s="1"/>
      <c r="P281" s="1"/>
      <c r="Q281" s="1"/>
      <c r="R281" s="1"/>
      <c r="S281" s="1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</row>
    <row r="282" spans="1:32" ht="58.5" customHeight="1" x14ac:dyDescent="0.25">
      <c r="A282" s="56"/>
      <c r="B282" s="56"/>
      <c r="C282" s="56"/>
      <c r="D282" s="56"/>
      <c r="E282" s="57"/>
      <c r="F282" s="58"/>
      <c r="G282" s="56"/>
      <c r="H282" s="56"/>
      <c r="I282" s="59"/>
      <c r="J282" s="56"/>
      <c r="K282" s="56"/>
      <c r="L282" s="56"/>
      <c r="M282" s="1"/>
      <c r="N282" s="1"/>
      <c r="O282" s="1"/>
      <c r="P282" s="1"/>
      <c r="Q282" s="1"/>
      <c r="R282" s="1"/>
      <c r="S282" s="1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</row>
    <row r="283" spans="1:32" ht="58.5" customHeight="1" x14ac:dyDescent="0.25">
      <c r="A283" s="56"/>
      <c r="B283" s="56"/>
      <c r="C283" s="56"/>
      <c r="D283" s="56"/>
      <c r="E283" s="57"/>
      <c r="F283" s="58"/>
      <c r="G283" s="56"/>
      <c r="H283" s="56"/>
      <c r="I283" s="59"/>
      <c r="J283" s="56"/>
      <c r="K283" s="56"/>
      <c r="L283" s="56"/>
      <c r="M283" s="1"/>
      <c r="N283" s="1"/>
      <c r="O283" s="1"/>
      <c r="P283" s="1"/>
      <c r="Q283" s="1"/>
      <c r="R283" s="1"/>
      <c r="S283" s="1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</row>
    <row r="284" spans="1:32" ht="58.5" customHeight="1" x14ac:dyDescent="0.25">
      <c r="A284" s="56"/>
      <c r="B284" s="56"/>
      <c r="C284" s="56"/>
      <c r="D284" s="56"/>
      <c r="E284" s="57"/>
      <c r="F284" s="58"/>
      <c r="G284" s="56"/>
      <c r="H284" s="56"/>
      <c r="I284" s="59"/>
      <c r="J284" s="56"/>
      <c r="K284" s="56"/>
      <c r="L284" s="56"/>
      <c r="M284" s="1"/>
      <c r="N284" s="1"/>
      <c r="O284" s="1"/>
      <c r="P284" s="1"/>
      <c r="Q284" s="1"/>
      <c r="R284" s="1"/>
      <c r="S284" s="1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</row>
    <row r="285" spans="1:32" ht="58.5" customHeight="1" x14ac:dyDescent="0.25">
      <c r="A285" s="56"/>
      <c r="B285" s="56"/>
      <c r="C285" s="56"/>
      <c r="D285" s="56"/>
      <c r="E285" s="57"/>
      <c r="F285" s="58"/>
      <c r="G285" s="56"/>
      <c r="H285" s="56"/>
      <c r="I285" s="59"/>
      <c r="J285" s="56"/>
      <c r="K285" s="56"/>
      <c r="L285" s="56"/>
      <c r="M285" s="1"/>
      <c r="N285" s="1"/>
      <c r="O285" s="1"/>
      <c r="P285" s="1"/>
      <c r="Q285" s="1"/>
      <c r="R285" s="1"/>
      <c r="S285" s="1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</row>
    <row r="286" spans="1:32" ht="58.5" customHeight="1" x14ac:dyDescent="0.25">
      <c r="A286" s="56"/>
      <c r="B286" s="56"/>
      <c r="C286" s="56"/>
      <c r="D286" s="56"/>
      <c r="E286" s="57"/>
      <c r="F286" s="58"/>
      <c r="G286" s="56"/>
      <c r="H286" s="56"/>
      <c r="I286" s="59"/>
      <c r="J286" s="56"/>
      <c r="K286" s="56"/>
      <c r="L286" s="56"/>
      <c r="M286" s="1"/>
      <c r="N286" s="1"/>
      <c r="O286" s="1"/>
      <c r="P286" s="1"/>
      <c r="Q286" s="1"/>
      <c r="R286" s="1"/>
      <c r="S286" s="1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</row>
    <row r="287" spans="1:32" ht="58.5" customHeight="1" x14ac:dyDescent="0.25">
      <c r="A287" s="56"/>
      <c r="B287" s="56"/>
      <c r="C287" s="56"/>
      <c r="D287" s="56"/>
      <c r="E287" s="57"/>
      <c r="F287" s="58"/>
      <c r="G287" s="56"/>
      <c r="H287" s="56"/>
      <c r="I287" s="59"/>
      <c r="J287" s="56"/>
      <c r="K287" s="56"/>
      <c r="L287" s="56"/>
      <c r="M287" s="1"/>
      <c r="N287" s="1"/>
      <c r="O287" s="1"/>
      <c r="P287" s="1"/>
      <c r="Q287" s="1"/>
      <c r="R287" s="1"/>
      <c r="S287" s="1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</row>
    <row r="288" spans="1:32" ht="58.5" customHeight="1" x14ac:dyDescent="0.25">
      <c r="A288" s="56"/>
      <c r="B288" s="56"/>
      <c r="C288" s="56"/>
      <c r="D288" s="56"/>
      <c r="E288" s="57"/>
      <c r="F288" s="58"/>
      <c r="G288" s="56"/>
      <c r="H288" s="56"/>
      <c r="I288" s="59"/>
      <c r="J288" s="56"/>
      <c r="K288" s="56"/>
      <c r="L288" s="56"/>
      <c r="M288" s="1"/>
      <c r="N288" s="1"/>
      <c r="O288" s="1"/>
      <c r="P288" s="1"/>
      <c r="Q288" s="1"/>
      <c r="R288" s="1"/>
      <c r="S288" s="1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</row>
    <row r="289" spans="1:32" ht="58.5" customHeight="1" x14ac:dyDescent="0.25">
      <c r="A289" s="56"/>
      <c r="B289" s="56"/>
      <c r="C289" s="56"/>
      <c r="D289" s="56"/>
      <c r="E289" s="57"/>
      <c r="F289" s="58"/>
      <c r="G289" s="56"/>
      <c r="H289" s="56"/>
      <c r="I289" s="59"/>
      <c r="J289" s="56"/>
      <c r="K289" s="56"/>
      <c r="L289" s="56"/>
      <c r="M289" s="1"/>
      <c r="N289" s="1"/>
      <c r="O289" s="1"/>
      <c r="P289" s="1"/>
      <c r="Q289" s="1"/>
      <c r="R289" s="1"/>
      <c r="S289" s="1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</row>
    <row r="290" spans="1:32" ht="58.5" customHeight="1" x14ac:dyDescent="0.25">
      <c r="A290" s="56"/>
      <c r="B290" s="56"/>
      <c r="C290" s="56"/>
      <c r="D290" s="56"/>
      <c r="E290" s="57"/>
      <c r="F290" s="58"/>
      <c r="G290" s="56"/>
      <c r="H290" s="56"/>
      <c r="I290" s="59"/>
      <c r="J290" s="56"/>
      <c r="K290" s="56"/>
      <c r="L290" s="56"/>
      <c r="M290" s="1"/>
      <c r="N290" s="1"/>
      <c r="O290" s="1"/>
      <c r="P290" s="1"/>
      <c r="Q290" s="1"/>
      <c r="R290" s="1"/>
      <c r="S290" s="1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</row>
    <row r="291" spans="1:32" ht="58.5" customHeight="1" x14ac:dyDescent="0.25">
      <c r="A291" s="56"/>
      <c r="B291" s="56"/>
      <c r="C291" s="56"/>
      <c r="D291" s="56"/>
      <c r="E291" s="57"/>
      <c r="F291" s="58"/>
      <c r="G291" s="56"/>
      <c r="H291" s="56"/>
      <c r="I291" s="59"/>
      <c r="J291" s="56"/>
      <c r="K291" s="56"/>
      <c r="L291" s="56"/>
      <c r="M291" s="1"/>
      <c r="N291" s="1"/>
      <c r="O291" s="1"/>
      <c r="P291" s="1"/>
      <c r="Q291" s="1"/>
      <c r="R291" s="1"/>
      <c r="S291" s="1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</row>
    <row r="292" spans="1:32" ht="58.5" customHeight="1" x14ac:dyDescent="0.25">
      <c r="A292" s="56"/>
      <c r="B292" s="56"/>
      <c r="C292" s="56"/>
      <c r="D292" s="56"/>
      <c r="E292" s="57"/>
      <c r="F292" s="58"/>
      <c r="G292" s="56"/>
      <c r="H292" s="56"/>
      <c r="I292" s="59"/>
      <c r="J292" s="56"/>
      <c r="K292" s="56"/>
      <c r="L292" s="56"/>
      <c r="M292" s="1"/>
      <c r="N292" s="1"/>
      <c r="O292" s="1"/>
      <c r="P292" s="1"/>
      <c r="Q292" s="1"/>
      <c r="R292" s="1"/>
      <c r="S292" s="1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</row>
    <row r="293" spans="1:32" ht="58.5" customHeight="1" x14ac:dyDescent="0.25">
      <c r="A293" s="56"/>
      <c r="B293" s="56"/>
      <c r="C293" s="56"/>
      <c r="D293" s="56"/>
      <c r="E293" s="57"/>
      <c r="F293" s="58"/>
      <c r="G293" s="56"/>
      <c r="H293" s="56"/>
      <c r="I293" s="59"/>
      <c r="J293" s="56"/>
      <c r="K293" s="56"/>
      <c r="L293" s="56"/>
      <c r="M293" s="1"/>
      <c r="N293" s="1"/>
      <c r="O293" s="1"/>
      <c r="P293" s="1"/>
      <c r="Q293" s="1"/>
      <c r="R293" s="1"/>
      <c r="S293" s="1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</row>
    <row r="294" spans="1:32" ht="58.5" customHeight="1" x14ac:dyDescent="0.25">
      <c r="A294" s="56"/>
      <c r="B294" s="56"/>
      <c r="C294" s="56"/>
      <c r="D294" s="56"/>
      <c r="E294" s="57"/>
      <c r="F294" s="58"/>
      <c r="G294" s="56"/>
      <c r="H294" s="56"/>
      <c r="I294" s="59"/>
      <c r="J294" s="56"/>
      <c r="K294" s="56"/>
      <c r="L294" s="56"/>
      <c r="M294" s="1"/>
      <c r="N294" s="1"/>
      <c r="O294" s="1"/>
      <c r="P294" s="1"/>
      <c r="Q294" s="1"/>
      <c r="R294" s="1"/>
      <c r="S294" s="1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</row>
    <row r="295" spans="1:32" ht="58.5" customHeight="1" x14ac:dyDescent="0.25">
      <c r="A295" s="56"/>
      <c r="B295" s="56"/>
      <c r="C295" s="56"/>
      <c r="D295" s="56"/>
      <c r="E295" s="57"/>
      <c r="F295" s="58"/>
      <c r="G295" s="56"/>
      <c r="H295" s="56"/>
      <c r="I295" s="59"/>
      <c r="J295" s="56"/>
      <c r="K295" s="56"/>
      <c r="L295" s="56"/>
      <c r="M295" s="1"/>
      <c r="N295" s="1"/>
      <c r="O295" s="1"/>
      <c r="P295" s="1"/>
      <c r="Q295" s="1"/>
      <c r="R295" s="1"/>
      <c r="S295" s="1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</row>
    <row r="296" spans="1:32" ht="58.5" customHeight="1" x14ac:dyDescent="0.25">
      <c r="A296" s="56"/>
      <c r="B296" s="56"/>
      <c r="C296" s="56"/>
      <c r="D296" s="56"/>
      <c r="E296" s="57"/>
      <c r="F296" s="58"/>
      <c r="G296" s="56"/>
      <c r="H296" s="56"/>
      <c r="I296" s="59"/>
      <c r="J296" s="56"/>
      <c r="K296" s="56"/>
      <c r="L296" s="56"/>
      <c r="M296" s="1"/>
      <c r="N296" s="1"/>
      <c r="O296" s="1"/>
      <c r="P296" s="1"/>
      <c r="Q296" s="1"/>
      <c r="R296" s="1"/>
      <c r="S296" s="1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</row>
    <row r="297" spans="1:32" ht="58.5" customHeight="1" x14ac:dyDescent="0.25">
      <c r="A297" s="56"/>
      <c r="B297" s="56"/>
      <c r="C297" s="56"/>
      <c r="D297" s="56"/>
      <c r="E297" s="57"/>
      <c r="F297" s="58"/>
      <c r="G297" s="56"/>
      <c r="H297" s="56"/>
      <c r="I297" s="59"/>
      <c r="J297" s="56"/>
      <c r="K297" s="56"/>
      <c r="L297" s="56"/>
      <c r="M297" s="1"/>
      <c r="N297" s="1"/>
      <c r="O297" s="1"/>
      <c r="P297" s="1"/>
      <c r="Q297" s="1"/>
      <c r="R297" s="1"/>
      <c r="S297" s="1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</row>
    <row r="298" spans="1:32" ht="58.5" customHeight="1" x14ac:dyDescent="0.25">
      <c r="A298" s="56"/>
      <c r="B298" s="56"/>
      <c r="C298" s="56"/>
      <c r="D298" s="56"/>
      <c r="E298" s="57"/>
      <c r="F298" s="58"/>
      <c r="G298" s="56"/>
      <c r="H298" s="56"/>
      <c r="I298" s="59"/>
      <c r="J298" s="56"/>
      <c r="K298" s="56"/>
      <c r="L298" s="56"/>
      <c r="M298" s="1"/>
      <c r="N298" s="1"/>
      <c r="O298" s="1"/>
      <c r="P298" s="1"/>
      <c r="Q298" s="1"/>
      <c r="R298" s="1"/>
      <c r="S298" s="1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</row>
    <row r="299" spans="1:32" ht="58.5" customHeight="1" x14ac:dyDescent="0.25">
      <c r="A299" s="56"/>
      <c r="B299" s="56"/>
      <c r="C299" s="56"/>
      <c r="D299" s="56"/>
      <c r="E299" s="57"/>
      <c r="F299" s="58"/>
      <c r="G299" s="56"/>
      <c r="H299" s="56"/>
      <c r="I299" s="59"/>
      <c r="J299" s="56"/>
      <c r="K299" s="56"/>
      <c r="L299" s="56"/>
      <c r="M299" s="1"/>
      <c r="N299" s="1"/>
      <c r="O299" s="1"/>
      <c r="P299" s="1"/>
      <c r="Q299" s="1"/>
      <c r="R299" s="1"/>
      <c r="S299" s="1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</row>
    <row r="300" spans="1:32" ht="58.5" customHeight="1" x14ac:dyDescent="0.25">
      <c r="A300" s="56"/>
      <c r="B300" s="56"/>
      <c r="C300" s="56"/>
      <c r="D300" s="56"/>
      <c r="E300" s="57"/>
      <c r="F300" s="58"/>
      <c r="G300" s="56"/>
      <c r="H300" s="56"/>
      <c r="I300" s="59"/>
      <c r="J300" s="56"/>
      <c r="K300" s="56"/>
      <c r="L300" s="56"/>
      <c r="M300" s="1"/>
      <c r="N300" s="1"/>
      <c r="O300" s="1"/>
      <c r="P300" s="1"/>
      <c r="Q300" s="1"/>
      <c r="R300" s="1"/>
      <c r="S300" s="1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</row>
    <row r="301" spans="1:32" ht="58.5" customHeight="1" x14ac:dyDescent="0.25">
      <c r="A301" s="56"/>
      <c r="B301" s="56"/>
      <c r="C301" s="56"/>
      <c r="D301" s="56"/>
      <c r="E301" s="57"/>
      <c r="F301" s="58"/>
      <c r="G301" s="56"/>
      <c r="H301" s="56"/>
      <c r="I301" s="59"/>
      <c r="J301" s="56"/>
      <c r="K301" s="56"/>
      <c r="L301" s="56"/>
      <c r="M301" s="1"/>
      <c r="N301" s="1"/>
      <c r="O301" s="1"/>
      <c r="P301" s="1"/>
      <c r="Q301" s="1"/>
      <c r="R301" s="1"/>
      <c r="S301" s="1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</row>
    <row r="302" spans="1:32" ht="58.5" customHeight="1" x14ac:dyDescent="0.25">
      <c r="A302" s="56"/>
      <c r="B302" s="56"/>
      <c r="C302" s="56"/>
      <c r="D302" s="56"/>
      <c r="E302" s="57"/>
      <c r="F302" s="58"/>
      <c r="G302" s="56"/>
      <c r="H302" s="56"/>
      <c r="I302" s="59"/>
      <c r="J302" s="56"/>
      <c r="K302" s="56"/>
      <c r="L302" s="56"/>
      <c r="M302" s="1"/>
      <c r="N302" s="1"/>
      <c r="O302" s="1"/>
      <c r="P302" s="1"/>
      <c r="Q302" s="1"/>
      <c r="R302" s="1"/>
      <c r="S302" s="1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</row>
    <row r="303" spans="1:32" ht="58.5" customHeight="1" x14ac:dyDescent="0.25">
      <c r="A303" s="56"/>
      <c r="B303" s="56"/>
      <c r="C303" s="56"/>
      <c r="D303" s="56"/>
      <c r="E303" s="57"/>
      <c r="F303" s="58"/>
      <c r="G303" s="56"/>
      <c r="H303" s="56"/>
      <c r="I303" s="59"/>
      <c r="J303" s="56"/>
      <c r="K303" s="56"/>
      <c r="L303" s="56"/>
      <c r="M303" s="1"/>
      <c r="N303" s="1"/>
      <c r="O303" s="1"/>
      <c r="P303" s="1"/>
      <c r="Q303" s="1"/>
      <c r="R303" s="1"/>
      <c r="S303" s="1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</row>
    <row r="304" spans="1:32" ht="58.5" customHeight="1" x14ac:dyDescent="0.25">
      <c r="A304" s="56"/>
      <c r="B304" s="56"/>
      <c r="C304" s="56"/>
      <c r="D304" s="56"/>
      <c r="E304" s="57"/>
      <c r="F304" s="58"/>
      <c r="G304" s="56"/>
      <c r="H304" s="56"/>
      <c r="I304" s="59"/>
      <c r="J304" s="56"/>
      <c r="K304" s="56"/>
      <c r="L304" s="56"/>
      <c r="M304" s="1"/>
      <c r="N304" s="1"/>
      <c r="O304" s="1"/>
      <c r="P304" s="1"/>
      <c r="Q304" s="1"/>
      <c r="R304" s="1"/>
      <c r="S304" s="1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</row>
    <row r="305" spans="1:32" ht="58.5" customHeight="1" x14ac:dyDescent="0.25">
      <c r="A305" s="56"/>
      <c r="B305" s="56"/>
      <c r="C305" s="56"/>
      <c r="D305" s="56"/>
      <c r="E305" s="57"/>
      <c r="F305" s="58"/>
      <c r="G305" s="56"/>
      <c r="H305" s="56"/>
      <c r="I305" s="59"/>
      <c r="J305" s="56"/>
      <c r="K305" s="56"/>
      <c r="L305" s="56"/>
      <c r="M305" s="1"/>
      <c r="N305" s="1"/>
      <c r="O305" s="1"/>
      <c r="P305" s="1"/>
      <c r="Q305" s="1"/>
      <c r="R305" s="1"/>
      <c r="S305" s="1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</row>
    <row r="306" spans="1:32" ht="58.5" customHeight="1" x14ac:dyDescent="0.25">
      <c r="A306" s="56"/>
      <c r="B306" s="56"/>
      <c r="C306" s="56"/>
      <c r="D306" s="56"/>
      <c r="E306" s="57"/>
      <c r="F306" s="58"/>
      <c r="G306" s="56"/>
      <c r="H306" s="56"/>
      <c r="I306" s="59"/>
      <c r="J306" s="56"/>
      <c r="K306" s="56"/>
      <c r="L306" s="56"/>
      <c r="M306" s="1"/>
      <c r="N306" s="1"/>
      <c r="O306" s="1"/>
      <c r="P306" s="1"/>
      <c r="Q306" s="1"/>
      <c r="R306" s="1"/>
      <c r="S306" s="1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</row>
    <row r="307" spans="1:32" ht="58.5" customHeight="1" x14ac:dyDescent="0.25">
      <c r="A307" s="56"/>
      <c r="B307" s="56"/>
      <c r="C307" s="56"/>
      <c r="D307" s="56"/>
      <c r="E307" s="57"/>
      <c r="F307" s="58"/>
      <c r="G307" s="56"/>
      <c r="H307" s="56"/>
      <c r="I307" s="59"/>
      <c r="J307" s="56"/>
      <c r="K307" s="56"/>
      <c r="L307" s="56"/>
      <c r="M307" s="1"/>
      <c r="N307" s="1"/>
      <c r="O307" s="1"/>
      <c r="P307" s="1"/>
      <c r="Q307" s="1"/>
      <c r="R307" s="1"/>
      <c r="S307" s="1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</row>
    <row r="308" spans="1:32" ht="58.5" customHeight="1" x14ac:dyDescent="0.25">
      <c r="A308" s="56"/>
      <c r="B308" s="56"/>
      <c r="C308" s="56"/>
      <c r="D308" s="56"/>
      <c r="E308" s="57"/>
      <c r="F308" s="58"/>
      <c r="G308" s="56"/>
      <c r="H308" s="56"/>
      <c r="I308" s="59"/>
      <c r="J308" s="56"/>
      <c r="K308" s="56"/>
      <c r="L308" s="56"/>
      <c r="M308" s="1"/>
      <c r="N308" s="1"/>
      <c r="O308" s="1"/>
      <c r="P308" s="1"/>
      <c r="Q308" s="1"/>
      <c r="R308" s="1"/>
      <c r="S308" s="1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</row>
    <row r="309" spans="1:32" ht="58.5" customHeight="1" x14ac:dyDescent="0.25">
      <c r="A309" s="56"/>
      <c r="B309" s="56"/>
      <c r="C309" s="56"/>
      <c r="D309" s="56"/>
      <c r="E309" s="57"/>
      <c r="F309" s="58"/>
      <c r="G309" s="56"/>
      <c r="H309" s="56"/>
      <c r="I309" s="59"/>
      <c r="J309" s="56"/>
      <c r="K309" s="56"/>
      <c r="L309" s="56"/>
      <c r="M309" s="1"/>
      <c r="N309" s="1"/>
      <c r="O309" s="1"/>
      <c r="P309" s="1"/>
      <c r="Q309" s="1"/>
      <c r="R309" s="1"/>
      <c r="S309" s="1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</row>
    <row r="310" spans="1:32" ht="58.5" customHeight="1" x14ac:dyDescent="0.25">
      <c r="A310" s="56"/>
      <c r="B310" s="56"/>
      <c r="C310" s="56"/>
      <c r="D310" s="56"/>
      <c r="E310" s="57"/>
      <c r="F310" s="58"/>
      <c r="G310" s="56"/>
      <c r="H310" s="56"/>
      <c r="I310" s="59"/>
      <c r="J310" s="56"/>
      <c r="K310" s="56"/>
      <c r="L310" s="56"/>
      <c r="M310" s="1"/>
      <c r="N310" s="1"/>
      <c r="O310" s="1"/>
      <c r="P310" s="1"/>
      <c r="Q310" s="1"/>
      <c r="R310" s="1"/>
      <c r="S310" s="1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</row>
    <row r="311" spans="1:32" ht="58.5" customHeight="1" x14ac:dyDescent="0.25">
      <c r="A311" s="56"/>
      <c r="B311" s="56"/>
      <c r="C311" s="56"/>
      <c r="D311" s="56"/>
      <c r="E311" s="57"/>
      <c r="F311" s="58"/>
      <c r="G311" s="56"/>
      <c r="H311" s="56"/>
      <c r="I311" s="59"/>
      <c r="J311" s="56"/>
      <c r="K311" s="56"/>
      <c r="L311" s="56"/>
      <c r="M311" s="1"/>
      <c r="N311" s="1"/>
      <c r="O311" s="1"/>
      <c r="P311" s="1"/>
      <c r="Q311" s="1"/>
      <c r="R311" s="1"/>
      <c r="S311" s="1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</row>
    <row r="312" spans="1:32" ht="58.5" customHeight="1" x14ac:dyDescent="0.25">
      <c r="A312" s="56"/>
      <c r="B312" s="56"/>
      <c r="C312" s="56"/>
      <c r="D312" s="56"/>
      <c r="E312" s="57"/>
      <c r="F312" s="58"/>
      <c r="G312" s="56"/>
      <c r="H312" s="56"/>
      <c r="I312" s="59"/>
      <c r="J312" s="56"/>
      <c r="K312" s="56"/>
      <c r="L312" s="56"/>
      <c r="M312" s="1"/>
      <c r="N312" s="1"/>
      <c r="O312" s="1"/>
      <c r="P312" s="1"/>
      <c r="Q312" s="1"/>
      <c r="R312" s="1"/>
      <c r="S312" s="1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</row>
    <row r="313" spans="1:32" ht="58.5" customHeight="1" x14ac:dyDescent="0.25">
      <c r="A313" s="56"/>
      <c r="B313" s="56"/>
      <c r="C313" s="56"/>
      <c r="D313" s="56"/>
      <c r="E313" s="57"/>
      <c r="F313" s="58"/>
      <c r="G313" s="56"/>
      <c r="H313" s="56"/>
      <c r="I313" s="59"/>
      <c r="J313" s="56"/>
      <c r="K313" s="56"/>
      <c r="L313" s="56"/>
      <c r="M313" s="1"/>
      <c r="N313" s="1"/>
      <c r="O313" s="1"/>
      <c r="P313" s="1"/>
      <c r="Q313" s="1"/>
      <c r="R313" s="1"/>
      <c r="S313" s="1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</row>
    <row r="314" spans="1:32" ht="58.5" customHeight="1" x14ac:dyDescent="0.25">
      <c r="A314" s="56"/>
      <c r="B314" s="56"/>
      <c r="C314" s="56"/>
      <c r="D314" s="56"/>
      <c r="E314" s="57"/>
      <c r="F314" s="58"/>
      <c r="G314" s="56"/>
      <c r="H314" s="56"/>
      <c r="I314" s="59"/>
      <c r="J314" s="56"/>
      <c r="K314" s="56"/>
      <c r="L314" s="56"/>
      <c r="M314" s="1"/>
      <c r="N314" s="1"/>
      <c r="O314" s="1"/>
      <c r="P314" s="1"/>
      <c r="Q314" s="1"/>
      <c r="R314" s="1"/>
      <c r="S314" s="1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</row>
    <row r="315" spans="1:32" ht="58.5" customHeight="1" x14ac:dyDescent="0.25">
      <c r="A315" s="56"/>
      <c r="B315" s="56"/>
      <c r="C315" s="56"/>
      <c r="D315" s="56"/>
      <c r="E315" s="57"/>
      <c r="F315" s="58"/>
      <c r="G315" s="56"/>
      <c r="H315" s="56"/>
      <c r="I315" s="59"/>
      <c r="J315" s="56"/>
      <c r="K315" s="56"/>
      <c r="L315" s="56"/>
      <c r="M315" s="1"/>
      <c r="N315" s="1"/>
      <c r="O315" s="1"/>
      <c r="P315" s="1"/>
      <c r="Q315" s="1"/>
      <c r="R315" s="1"/>
      <c r="S315" s="1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</row>
    <row r="316" spans="1:32" ht="58.5" customHeight="1" x14ac:dyDescent="0.25">
      <c r="A316" s="56"/>
      <c r="B316" s="56"/>
      <c r="C316" s="56"/>
      <c r="D316" s="56"/>
      <c r="E316" s="57"/>
      <c r="F316" s="58"/>
      <c r="G316" s="56"/>
      <c r="H316" s="56"/>
      <c r="I316" s="59"/>
      <c r="J316" s="56"/>
      <c r="K316" s="56"/>
      <c r="L316" s="56"/>
      <c r="M316" s="1"/>
      <c r="N316" s="1"/>
      <c r="O316" s="1"/>
      <c r="P316" s="1"/>
      <c r="Q316" s="1"/>
      <c r="R316" s="1"/>
      <c r="S316" s="1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</row>
    <row r="317" spans="1:32" ht="58.5" customHeight="1" x14ac:dyDescent="0.25">
      <c r="A317" s="56"/>
      <c r="B317" s="56"/>
      <c r="C317" s="56"/>
      <c r="D317" s="56"/>
      <c r="E317" s="57"/>
      <c r="F317" s="58"/>
      <c r="G317" s="56"/>
      <c r="H317" s="56"/>
      <c r="I317" s="59"/>
      <c r="J317" s="56"/>
      <c r="K317" s="56"/>
      <c r="L317" s="56"/>
      <c r="M317" s="1"/>
      <c r="N317" s="1"/>
      <c r="O317" s="1"/>
      <c r="P317" s="1"/>
      <c r="Q317" s="1"/>
      <c r="R317" s="1"/>
      <c r="S317" s="1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</row>
    <row r="318" spans="1:32" ht="58.5" customHeight="1" x14ac:dyDescent="0.25">
      <c r="A318" s="56"/>
      <c r="B318" s="56"/>
      <c r="C318" s="56"/>
      <c r="D318" s="56"/>
      <c r="E318" s="57"/>
      <c r="F318" s="58"/>
      <c r="G318" s="56"/>
      <c r="H318" s="56"/>
      <c r="I318" s="59"/>
      <c r="J318" s="56"/>
      <c r="K318" s="56"/>
      <c r="L318" s="56"/>
      <c r="M318" s="1"/>
      <c r="N318" s="1"/>
      <c r="O318" s="1"/>
      <c r="P318" s="1"/>
      <c r="Q318" s="1"/>
      <c r="R318" s="1"/>
      <c r="S318" s="1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</row>
    <row r="319" spans="1:32" ht="58.5" customHeight="1" x14ac:dyDescent="0.25">
      <c r="A319" s="56"/>
      <c r="B319" s="56"/>
      <c r="C319" s="56"/>
      <c r="D319" s="56"/>
      <c r="E319" s="57"/>
      <c r="F319" s="58"/>
      <c r="G319" s="56"/>
      <c r="H319" s="56"/>
      <c r="I319" s="59"/>
      <c r="J319" s="56"/>
      <c r="K319" s="56"/>
      <c r="L319" s="56"/>
      <c r="M319" s="1"/>
      <c r="N319" s="1"/>
      <c r="O319" s="1"/>
      <c r="P319" s="1"/>
      <c r="Q319" s="1"/>
      <c r="R319" s="1"/>
      <c r="S319" s="1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</row>
    <row r="320" spans="1:32" ht="58.5" customHeight="1" x14ac:dyDescent="0.25">
      <c r="A320" s="56"/>
      <c r="B320" s="56"/>
      <c r="C320" s="56"/>
      <c r="D320" s="56"/>
      <c r="E320" s="57"/>
      <c r="F320" s="58"/>
      <c r="G320" s="56"/>
      <c r="H320" s="56"/>
      <c r="I320" s="59"/>
      <c r="J320" s="56"/>
      <c r="K320" s="56"/>
      <c r="L320" s="56"/>
      <c r="M320" s="1"/>
      <c r="N320" s="1"/>
      <c r="O320" s="1"/>
      <c r="P320" s="1"/>
      <c r="Q320" s="1"/>
      <c r="R320" s="1"/>
      <c r="S320" s="1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</row>
    <row r="321" spans="1:32" ht="58.5" customHeight="1" x14ac:dyDescent="0.25">
      <c r="A321" s="56"/>
      <c r="B321" s="56"/>
      <c r="C321" s="56"/>
      <c r="D321" s="56"/>
      <c r="E321" s="57"/>
      <c r="F321" s="58"/>
      <c r="G321" s="56"/>
      <c r="H321" s="56"/>
      <c r="I321" s="59"/>
      <c r="J321" s="56"/>
      <c r="K321" s="56"/>
      <c r="L321" s="56"/>
      <c r="M321" s="1"/>
      <c r="N321" s="1"/>
      <c r="O321" s="1"/>
      <c r="P321" s="1"/>
      <c r="Q321" s="1"/>
      <c r="R321" s="1"/>
      <c r="S321" s="1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</row>
    <row r="322" spans="1:32" ht="58.5" customHeight="1" x14ac:dyDescent="0.25">
      <c r="A322" s="56"/>
      <c r="B322" s="56"/>
      <c r="C322" s="56"/>
      <c r="D322" s="56"/>
      <c r="E322" s="57"/>
      <c r="F322" s="58"/>
      <c r="G322" s="56"/>
      <c r="H322" s="56"/>
      <c r="I322" s="59"/>
      <c r="J322" s="56"/>
      <c r="K322" s="56"/>
      <c r="L322" s="56"/>
      <c r="M322" s="1"/>
      <c r="N322" s="1"/>
      <c r="O322" s="1"/>
      <c r="P322" s="1"/>
      <c r="Q322" s="1"/>
      <c r="R322" s="1"/>
      <c r="S322" s="1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</row>
    <row r="323" spans="1:32" ht="58.5" customHeight="1" x14ac:dyDescent="0.25">
      <c r="A323" s="56"/>
      <c r="B323" s="56"/>
      <c r="C323" s="56"/>
      <c r="D323" s="56"/>
      <c r="E323" s="57"/>
      <c r="F323" s="58"/>
      <c r="G323" s="56"/>
      <c r="H323" s="56"/>
      <c r="I323" s="59"/>
      <c r="J323" s="56"/>
      <c r="K323" s="56"/>
      <c r="L323" s="56"/>
      <c r="M323" s="1"/>
      <c r="N323" s="1"/>
      <c r="O323" s="1"/>
      <c r="P323" s="1"/>
      <c r="Q323" s="1"/>
      <c r="R323" s="1"/>
      <c r="S323" s="1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</row>
    <row r="324" spans="1:32" ht="58.5" customHeight="1" x14ac:dyDescent="0.25">
      <c r="A324" s="56"/>
      <c r="B324" s="56"/>
      <c r="C324" s="56"/>
      <c r="D324" s="56"/>
      <c r="E324" s="57"/>
      <c r="F324" s="58"/>
      <c r="G324" s="56"/>
      <c r="H324" s="56"/>
      <c r="I324" s="59"/>
      <c r="J324" s="56"/>
      <c r="K324" s="56"/>
      <c r="L324" s="56"/>
      <c r="M324" s="1"/>
      <c r="N324" s="1"/>
      <c r="O324" s="1"/>
      <c r="P324" s="1"/>
      <c r="Q324" s="1"/>
      <c r="R324" s="1"/>
      <c r="S324" s="1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</row>
    <row r="325" spans="1:32" ht="58.5" customHeight="1" x14ac:dyDescent="0.25">
      <c r="A325" s="56"/>
      <c r="B325" s="56"/>
      <c r="C325" s="56"/>
      <c r="D325" s="56"/>
      <c r="E325" s="57"/>
      <c r="F325" s="58"/>
      <c r="G325" s="56"/>
      <c r="H325" s="56"/>
      <c r="I325" s="59"/>
      <c r="J325" s="56"/>
      <c r="K325" s="56"/>
      <c r="L325" s="56"/>
      <c r="M325" s="1"/>
      <c r="N325" s="1"/>
      <c r="O325" s="1"/>
      <c r="P325" s="1"/>
      <c r="Q325" s="1"/>
      <c r="R325" s="1"/>
      <c r="S325" s="1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</row>
    <row r="326" spans="1:32" ht="58.5" customHeight="1" x14ac:dyDescent="0.25">
      <c r="A326" s="56"/>
      <c r="B326" s="56"/>
      <c r="C326" s="56"/>
      <c r="D326" s="56"/>
      <c r="E326" s="57"/>
      <c r="F326" s="58"/>
      <c r="G326" s="56"/>
      <c r="H326" s="56"/>
      <c r="I326" s="59"/>
      <c r="J326" s="56"/>
      <c r="K326" s="56"/>
      <c r="L326" s="56"/>
      <c r="M326" s="1"/>
      <c r="N326" s="1"/>
      <c r="O326" s="1"/>
      <c r="P326" s="1"/>
      <c r="Q326" s="1"/>
      <c r="R326" s="1"/>
      <c r="S326" s="1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</row>
    <row r="327" spans="1:32" ht="58.5" customHeight="1" x14ac:dyDescent="0.25">
      <c r="A327" s="56"/>
      <c r="B327" s="56"/>
      <c r="C327" s="56"/>
      <c r="D327" s="56"/>
      <c r="E327" s="57"/>
      <c r="F327" s="58"/>
      <c r="G327" s="56"/>
      <c r="H327" s="56"/>
      <c r="I327" s="59"/>
      <c r="J327" s="56"/>
      <c r="K327" s="56"/>
      <c r="L327" s="56"/>
      <c r="M327" s="1"/>
      <c r="N327" s="1"/>
      <c r="O327" s="1"/>
      <c r="P327" s="1"/>
      <c r="Q327" s="1"/>
      <c r="R327" s="1"/>
      <c r="S327" s="1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</row>
    <row r="328" spans="1:32" ht="58.5" customHeight="1" x14ac:dyDescent="0.25">
      <c r="A328" s="56"/>
      <c r="B328" s="56"/>
      <c r="C328" s="56"/>
      <c r="D328" s="56"/>
      <c r="E328" s="57"/>
      <c r="F328" s="58"/>
      <c r="G328" s="56"/>
      <c r="H328" s="56"/>
      <c r="I328" s="59"/>
      <c r="J328" s="56"/>
      <c r="K328" s="56"/>
      <c r="L328" s="56"/>
      <c r="M328" s="1"/>
      <c r="N328" s="1"/>
      <c r="O328" s="1"/>
      <c r="P328" s="1"/>
      <c r="Q328" s="1"/>
      <c r="R328" s="1"/>
      <c r="S328" s="1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</row>
    <row r="329" spans="1:32" ht="58.5" customHeight="1" x14ac:dyDescent="0.25">
      <c r="A329" s="56"/>
      <c r="B329" s="56"/>
      <c r="C329" s="56"/>
      <c r="D329" s="56"/>
      <c r="E329" s="57"/>
      <c r="F329" s="58"/>
      <c r="G329" s="56"/>
      <c r="H329" s="56"/>
      <c r="I329" s="59"/>
      <c r="J329" s="56"/>
      <c r="K329" s="56"/>
      <c r="L329" s="56"/>
      <c r="M329" s="1"/>
      <c r="N329" s="1"/>
      <c r="O329" s="1"/>
      <c r="P329" s="1"/>
      <c r="Q329" s="1"/>
      <c r="R329" s="1"/>
      <c r="S329" s="1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</row>
    <row r="330" spans="1:32" ht="58.5" customHeight="1" x14ac:dyDescent="0.25">
      <c r="A330" s="56"/>
      <c r="B330" s="56"/>
      <c r="C330" s="56"/>
      <c r="D330" s="56"/>
      <c r="E330" s="57"/>
      <c r="F330" s="58"/>
      <c r="G330" s="56"/>
      <c r="H330" s="56"/>
      <c r="I330" s="59"/>
      <c r="J330" s="56"/>
      <c r="K330" s="56"/>
      <c r="L330" s="56"/>
      <c r="M330" s="1"/>
      <c r="N330" s="1"/>
      <c r="O330" s="1"/>
      <c r="P330" s="1"/>
      <c r="Q330" s="1"/>
      <c r="R330" s="1"/>
      <c r="S330" s="1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</row>
    <row r="331" spans="1:32" ht="58.5" customHeight="1" x14ac:dyDescent="0.25">
      <c r="A331" s="56"/>
      <c r="B331" s="56"/>
      <c r="C331" s="56"/>
      <c r="D331" s="56"/>
      <c r="E331" s="57"/>
      <c r="F331" s="58"/>
      <c r="G331" s="56"/>
      <c r="H331" s="56"/>
      <c r="I331" s="59"/>
      <c r="J331" s="56"/>
      <c r="K331" s="56"/>
      <c r="L331" s="56"/>
      <c r="M331" s="1"/>
      <c r="N331" s="1"/>
      <c r="O331" s="1"/>
      <c r="P331" s="1"/>
      <c r="Q331" s="1"/>
      <c r="R331" s="1"/>
      <c r="S331" s="1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</row>
    <row r="332" spans="1:32" ht="58.5" customHeight="1" x14ac:dyDescent="0.25">
      <c r="A332" s="56"/>
      <c r="B332" s="56"/>
      <c r="C332" s="56"/>
      <c r="D332" s="56"/>
      <c r="E332" s="57"/>
      <c r="F332" s="58"/>
      <c r="G332" s="56"/>
      <c r="H332" s="56"/>
      <c r="I332" s="59"/>
      <c r="J332" s="56"/>
      <c r="K332" s="56"/>
      <c r="L332" s="56"/>
      <c r="M332" s="1"/>
      <c r="N332" s="1"/>
      <c r="O332" s="1"/>
      <c r="P332" s="1"/>
      <c r="Q332" s="1"/>
      <c r="R332" s="1"/>
      <c r="S332" s="1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</row>
    <row r="333" spans="1:32" ht="58.5" customHeight="1" x14ac:dyDescent="0.25">
      <c r="A333" s="56"/>
      <c r="B333" s="56"/>
      <c r="C333" s="56"/>
      <c r="D333" s="56"/>
      <c r="E333" s="57"/>
      <c r="F333" s="58"/>
      <c r="G333" s="56"/>
      <c r="H333" s="56"/>
      <c r="I333" s="59"/>
      <c r="J333" s="56"/>
      <c r="K333" s="56"/>
      <c r="L333" s="56"/>
      <c r="M333" s="1"/>
      <c r="N333" s="1"/>
      <c r="O333" s="1"/>
      <c r="P333" s="1"/>
      <c r="Q333" s="1"/>
      <c r="R333" s="1"/>
      <c r="S333" s="1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</row>
    <row r="334" spans="1:32" ht="58.5" customHeight="1" x14ac:dyDescent="0.25">
      <c r="A334" s="56"/>
      <c r="B334" s="56"/>
      <c r="C334" s="56"/>
      <c r="D334" s="56"/>
      <c r="E334" s="57"/>
      <c r="F334" s="58"/>
      <c r="G334" s="56"/>
      <c r="H334" s="56"/>
      <c r="I334" s="59"/>
      <c r="J334" s="56"/>
      <c r="K334" s="56"/>
      <c r="L334" s="56"/>
      <c r="M334" s="1"/>
      <c r="N334" s="1"/>
      <c r="O334" s="1"/>
      <c r="P334" s="1"/>
      <c r="Q334" s="1"/>
      <c r="R334" s="1"/>
      <c r="S334" s="1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</row>
    <row r="335" spans="1:32" ht="58.5" customHeight="1" x14ac:dyDescent="0.25">
      <c r="A335" s="56"/>
      <c r="B335" s="56"/>
      <c r="C335" s="56"/>
      <c r="D335" s="56"/>
      <c r="E335" s="57"/>
      <c r="F335" s="58"/>
      <c r="G335" s="56"/>
      <c r="H335" s="56"/>
      <c r="I335" s="59"/>
      <c r="J335" s="56"/>
      <c r="K335" s="56"/>
      <c r="L335" s="56"/>
      <c r="M335" s="1"/>
      <c r="N335" s="1"/>
      <c r="O335" s="1"/>
      <c r="P335" s="1"/>
      <c r="Q335" s="1"/>
      <c r="R335" s="1"/>
      <c r="S335" s="1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</row>
    <row r="336" spans="1:32" ht="58.5" customHeight="1" x14ac:dyDescent="0.25">
      <c r="A336" s="56"/>
      <c r="B336" s="56"/>
      <c r="C336" s="56"/>
      <c r="D336" s="56"/>
      <c r="E336" s="57"/>
      <c r="F336" s="58"/>
      <c r="G336" s="56"/>
      <c r="H336" s="56"/>
      <c r="I336" s="59"/>
      <c r="J336" s="56"/>
      <c r="K336" s="56"/>
      <c r="L336" s="56"/>
      <c r="M336" s="1"/>
      <c r="N336" s="1"/>
      <c r="O336" s="1"/>
      <c r="P336" s="1"/>
      <c r="Q336" s="1"/>
      <c r="R336" s="1"/>
      <c r="S336" s="1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</row>
    <row r="337" spans="1:32" ht="58.5" customHeight="1" x14ac:dyDescent="0.25">
      <c r="A337" s="56"/>
      <c r="B337" s="56"/>
      <c r="C337" s="56"/>
      <c r="D337" s="56"/>
      <c r="E337" s="57"/>
      <c r="F337" s="58"/>
      <c r="G337" s="56"/>
      <c r="H337" s="56"/>
      <c r="I337" s="59"/>
      <c r="J337" s="56"/>
      <c r="K337" s="56"/>
      <c r="L337" s="56"/>
      <c r="M337" s="1"/>
      <c r="N337" s="1"/>
      <c r="O337" s="1"/>
      <c r="P337" s="1"/>
      <c r="Q337" s="1"/>
      <c r="R337" s="1"/>
      <c r="S337" s="1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</row>
    <row r="338" spans="1:32" ht="58.5" customHeight="1" x14ac:dyDescent="0.25">
      <c r="A338" s="56"/>
      <c r="B338" s="56"/>
      <c r="C338" s="56"/>
      <c r="D338" s="56"/>
      <c r="E338" s="57"/>
      <c r="F338" s="58"/>
      <c r="G338" s="56"/>
      <c r="H338" s="56"/>
      <c r="I338" s="59"/>
      <c r="J338" s="56"/>
      <c r="K338" s="56"/>
      <c r="L338" s="56"/>
      <c r="M338" s="1"/>
      <c r="N338" s="1"/>
      <c r="O338" s="1"/>
      <c r="P338" s="1"/>
      <c r="Q338" s="1"/>
      <c r="R338" s="1"/>
      <c r="S338" s="1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</row>
    <row r="339" spans="1:32" ht="58.5" customHeight="1" x14ac:dyDescent="0.25">
      <c r="A339" s="56"/>
      <c r="B339" s="56"/>
      <c r="C339" s="56"/>
      <c r="D339" s="56"/>
      <c r="E339" s="57"/>
      <c r="F339" s="58"/>
      <c r="G339" s="56"/>
      <c r="H339" s="56"/>
      <c r="I339" s="59"/>
      <c r="J339" s="56"/>
      <c r="K339" s="56"/>
      <c r="L339" s="56"/>
      <c r="M339" s="1"/>
      <c r="N339" s="1"/>
      <c r="O339" s="1"/>
      <c r="P339" s="1"/>
      <c r="Q339" s="1"/>
      <c r="R339" s="1"/>
      <c r="S339" s="1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</row>
    <row r="340" spans="1:32" ht="58.5" customHeight="1" x14ac:dyDescent="0.25">
      <c r="A340" s="56"/>
      <c r="B340" s="56"/>
      <c r="C340" s="56"/>
      <c r="D340" s="56"/>
      <c r="E340" s="57"/>
      <c r="F340" s="58"/>
      <c r="G340" s="56"/>
      <c r="H340" s="56"/>
      <c r="I340" s="59"/>
      <c r="J340" s="56"/>
      <c r="K340" s="56"/>
      <c r="L340" s="56"/>
      <c r="M340" s="1"/>
      <c r="N340" s="1"/>
      <c r="O340" s="1"/>
      <c r="P340" s="1"/>
      <c r="Q340" s="1"/>
      <c r="R340" s="1"/>
      <c r="S340" s="1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</row>
    <row r="341" spans="1:32" ht="58.5" customHeight="1" x14ac:dyDescent="0.25">
      <c r="A341" s="56"/>
      <c r="B341" s="56"/>
      <c r="C341" s="56"/>
      <c r="D341" s="56"/>
      <c r="E341" s="57"/>
      <c r="F341" s="58"/>
      <c r="G341" s="56"/>
      <c r="H341" s="56"/>
      <c r="I341" s="59"/>
      <c r="J341" s="56"/>
      <c r="K341" s="56"/>
      <c r="L341" s="56"/>
      <c r="M341" s="1"/>
      <c r="N341" s="1"/>
      <c r="O341" s="1"/>
      <c r="P341" s="1"/>
      <c r="Q341" s="1"/>
      <c r="R341" s="1"/>
      <c r="S341" s="1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</row>
    <row r="342" spans="1:32" ht="58.5" customHeight="1" x14ac:dyDescent="0.25">
      <c r="A342" s="56"/>
      <c r="B342" s="56"/>
      <c r="C342" s="56"/>
      <c r="D342" s="56"/>
      <c r="E342" s="57"/>
      <c r="F342" s="58"/>
      <c r="G342" s="56"/>
      <c r="H342" s="56"/>
      <c r="I342" s="59"/>
      <c r="J342" s="56"/>
      <c r="K342" s="56"/>
      <c r="L342" s="56"/>
      <c r="M342" s="1"/>
      <c r="N342" s="1"/>
      <c r="O342" s="1"/>
      <c r="P342" s="1"/>
      <c r="Q342" s="1"/>
      <c r="R342" s="1"/>
      <c r="S342" s="1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</row>
    <row r="343" spans="1:32" ht="58.5" customHeight="1" x14ac:dyDescent="0.25">
      <c r="A343" s="56"/>
      <c r="B343" s="56"/>
      <c r="C343" s="56"/>
      <c r="D343" s="56"/>
      <c r="E343" s="57"/>
      <c r="F343" s="58"/>
      <c r="G343" s="56"/>
      <c r="H343" s="56"/>
      <c r="I343" s="59"/>
      <c r="J343" s="56"/>
      <c r="K343" s="56"/>
      <c r="L343" s="56"/>
      <c r="M343" s="1"/>
      <c r="N343" s="1"/>
      <c r="O343" s="1"/>
      <c r="P343" s="1"/>
      <c r="Q343" s="1"/>
      <c r="R343" s="1"/>
      <c r="S343" s="1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</row>
    <row r="344" spans="1:32" ht="58.5" customHeight="1" x14ac:dyDescent="0.25">
      <c r="A344" s="56"/>
      <c r="B344" s="56"/>
      <c r="C344" s="56"/>
      <c r="D344" s="56"/>
      <c r="E344" s="57"/>
      <c r="F344" s="58"/>
      <c r="G344" s="56"/>
      <c r="H344" s="56"/>
      <c r="I344" s="59"/>
      <c r="J344" s="56"/>
      <c r="K344" s="56"/>
      <c r="L344" s="56"/>
      <c r="M344" s="1"/>
      <c r="N344" s="1"/>
      <c r="O344" s="1"/>
      <c r="P344" s="1"/>
      <c r="Q344" s="1"/>
      <c r="R344" s="1"/>
      <c r="S344" s="1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</row>
    <row r="345" spans="1:32" ht="58.5" customHeight="1" x14ac:dyDescent="0.25">
      <c r="A345" s="56"/>
      <c r="B345" s="56"/>
      <c r="C345" s="56"/>
      <c r="D345" s="56"/>
      <c r="E345" s="57"/>
      <c r="F345" s="58"/>
      <c r="G345" s="56"/>
      <c r="H345" s="56"/>
      <c r="I345" s="59"/>
      <c r="J345" s="56"/>
      <c r="K345" s="56"/>
      <c r="L345" s="56"/>
      <c r="M345" s="1"/>
      <c r="N345" s="1"/>
      <c r="O345" s="1"/>
      <c r="P345" s="1"/>
      <c r="Q345" s="1"/>
      <c r="R345" s="1"/>
      <c r="S345" s="1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</row>
    <row r="346" spans="1:32" ht="58.5" customHeight="1" x14ac:dyDescent="0.25">
      <c r="A346" s="56"/>
      <c r="B346" s="56"/>
      <c r="C346" s="56"/>
      <c r="D346" s="56"/>
      <c r="E346" s="57"/>
      <c r="F346" s="58"/>
      <c r="G346" s="56"/>
      <c r="H346" s="56"/>
      <c r="I346" s="59"/>
      <c r="J346" s="56"/>
      <c r="K346" s="56"/>
      <c r="L346" s="56"/>
      <c r="M346" s="1"/>
      <c r="N346" s="1"/>
      <c r="O346" s="1"/>
      <c r="P346" s="1"/>
      <c r="Q346" s="1"/>
      <c r="R346" s="1"/>
      <c r="S346" s="1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</row>
    <row r="347" spans="1:32" ht="58.5" customHeight="1" x14ac:dyDescent="0.25">
      <c r="A347" s="56"/>
      <c r="B347" s="56"/>
      <c r="C347" s="56"/>
      <c r="D347" s="56"/>
      <c r="E347" s="57"/>
      <c r="F347" s="58"/>
      <c r="G347" s="56"/>
      <c r="H347" s="56"/>
      <c r="I347" s="59"/>
      <c r="J347" s="56"/>
      <c r="K347" s="56"/>
      <c r="L347" s="56"/>
      <c r="M347" s="1"/>
      <c r="N347" s="1"/>
      <c r="O347" s="1"/>
      <c r="P347" s="1"/>
      <c r="Q347" s="1"/>
      <c r="R347" s="1"/>
      <c r="S347" s="1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</row>
    <row r="348" spans="1:32" ht="58.5" customHeight="1" x14ac:dyDescent="0.25">
      <c r="A348" s="56"/>
      <c r="B348" s="56"/>
      <c r="C348" s="56"/>
      <c r="D348" s="56"/>
      <c r="E348" s="57"/>
      <c r="F348" s="58"/>
      <c r="G348" s="56"/>
      <c r="H348" s="56"/>
      <c r="I348" s="59"/>
      <c r="J348" s="56"/>
      <c r="K348" s="56"/>
      <c r="L348" s="56"/>
      <c r="M348" s="1"/>
      <c r="N348" s="1"/>
      <c r="O348" s="1"/>
      <c r="P348" s="1"/>
      <c r="Q348" s="1"/>
      <c r="R348" s="1"/>
      <c r="S348" s="1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</row>
    <row r="349" spans="1:32" ht="58.5" customHeight="1" x14ac:dyDescent="0.25">
      <c r="A349" s="56"/>
      <c r="B349" s="56"/>
      <c r="C349" s="56"/>
      <c r="D349" s="56"/>
      <c r="E349" s="57"/>
      <c r="F349" s="58"/>
      <c r="G349" s="56"/>
      <c r="H349" s="56"/>
      <c r="I349" s="59"/>
      <c r="J349" s="56"/>
      <c r="K349" s="56"/>
      <c r="L349" s="56"/>
      <c r="M349" s="1"/>
      <c r="N349" s="1"/>
      <c r="O349" s="1"/>
      <c r="P349" s="1"/>
      <c r="Q349" s="1"/>
      <c r="R349" s="1"/>
      <c r="S349" s="1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</row>
    <row r="350" spans="1:32" ht="58.5" customHeight="1" x14ac:dyDescent="0.25">
      <c r="A350" s="56"/>
      <c r="B350" s="56"/>
      <c r="C350" s="56"/>
      <c r="D350" s="56"/>
      <c r="E350" s="57"/>
      <c r="F350" s="58"/>
      <c r="G350" s="56"/>
      <c r="H350" s="56"/>
      <c r="I350" s="59"/>
      <c r="J350" s="56"/>
      <c r="K350" s="56"/>
      <c r="L350" s="56"/>
      <c r="M350" s="1"/>
      <c r="N350" s="1"/>
      <c r="O350" s="1"/>
      <c r="P350" s="1"/>
      <c r="Q350" s="1"/>
      <c r="R350" s="1"/>
      <c r="S350" s="1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</row>
    <row r="351" spans="1:32" ht="58.5" customHeight="1" x14ac:dyDescent="0.25">
      <c r="A351" s="56"/>
      <c r="B351" s="56"/>
      <c r="C351" s="56"/>
      <c r="D351" s="56"/>
      <c r="E351" s="57"/>
      <c r="F351" s="58"/>
      <c r="G351" s="56"/>
      <c r="H351" s="56"/>
      <c r="I351" s="59"/>
      <c r="J351" s="56"/>
      <c r="K351" s="56"/>
      <c r="L351" s="56"/>
      <c r="M351" s="1"/>
      <c r="N351" s="1"/>
      <c r="O351" s="1"/>
      <c r="P351" s="1"/>
      <c r="Q351" s="1"/>
      <c r="R351" s="1"/>
      <c r="S351" s="1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</row>
    <row r="352" spans="1:32" ht="58.5" customHeight="1" x14ac:dyDescent="0.25">
      <c r="A352" s="56"/>
      <c r="B352" s="56"/>
      <c r="C352" s="56"/>
      <c r="D352" s="56"/>
      <c r="E352" s="57"/>
      <c r="F352" s="58"/>
      <c r="G352" s="56"/>
      <c r="H352" s="56"/>
      <c r="I352" s="59"/>
      <c r="J352" s="56"/>
      <c r="K352" s="56"/>
      <c r="L352" s="56"/>
      <c r="M352" s="1"/>
      <c r="N352" s="1"/>
      <c r="O352" s="1"/>
      <c r="P352" s="1"/>
      <c r="Q352" s="1"/>
      <c r="R352" s="1"/>
      <c r="S352" s="1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</row>
    <row r="353" spans="1:32" ht="58.5" customHeight="1" x14ac:dyDescent="0.25">
      <c r="A353" s="56"/>
      <c r="B353" s="56"/>
      <c r="C353" s="56"/>
      <c r="D353" s="56"/>
      <c r="E353" s="57"/>
      <c r="F353" s="58"/>
      <c r="G353" s="56"/>
      <c r="H353" s="56"/>
      <c r="I353" s="59"/>
      <c r="J353" s="56"/>
      <c r="K353" s="56"/>
      <c r="L353" s="56"/>
      <c r="M353" s="1"/>
      <c r="N353" s="1"/>
      <c r="O353" s="1"/>
      <c r="P353" s="1"/>
      <c r="Q353" s="1"/>
      <c r="R353" s="1"/>
      <c r="S353" s="1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</row>
    <row r="354" spans="1:32" ht="58.5" customHeight="1" x14ac:dyDescent="0.25">
      <c r="A354" s="56"/>
      <c r="B354" s="56"/>
      <c r="C354" s="56"/>
      <c r="D354" s="56"/>
      <c r="E354" s="57"/>
      <c r="F354" s="58"/>
      <c r="G354" s="56"/>
      <c r="H354" s="56"/>
      <c r="I354" s="59"/>
      <c r="J354" s="56"/>
      <c r="K354" s="56"/>
      <c r="L354" s="56"/>
      <c r="M354" s="1"/>
      <c r="N354" s="1"/>
      <c r="O354" s="1"/>
      <c r="P354" s="1"/>
      <c r="Q354" s="1"/>
      <c r="R354" s="1"/>
      <c r="S354" s="1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</row>
    <row r="355" spans="1:32" ht="58.5" customHeight="1" x14ac:dyDescent="0.25">
      <c r="A355" s="56"/>
      <c r="B355" s="56"/>
      <c r="C355" s="56"/>
      <c r="D355" s="56"/>
      <c r="E355" s="57"/>
      <c r="F355" s="58"/>
      <c r="G355" s="56"/>
      <c r="H355" s="56"/>
      <c r="I355" s="59"/>
      <c r="J355" s="56"/>
      <c r="K355" s="56"/>
      <c r="L355" s="56"/>
      <c r="M355" s="1"/>
      <c r="N355" s="1"/>
      <c r="O355" s="1"/>
      <c r="P355" s="1"/>
      <c r="Q355" s="1"/>
      <c r="R355" s="1"/>
      <c r="S355" s="1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</row>
    <row r="356" spans="1:32" ht="58.5" customHeight="1" x14ac:dyDescent="0.25">
      <c r="A356" s="56"/>
      <c r="B356" s="56"/>
      <c r="C356" s="56"/>
      <c r="D356" s="56"/>
      <c r="E356" s="57"/>
      <c r="F356" s="58"/>
      <c r="G356" s="56"/>
      <c r="H356" s="56"/>
      <c r="I356" s="59"/>
      <c r="J356" s="56"/>
      <c r="K356" s="56"/>
      <c r="L356" s="56"/>
      <c r="M356" s="1"/>
      <c r="N356" s="1"/>
      <c r="O356" s="1"/>
      <c r="P356" s="1"/>
      <c r="Q356" s="1"/>
      <c r="R356" s="1"/>
      <c r="S356" s="1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</row>
    <row r="357" spans="1:32" ht="58.5" customHeight="1" x14ac:dyDescent="0.25">
      <c r="A357" s="56"/>
      <c r="B357" s="56"/>
      <c r="C357" s="56"/>
      <c r="D357" s="56"/>
      <c r="E357" s="57"/>
      <c r="F357" s="58"/>
      <c r="G357" s="56"/>
      <c r="H357" s="56"/>
      <c r="I357" s="59"/>
      <c r="J357" s="56"/>
      <c r="K357" s="56"/>
      <c r="L357" s="56"/>
      <c r="M357" s="1"/>
      <c r="N357" s="1"/>
      <c r="O357" s="1"/>
      <c r="P357" s="1"/>
      <c r="Q357" s="1"/>
      <c r="R357" s="1"/>
      <c r="S357" s="1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</row>
    <row r="358" spans="1:32" ht="58.5" customHeight="1" x14ac:dyDescent="0.25">
      <c r="A358" s="56"/>
      <c r="B358" s="56"/>
      <c r="C358" s="56"/>
      <c r="D358" s="56"/>
      <c r="E358" s="57"/>
      <c r="F358" s="58"/>
      <c r="G358" s="56"/>
      <c r="H358" s="56"/>
      <c r="I358" s="59"/>
      <c r="J358" s="56"/>
      <c r="K358" s="56"/>
      <c r="L358" s="56"/>
      <c r="M358" s="1"/>
      <c r="N358" s="1"/>
      <c r="O358" s="1"/>
      <c r="P358" s="1"/>
      <c r="Q358" s="1"/>
      <c r="R358" s="1"/>
      <c r="S358" s="1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</row>
    <row r="359" spans="1:32" ht="58.5" customHeight="1" x14ac:dyDescent="0.25">
      <c r="A359" s="56"/>
      <c r="B359" s="56"/>
      <c r="C359" s="56"/>
      <c r="D359" s="56"/>
      <c r="E359" s="57"/>
      <c r="F359" s="58"/>
      <c r="G359" s="56"/>
      <c r="H359" s="56"/>
      <c r="I359" s="59"/>
      <c r="J359" s="56"/>
      <c r="K359" s="56"/>
      <c r="L359" s="56"/>
      <c r="M359" s="1"/>
      <c r="N359" s="1"/>
      <c r="O359" s="1"/>
      <c r="P359" s="1"/>
      <c r="Q359" s="1"/>
      <c r="R359" s="1"/>
      <c r="S359" s="1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</row>
    <row r="360" spans="1:32" ht="58.5" customHeight="1" x14ac:dyDescent="0.25">
      <c r="A360" s="56"/>
      <c r="B360" s="56"/>
      <c r="C360" s="56"/>
      <c r="D360" s="56"/>
      <c r="E360" s="57"/>
      <c r="F360" s="58"/>
      <c r="G360" s="56"/>
      <c r="H360" s="56"/>
      <c r="I360" s="59"/>
      <c r="J360" s="56"/>
      <c r="K360" s="56"/>
      <c r="L360" s="56"/>
      <c r="M360" s="1"/>
      <c r="N360" s="1"/>
      <c r="O360" s="1"/>
      <c r="P360" s="1"/>
      <c r="Q360" s="1"/>
      <c r="R360" s="1"/>
      <c r="S360" s="1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</row>
    <row r="361" spans="1:32" ht="58.5" customHeight="1" x14ac:dyDescent="0.25">
      <c r="A361" s="56"/>
      <c r="B361" s="56"/>
      <c r="C361" s="56"/>
      <c r="D361" s="56"/>
      <c r="E361" s="57"/>
      <c r="F361" s="58"/>
      <c r="G361" s="56"/>
      <c r="H361" s="56"/>
      <c r="I361" s="59"/>
      <c r="J361" s="56"/>
      <c r="K361" s="56"/>
      <c r="L361" s="56"/>
      <c r="M361" s="1"/>
      <c r="N361" s="1"/>
      <c r="O361" s="1"/>
      <c r="P361" s="1"/>
      <c r="Q361" s="1"/>
      <c r="R361" s="1"/>
      <c r="S361" s="1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</row>
    <row r="362" spans="1:32" ht="58.5" customHeight="1" x14ac:dyDescent="0.25">
      <c r="A362" s="56"/>
      <c r="B362" s="56"/>
      <c r="C362" s="56"/>
      <c r="D362" s="56"/>
      <c r="E362" s="57"/>
      <c r="F362" s="58"/>
      <c r="G362" s="56"/>
      <c r="H362" s="56"/>
      <c r="I362" s="59"/>
      <c r="J362" s="56"/>
      <c r="K362" s="56"/>
      <c r="L362" s="56"/>
      <c r="M362" s="1"/>
      <c r="N362" s="1"/>
      <c r="O362" s="1"/>
      <c r="P362" s="1"/>
      <c r="Q362" s="1"/>
      <c r="R362" s="1"/>
      <c r="S362" s="1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</row>
    <row r="363" spans="1:32" ht="58.5" customHeight="1" x14ac:dyDescent="0.25">
      <c r="A363" s="56"/>
      <c r="B363" s="56"/>
      <c r="C363" s="56"/>
      <c r="D363" s="56"/>
      <c r="E363" s="57"/>
      <c r="F363" s="58"/>
      <c r="G363" s="56"/>
      <c r="H363" s="56"/>
      <c r="I363" s="59"/>
      <c r="J363" s="56"/>
      <c r="K363" s="56"/>
      <c r="L363" s="56"/>
      <c r="M363" s="1"/>
      <c r="N363" s="1"/>
      <c r="O363" s="1"/>
      <c r="P363" s="1"/>
      <c r="Q363" s="1"/>
      <c r="R363" s="1"/>
      <c r="S363" s="1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</row>
    <row r="364" spans="1:32" ht="58.5" customHeight="1" x14ac:dyDescent="0.25">
      <c r="A364" s="56"/>
      <c r="B364" s="56"/>
      <c r="C364" s="56"/>
      <c r="D364" s="56"/>
      <c r="E364" s="57"/>
      <c r="F364" s="58"/>
      <c r="G364" s="56"/>
      <c r="H364" s="56"/>
      <c r="I364" s="59"/>
      <c r="J364" s="56"/>
      <c r="K364" s="56"/>
      <c r="L364" s="56"/>
      <c r="M364" s="1"/>
      <c r="N364" s="1"/>
      <c r="O364" s="1"/>
      <c r="P364" s="1"/>
      <c r="Q364" s="1"/>
      <c r="R364" s="1"/>
      <c r="S364" s="1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</row>
    <row r="365" spans="1:32" ht="58.5" customHeight="1" x14ac:dyDescent="0.25">
      <c r="A365" s="56"/>
      <c r="B365" s="56"/>
      <c r="C365" s="56"/>
      <c r="D365" s="56"/>
      <c r="E365" s="57"/>
      <c r="F365" s="58"/>
      <c r="G365" s="56"/>
      <c r="H365" s="56"/>
      <c r="I365" s="59"/>
      <c r="J365" s="56"/>
      <c r="K365" s="56"/>
      <c r="L365" s="56"/>
      <c r="M365" s="1"/>
      <c r="N365" s="1"/>
      <c r="O365" s="1"/>
      <c r="P365" s="1"/>
      <c r="Q365" s="1"/>
      <c r="R365" s="1"/>
      <c r="S365" s="1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</row>
    <row r="366" spans="1:32" ht="58.5" customHeight="1" x14ac:dyDescent="0.25">
      <c r="A366" s="56"/>
      <c r="B366" s="56"/>
      <c r="C366" s="56"/>
      <c r="D366" s="56"/>
      <c r="E366" s="57"/>
      <c r="F366" s="58"/>
      <c r="G366" s="56"/>
      <c r="H366" s="56"/>
      <c r="I366" s="59"/>
      <c r="J366" s="56"/>
      <c r="K366" s="56"/>
      <c r="L366" s="56"/>
      <c r="M366" s="1"/>
      <c r="N366" s="1"/>
      <c r="O366" s="1"/>
      <c r="P366" s="1"/>
      <c r="Q366" s="1"/>
      <c r="R366" s="1"/>
      <c r="S366" s="1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</row>
    <row r="367" spans="1:32" ht="58.5" customHeight="1" x14ac:dyDescent="0.25">
      <c r="A367" s="56"/>
      <c r="B367" s="56"/>
      <c r="C367" s="56"/>
      <c r="D367" s="56"/>
      <c r="E367" s="57"/>
      <c r="F367" s="58"/>
      <c r="G367" s="56"/>
      <c r="H367" s="56"/>
      <c r="I367" s="59"/>
      <c r="J367" s="56"/>
      <c r="K367" s="56"/>
      <c r="L367" s="56"/>
      <c r="M367" s="1"/>
      <c r="N367" s="1"/>
      <c r="O367" s="1"/>
      <c r="P367" s="1"/>
      <c r="Q367" s="1"/>
      <c r="R367" s="1"/>
      <c r="S367" s="1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</row>
    <row r="368" spans="1:32" ht="58.5" customHeight="1" x14ac:dyDescent="0.25">
      <c r="A368" s="56"/>
      <c r="B368" s="56"/>
      <c r="C368" s="56"/>
      <c r="D368" s="56"/>
      <c r="E368" s="57"/>
      <c r="F368" s="58"/>
      <c r="G368" s="56"/>
      <c r="H368" s="56"/>
      <c r="I368" s="59"/>
      <c r="J368" s="56"/>
      <c r="K368" s="56"/>
      <c r="L368" s="56"/>
      <c r="M368" s="1"/>
      <c r="N368" s="1"/>
      <c r="O368" s="1"/>
      <c r="P368" s="1"/>
      <c r="Q368" s="1"/>
      <c r="R368" s="1"/>
      <c r="S368" s="1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</row>
    <row r="369" spans="1:32" ht="58.5" customHeight="1" x14ac:dyDescent="0.25">
      <c r="A369" s="56"/>
      <c r="B369" s="56"/>
      <c r="C369" s="56"/>
      <c r="D369" s="56"/>
      <c r="E369" s="57"/>
      <c r="F369" s="58"/>
      <c r="G369" s="56"/>
      <c r="H369" s="56"/>
      <c r="I369" s="59"/>
      <c r="J369" s="56"/>
      <c r="K369" s="56"/>
      <c r="L369" s="56"/>
      <c r="M369" s="1"/>
      <c r="N369" s="1"/>
      <c r="O369" s="1"/>
      <c r="P369" s="1"/>
      <c r="Q369" s="1"/>
      <c r="R369" s="1"/>
      <c r="S369" s="1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</row>
    <row r="370" spans="1:32" ht="58.5" customHeight="1" x14ac:dyDescent="0.25">
      <c r="A370" s="56"/>
      <c r="B370" s="56"/>
      <c r="C370" s="56"/>
      <c r="D370" s="56"/>
      <c r="E370" s="57"/>
      <c r="F370" s="58"/>
      <c r="G370" s="56"/>
      <c r="H370" s="56"/>
      <c r="I370" s="59"/>
      <c r="J370" s="56"/>
      <c r="K370" s="56"/>
      <c r="L370" s="56"/>
      <c r="M370" s="1"/>
      <c r="N370" s="1"/>
      <c r="O370" s="1"/>
      <c r="P370" s="1"/>
      <c r="Q370" s="1"/>
      <c r="R370" s="1"/>
      <c r="S370" s="1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</row>
    <row r="371" spans="1:32" ht="58.5" customHeight="1" x14ac:dyDescent="0.25">
      <c r="A371" s="56"/>
      <c r="B371" s="56"/>
      <c r="C371" s="56"/>
      <c r="D371" s="56"/>
      <c r="E371" s="57"/>
      <c r="F371" s="58"/>
      <c r="G371" s="56"/>
      <c r="H371" s="56"/>
      <c r="I371" s="59"/>
      <c r="J371" s="56"/>
      <c r="K371" s="56"/>
      <c r="L371" s="56"/>
      <c r="M371" s="1"/>
      <c r="N371" s="1"/>
      <c r="O371" s="1"/>
      <c r="P371" s="1"/>
      <c r="Q371" s="1"/>
      <c r="R371" s="1"/>
      <c r="S371" s="1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</row>
    <row r="372" spans="1:32" ht="58.5" customHeight="1" x14ac:dyDescent="0.25">
      <c r="A372" s="56"/>
      <c r="B372" s="56"/>
      <c r="C372" s="56"/>
      <c r="D372" s="56"/>
      <c r="E372" s="57"/>
      <c r="F372" s="58"/>
      <c r="G372" s="56"/>
      <c r="H372" s="56"/>
      <c r="I372" s="59"/>
      <c r="J372" s="56"/>
      <c r="K372" s="56"/>
      <c r="L372" s="56"/>
      <c r="M372" s="1"/>
      <c r="N372" s="1"/>
      <c r="O372" s="1"/>
      <c r="P372" s="1"/>
      <c r="Q372" s="1"/>
      <c r="R372" s="1"/>
      <c r="S372" s="1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</row>
    <row r="373" spans="1:32" ht="58.5" customHeight="1" x14ac:dyDescent="0.25">
      <c r="A373" s="56"/>
      <c r="B373" s="56"/>
      <c r="C373" s="56"/>
      <c r="D373" s="56"/>
      <c r="E373" s="57"/>
      <c r="F373" s="58"/>
      <c r="G373" s="56"/>
      <c r="H373" s="56"/>
      <c r="I373" s="59"/>
      <c r="J373" s="56"/>
      <c r="K373" s="56"/>
      <c r="L373" s="56"/>
      <c r="M373" s="1"/>
      <c r="N373" s="1"/>
      <c r="O373" s="1"/>
      <c r="P373" s="1"/>
      <c r="Q373" s="1"/>
      <c r="R373" s="1"/>
      <c r="S373" s="1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</row>
    <row r="374" spans="1:32" ht="58.5" customHeight="1" x14ac:dyDescent="0.25">
      <c r="A374" s="56"/>
      <c r="B374" s="56"/>
      <c r="C374" s="56"/>
      <c r="D374" s="56"/>
      <c r="E374" s="57"/>
      <c r="F374" s="58"/>
      <c r="G374" s="56"/>
      <c r="H374" s="56"/>
      <c r="I374" s="59"/>
      <c r="J374" s="56"/>
      <c r="K374" s="56"/>
      <c r="L374" s="56"/>
      <c r="M374" s="1"/>
      <c r="N374" s="1"/>
      <c r="O374" s="1"/>
      <c r="P374" s="1"/>
      <c r="Q374" s="1"/>
      <c r="R374" s="1"/>
      <c r="S374" s="1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</row>
    <row r="375" spans="1:32" ht="58.5" customHeight="1" x14ac:dyDescent="0.25">
      <c r="A375" s="56"/>
      <c r="B375" s="56"/>
      <c r="C375" s="56"/>
      <c r="D375" s="56"/>
      <c r="E375" s="57"/>
      <c r="F375" s="58"/>
      <c r="G375" s="56"/>
      <c r="H375" s="56"/>
      <c r="I375" s="59"/>
      <c r="J375" s="56"/>
      <c r="K375" s="56"/>
      <c r="L375" s="56"/>
      <c r="M375" s="1"/>
      <c r="N375" s="1"/>
      <c r="O375" s="1"/>
      <c r="P375" s="1"/>
      <c r="Q375" s="1"/>
      <c r="R375" s="1"/>
      <c r="S375" s="1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</row>
    <row r="376" spans="1:32" ht="58.5" customHeight="1" x14ac:dyDescent="0.25">
      <c r="A376" s="56"/>
      <c r="B376" s="56"/>
      <c r="C376" s="56"/>
      <c r="D376" s="56"/>
      <c r="E376" s="57"/>
      <c r="F376" s="58"/>
      <c r="G376" s="56"/>
      <c r="H376" s="56"/>
      <c r="I376" s="59"/>
      <c r="J376" s="56"/>
      <c r="K376" s="56"/>
      <c r="L376" s="56"/>
      <c r="M376" s="1"/>
      <c r="N376" s="1"/>
      <c r="O376" s="1"/>
      <c r="P376" s="1"/>
      <c r="Q376" s="1"/>
      <c r="R376" s="1"/>
      <c r="S376" s="1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</row>
    <row r="377" spans="1:32" ht="58.5" customHeight="1" x14ac:dyDescent="0.25">
      <c r="A377" s="56"/>
      <c r="B377" s="56"/>
      <c r="C377" s="56"/>
      <c r="D377" s="56"/>
      <c r="E377" s="57"/>
      <c r="F377" s="58"/>
      <c r="G377" s="56"/>
      <c r="H377" s="56"/>
      <c r="I377" s="59"/>
      <c r="J377" s="56"/>
      <c r="K377" s="56"/>
      <c r="L377" s="56"/>
      <c r="M377" s="1"/>
      <c r="N377" s="1"/>
      <c r="O377" s="1"/>
      <c r="P377" s="1"/>
      <c r="Q377" s="1"/>
      <c r="R377" s="1"/>
      <c r="S377" s="1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</row>
    <row r="378" spans="1:32" ht="58.5" customHeight="1" x14ac:dyDescent="0.25">
      <c r="A378" s="56"/>
      <c r="B378" s="56"/>
      <c r="C378" s="56"/>
      <c r="D378" s="56"/>
      <c r="E378" s="57"/>
      <c r="F378" s="58"/>
      <c r="G378" s="56"/>
      <c r="H378" s="56"/>
      <c r="I378" s="59"/>
      <c r="J378" s="56"/>
      <c r="K378" s="56"/>
      <c r="L378" s="56"/>
      <c r="M378" s="1"/>
      <c r="N378" s="1"/>
      <c r="O378" s="1"/>
      <c r="P378" s="1"/>
      <c r="Q378" s="1"/>
      <c r="R378" s="1"/>
      <c r="S378" s="1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</row>
    <row r="379" spans="1:32" ht="58.5" customHeight="1" x14ac:dyDescent="0.25">
      <c r="A379" s="56"/>
      <c r="B379" s="56"/>
      <c r="C379" s="56"/>
      <c r="D379" s="56"/>
      <c r="E379" s="57"/>
      <c r="F379" s="58"/>
      <c r="G379" s="56"/>
      <c r="H379" s="56"/>
      <c r="I379" s="59"/>
      <c r="J379" s="56"/>
      <c r="K379" s="56"/>
      <c r="L379" s="56"/>
      <c r="M379" s="1"/>
      <c r="N379" s="1"/>
      <c r="O379" s="1"/>
      <c r="P379" s="1"/>
      <c r="Q379" s="1"/>
      <c r="R379" s="1"/>
      <c r="S379" s="1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</row>
    <row r="380" spans="1:32" ht="58.5" customHeight="1" x14ac:dyDescent="0.25">
      <c r="A380" s="56"/>
      <c r="B380" s="56"/>
      <c r="C380" s="56"/>
      <c r="D380" s="56"/>
      <c r="E380" s="57"/>
      <c r="F380" s="58"/>
      <c r="G380" s="56"/>
      <c r="H380" s="56"/>
      <c r="I380" s="59"/>
      <c r="J380" s="56"/>
      <c r="K380" s="56"/>
      <c r="L380" s="56"/>
      <c r="M380" s="1"/>
      <c r="N380" s="1"/>
      <c r="O380" s="1"/>
      <c r="P380" s="1"/>
      <c r="Q380" s="1"/>
      <c r="R380" s="1"/>
      <c r="S380" s="1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</row>
    <row r="381" spans="1:32" ht="58.5" customHeight="1" x14ac:dyDescent="0.25">
      <c r="A381" s="56"/>
      <c r="B381" s="56"/>
      <c r="C381" s="56"/>
      <c r="D381" s="56"/>
      <c r="E381" s="57"/>
      <c r="F381" s="58"/>
      <c r="G381" s="56"/>
      <c r="H381" s="56"/>
      <c r="I381" s="59"/>
      <c r="J381" s="56"/>
      <c r="K381" s="56"/>
      <c r="L381" s="56"/>
      <c r="M381" s="1"/>
      <c r="N381" s="1"/>
      <c r="O381" s="1"/>
      <c r="P381" s="1"/>
      <c r="Q381" s="1"/>
      <c r="R381" s="1"/>
      <c r="S381" s="1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</row>
    <row r="382" spans="1:32" ht="58.5" customHeight="1" x14ac:dyDescent="0.25">
      <c r="A382" s="56"/>
      <c r="B382" s="56"/>
      <c r="C382" s="56"/>
      <c r="D382" s="56"/>
      <c r="E382" s="57"/>
      <c r="F382" s="58"/>
      <c r="G382" s="56"/>
      <c r="H382" s="56"/>
      <c r="I382" s="59"/>
      <c r="J382" s="56"/>
      <c r="K382" s="56"/>
      <c r="L382" s="56"/>
      <c r="M382" s="1"/>
      <c r="N382" s="1"/>
      <c r="O382" s="1"/>
      <c r="P382" s="1"/>
      <c r="Q382" s="1"/>
      <c r="R382" s="1"/>
      <c r="S382" s="1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</row>
    <row r="383" spans="1:32" ht="58.5" customHeight="1" x14ac:dyDescent="0.25">
      <c r="A383" s="56"/>
      <c r="B383" s="56"/>
      <c r="C383" s="56"/>
      <c r="D383" s="56"/>
      <c r="E383" s="57"/>
      <c r="F383" s="58"/>
      <c r="G383" s="56"/>
      <c r="H383" s="56"/>
      <c r="I383" s="59"/>
      <c r="J383" s="56"/>
      <c r="K383" s="56"/>
      <c r="L383" s="56"/>
      <c r="M383" s="1"/>
      <c r="N383" s="1"/>
      <c r="O383" s="1"/>
      <c r="P383" s="1"/>
      <c r="Q383" s="1"/>
      <c r="R383" s="1"/>
      <c r="S383" s="1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</row>
    <row r="384" spans="1:32" ht="58.5" customHeight="1" x14ac:dyDescent="0.25">
      <c r="A384" s="56"/>
      <c r="B384" s="56"/>
      <c r="C384" s="56"/>
      <c r="D384" s="56"/>
      <c r="E384" s="57"/>
      <c r="F384" s="58"/>
      <c r="G384" s="56"/>
      <c r="H384" s="56"/>
      <c r="I384" s="59"/>
      <c r="J384" s="56"/>
      <c r="K384" s="56"/>
      <c r="L384" s="56"/>
      <c r="M384" s="1"/>
      <c r="N384" s="1"/>
      <c r="O384" s="1"/>
      <c r="P384" s="1"/>
      <c r="Q384" s="1"/>
      <c r="R384" s="1"/>
      <c r="S384" s="1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</row>
    <row r="385" spans="1:32" ht="58.5" customHeight="1" x14ac:dyDescent="0.25">
      <c r="A385" s="56"/>
      <c r="B385" s="56"/>
      <c r="C385" s="56"/>
      <c r="D385" s="56"/>
      <c r="E385" s="57"/>
      <c r="F385" s="58"/>
      <c r="G385" s="56"/>
      <c r="H385" s="56"/>
      <c r="I385" s="59"/>
      <c r="J385" s="56"/>
      <c r="K385" s="56"/>
      <c r="L385" s="56"/>
      <c r="M385" s="1"/>
      <c r="N385" s="1"/>
      <c r="O385" s="1"/>
      <c r="P385" s="1"/>
      <c r="Q385" s="1"/>
      <c r="R385" s="1"/>
      <c r="S385" s="1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</row>
    <row r="386" spans="1:32" ht="58.5" customHeight="1" x14ac:dyDescent="0.25">
      <c r="A386" s="56"/>
      <c r="B386" s="56"/>
      <c r="C386" s="56"/>
      <c r="D386" s="56"/>
      <c r="E386" s="57"/>
      <c r="F386" s="58"/>
      <c r="G386" s="56"/>
      <c r="H386" s="56"/>
      <c r="I386" s="59"/>
      <c r="J386" s="56"/>
      <c r="K386" s="56"/>
      <c r="L386" s="56"/>
      <c r="M386" s="1"/>
      <c r="N386" s="1"/>
      <c r="O386" s="1"/>
      <c r="P386" s="1"/>
      <c r="Q386" s="1"/>
      <c r="R386" s="1"/>
      <c r="S386" s="1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</row>
    <row r="387" spans="1:32" ht="58.5" customHeight="1" x14ac:dyDescent="0.25">
      <c r="A387" s="56"/>
      <c r="B387" s="56"/>
      <c r="C387" s="56"/>
      <c r="D387" s="56"/>
      <c r="E387" s="57"/>
      <c r="F387" s="58"/>
      <c r="G387" s="56"/>
      <c r="H387" s="56"/>
      <c r="I387" s="59"/>
      <c r="J387" s="56"/>
      <c r="K387" s="56"/>
      <c r="L387" s="56"/>
      <c r="M387" s="1"/>
      <c r="N387" s="1"/>
      <c r="O387" s="1"/>
      <c r="P387" s="1"/>
      <c r="Q387" s="1"/>
      <c r="R387" s="1"/>
      <c r="S387" s="1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</row>
    <row r="388" spans="1:32" ht="58.5" customHeight="1" x14ac:dyDescent="0.25">
      <c r="A388" s="56"/>
      <c r="B388" s="56"/>
      <c r="C388" s="56"/>
      <c r="D388" s="56"/>
      <c r="E388" s="57"/>
      <c r="F388" s="58"/>
      <c r="G388" s="56"/>
      <c r="H388" s="56"/>
      <c r="I388" s="59"/>
      <c r="J388" s="56"/>
      <c r="K388" s="56"/>
      <c r="L388" s="56"/>
      <c r="M388" s="1"/>
      <c r="N388" s="1"/>
      <c r="O388" s="1"/>
      <c r="P388" s="1"/>
      <c r="Q388" s="1"/>
      <c r="R388" s="1"/>
      <c r="S388" s="1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</row>
    <row r="389" spans="1:32" ht="58.5" customHeight="1" x14ac:dyDescent="0.25">
      <c r="A389" s="56"/>
      <c r="B389" s="56"/>
      <c r="C389" s="56"/>
      <c r="D389" s="56"/>
      <c r="E389" s="57"/>
      <c r="F389" s="58"/>
      <c r="G389" s="56"/>
      <c r="H389" s="56"/>
      <c r="I389" s="59"/>
      <c r="J389" s="56"/>
      <c r="K389" s="56"/>
      <c r="L389" s="56"/>
      <c r="M389" s="1"/>
      <c r="N389" s="1"/>
      <c r="O389" s="1"/>
      <c r="P389" s="1"/>
      <c r="Q389" s="1"/>
      <c r="R389" s="1"/>
      <c r="S389" s="1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</row>
    <row r="390" spans="1:32" ht="58.5" customHeight="1" x14ac:dyDescent="0.25">
      <c r="A390" s="56"/>
      <c r="B390" s="56"/>
      <c r="C390" s="56"/>
      <c r="D390" s="56"/>
      <c r="E390" s="57"/>
      <c r="F390" s="58"/>
      <c r="G390" s="56"/>
      <c r="H390" s="56"/>
      <c r="I390" s="59"/>
      <c r="J390" s="56"/>
      <c r="K390" s="56"/>
      <c r="L390" s="56"/>
      <c r="M390" s="1"/>
      <c r="N390" s="1"/>
      <c r="O390" s="1"/>
      <c r="P390" s="1"/>
      <c r="Q390" s="1"/>
      <c r="R390" s="1"/>
      <c r="S390" s="1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</row>
    <row r="391" spans="1:32" ht="58.5" customHeight="1" x14ac:dyDescent="0.25">
      <c r="A391" s="56"/>
      <c r="B391" s="56"/>
      <c r="C391" s="56"/>
      <c r="D391" s="56"/>
      <c r="E391" s="57"/>
      <c r="F391" s="58"/>
      <c r="G391" s="56"/>
      <c r="H391" s="56"/>
      <c r="I391" s="59"/>
      <c r="J391" s="56"/>
      <c r="K391" s="56"/>
      <c r="L391" s="56"/>
      <c r="M391" s="1"/>
      <c r="N391" s="1"/>
      <c r="O391" s="1"/>
      <c r="P391" s="1"/>
      <c r="Q391" s="1"/>
      <c r="R391" s="1"/>
      <c r="S391" s="1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</row>
    <row r="392" spans="1:32" ht="58.5" customHeight="1" x14ac:dyDescent="0.25">
      <c r="A392" s="56"/>
      <c r="B392" s="56"/>
      <c r="C392" s="56"/>
      <c r="D392" s="56"/>
      <c r="E392" s="57"/>
      <c r="F392" s="58"/>
      <c r="G392" s="56"/>
      <c r="H392" s="56"/>
      <c r="I392" s="59"/>
      <c r="J392" s="56"/>
      <c r="K392" s="56"/>
      <c r="L392" s="56"/>
      <c r="M392" s="1"/>
      <c r="N392" s="1"/>
      <c r="O392" s="1"/>
      <c r="P392" s="1"/>
      <c r="Q392" s="1"/>
      <c r="R392" s="1"/>
      <c r="S392" s="1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</row>
    <row r="393" spans="1:32" ht="58.5" customHeight="1" x14ac:dyDescent="0.25">
      <c r="A393" s="56"/>
      <c r="B393" s="56"/>
      <c r="C393" s="56"/>
      <c r="D393" s="56"/>
      <c r="E393" s="57"/>
      <c r="F393" s="58"/>
      <c r="G393" s="56"/>
      <c r="H393" s="56"/>
      <c r="I393" s="59"/>
      <c r="J393" s="56"/>
      <c r="K393" s="56"/>
      <c r="L393" s="56"/>
      <c r="M393" s="1"/>
      <c r="N393" s="1"/>
      <c r="O393" s="1"/>
      <c r="P393" s="1"/>
      <c r="Q393" s="1"/>
      <c r="R393" s="1"/>
      <c r="S393" s="1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</row>
    <row r="394" spans="1:32" ht="58.5" customHeight="1" x14ac:dyDescent="0.25">
      <c r="A394" s="56"/>
      <c r="B394" s="56"/>
      <c r="C394" s="56"/>
      <c r="D394" s="56"/>
      <c r="E394" s="57"/>
      <c r="F394" s="58"/>
      <c r="G394" s="56"/>
      <c r="H394" s="56"/>
      <c r="I394" s="59"/>
      <c r="J394" s="56"/>
      <c r="K394" s="56"/>
      <c r="L394" s="56"/>
      <c r="M394" s="1"/>
      <c r="N394" s="1"/>
      <c r="O394" s="1"/>
      <c r="P394" s="1"/>
      <c r="Q394" s="1"/>
      <c r="R394" s="1"/>
      <c r="S394" s="1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</row>
    <row r="395" spans="1:32" ht="58.5" customHeight="1" x14ac:dyDescent="0.25">
      <c r="A395" s="56"/>
      <c r="B395" s="56"/>
      <c r="C395" s="56"/>
      <c r="D395" s="56"/>
      <c r="E395" s="57"/>
      <c r="F395" s="58"/>
      <c r="G395" s="56"/>
      <c r="H395" s="56"/>
      <c r="I395" s="59"/>
      <c r="J395" s="56"/>
      <c r="K395" s="56"/>
      <c r="L395" s="56"/>
      <c r="M395" s="1"/>
      <c r="N395" s="1"/>
      <c r="O395" s="1"/>
      <c r="P395" s="1"/>
      <c r="Q395" s="1"/>
      <c r="R395" s="1"/>
      <c r="S395" s="1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</row>
    <row r="396" spans="1:32" ht="58.5" customHeight="1" x14ac:dyDescent="0.25">
      <c r="A396" s="56"/>
      <c r="B396" s="56"/>
      <c r="C396" s="56"/>
      <c r="D396" s="56"/>
      <c r="E396" s="57"/>
      <c r="F396" s="58"/>
      <c r="G396" s="56"/>
      <c r="H396" s="56"/>
      <c r="I396" s="59"/>
      <c r="J396" s="56"/>
      <c r="K396" s="56"/>
      <c r="L396" s="56"/>
      <c r="M396" s="1"/>
      <c r="N396" s="1"/>
      <c r="O396" s="1"/>
      <c r="P396" s="1"/>
      <c r="Q396" s="1"/>
      <c r="R396" s="1"/>
      <c r="S396" s="1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</row>
    <row r="397" spans="1:32" ht="58.5" customHeight="1" x14ac:dyDescent="0.25">
      <c r="A397" s="56"/>
      <c r="B397" s="56"/>
      <c r="C397" s="56"/>
      <c r="D397" s="56"/>
      <c r="E397" s="57"/>
      <c r="F397" s="58"/>
      <c r="G397" s="56"/>
      <c r="H397" s="56"/>
      <c r="I397" s="59"/>
      <c r="J397" s="56"/>
      <c r="K397" s="56"/>
      <c r="L397" s="56"/>
      <c r="M397" s="1"/>
      <c r="N397" s="1"/>
      <c r="O397" s="1"/>
      <c r="P397" s="1"/>
      <c r="Q397" s="1"/>
      <c r="R397" s="1"/>
      <c r="S397" s="1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</row>
    <row r="398" spans="1:32" ht="58.5" customHeight="1" x14ac:dyDescent="0.25">
      <c r="A398" s="56"/>
      <c r="B398" s="56"/>
      <c r="C398" s="56"/>
      <c r="D398" s="56"/>
      <c r="E398" s="57"/>
      <c r="F398" s="58"/>
      <c r="G398" s="56"/>
      <c r="H398" s="56"/>
      <c r="I398" s="59"/>
      <c r="J398" s="56"/>
      <c r="K398" s="56"/>
      <c r="L398" s="56"/>
      <c r="M398" s="1"/>
      <c r="N398" s="1"/>
      <c r="O398" s="1"/>
      <c r="P398" s="1"/>
      <c r="Q398" s="1"/>
      <c r="R398" s="1"/>
      <c r="S398" s="1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</row>
    <row r="399" spans="1:32" ht="58.5" customHeight="1" x14ac:dyDescent="0.25">
      <c r="A399" s="56"/>
      <c r="B399" s="56"/>
      <c r="C399" s="56"/>
      <c r="D399" s="56"/>
      <c r="E399" s="57"/>
      <c r="F399" s="58"/>
      <c r="G399" s="56"/>
      <c r="H399" s="56"/>
      <c r="I399" s="59"/>
      <c r="J399" s="56"/>
      <c r="K399" s="56"/>
      <c r="L399" s="56"/>
      <c r="M399" s="1"/>
      <c r="N399" s="1"/>
      <c r="O399" s="1"/>
      <c r="P399" s="1"/>
      <c r="Q399" s="1"/>
      <c r="R399" s="1"/>
      <c r="S399" s="1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</row>
    <row r="400" spans="1:32" ht="58.5" customHeight="1" x14ac:dyDescent="0.25">
      <c r="A400" s="56"/>
      <c r="B400" s="56"/>
      <c r="C400" s="56"/>
      <c r="D400" s="56"/>
      <c r="E400" s="57"/>
      <c r="F400" s="58"/>
      <c r="G400" s="56"/>
      <c r="H400" s="56"/>
      <c r="I400" s="59"/>
      <c r="J400" s="56"/>
      <c r="K400" s="56"/>
      <c r="L400" s="56"/>
      <c r="M400" s="1"/>
      <c r="N400" s="1"/>
      <c r="O400" s="1"/>
      <c r="P400" s="1"/>
      <c r="Q400" s="1"/>
      <c r="R400" s="1"/>
      <c r="S400" s="1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</row>
    <row r="401" spans="1:32" ht="58.5" customHeight="1" x14ac:dyDescent="0.25">
      <c r="A401" s="56"/>
      <c r="B401" s="56"/>
      <c r="C401" s="56"/>
      <c r="D401" s="56"/>
      <c r="E401" s="57"/>
      <c r="F401" s="58"/>
      <c r="G401" s="56"/>
      <c r="H401" s="56"/>
      <c r="I401" s="59"/>
      <c r="J401" s="56"/>
      <c r="K401" s="56"/>
      <c r="L401" s="56"/>
      <c r="M401" s="1"/>
      <c r="N401" s="1"/>
      <c r="O401" s="1"/>
      <c r="P401" s="1"/>
      <c r="Q401" s="1"/>
      <c r="R401" s="1"/>
      <c r="S401" s="1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</row>
    <row r="402" spans="1:32" ht="58.5" customHeight="1" x14ac:dyDescent="0.25">
      <c r="A402" s="56"/>
      <c r="B402" s="56"/>
      <c r="C402" s="56"/>
      <c r="D402" s="56"/>
      <c r="E402" s="57"/>
      <c r="F402" s="58"/>
      <c r="G402" s="56"/>
      <c r="H402" s="56"/>
      <c r="I402" s="59"/>
      <c r="J402" s="56"/>
      <c r="K402" s="56"/>
      <c r="L402" s="56"/>
      <c r="M402" s="1"/>
      <c r="N402" s="1"/>
      <c r="O402" s="1"/>
      <c r="P402" s="1"/>
      <c r="Q402" s="1"/>
      <c r="R402" s="1"/>
      <c r="S402" s="1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</row>
    <row r="403" spans="1:32" ht="58.5" customHeight="1" x14ac:dyDescent="0.25">
      <c r="A403" s="56"/>
      <c r="B403" s="56"/>
      <c r="C403" s="56"/>
      <c r="D403" s="56"/>
      <c r="E403" s="57"/>
      <c r="F403" s="58"/>
      <c r="G403" s="56"/>
      <c r="H403" s="56"/>
      <c r="I403" s="59"/>
      <c r="J403" s="56"/>
      <c r="K403" s="56"/>
      <c r="L403" s="56"/>
      <c r="M403" s="1"/>
      <c r="N403" s="1"/>
      <c r="O403" s="1"/>
      <c r="P403" s="1"/>
      <c r="Q403" s="1"/>
      <c r="R403" s="1"/>
      <c r="S403" s="1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</row>
    <row r="404" spans="1:32" ht="58.5" customHeight="1" x14ac:dyDescent="0.25">
      <c r="A404" s="56"/>
      <c r="B404" s="56"/>
      <c r="C404" s="56"/>
      <c r="D404" s="56"/>
      <c r="E404" s="57"/>
      <c r="F404" s="58"/>
      <c r="G404" s="56"/>
      <c r="H404" s="56"/>
      <c r="I404" s="59"/>
      <c r="J404" s="56"/>
      <c r="K404" s="56"/>
      <c r="L404" s="56"/>
      <c r="M404" s="1"/>
      <c r="N404" s="1"/>
      <c r="O404" s="1"/>
      <c r="P404" s="1"/>
      <c r="Q404" s="1"/>
      <c r="R404" s="1"/>
      <c r="S404" s="1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</row>
    <row r="405" spans="1:32" ht="58.5" customHeight="1" x14ac:dyDescent="0.25">
      <c r="A405" s="56"/>
      <c r="B405" s="56"/>
      <c r="C405" s="56"/>
      <c r="D405" s="56"/>
      <c r="E405" s="57"/>
      <c r="F405" s="58"/>
      <c r="G405" s="56"/>
      <c r="H405" s="56"/>
      <c r="I405" s="59"/>
      <c r="J405" s="56"/>
      <c r="K405" s="56"/>
      <c r="L405" s="56"/>
      <c r="M405" s="1"/>
      <c r="N405" s="1"/>
      <c r="O405" s="1"/>
      <c r="P405" s="1"/>
      <c r="Q405" s="1"/>
      <c r="R405" s="1"/>
      <c r="S405" s="1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</row>
    <row r="406" spans="1:32" ht="58.5" customHeight="1" x14ac:dyDescent="0.25">
      <c r="A406" s="56"/>
      <c r="B406" s="56"/>
      <c r="C406" s="56"/>
      <c r="D406" s="56"/>
      <c r="E406" s="57"/>
      <c r="F406" s="58"/>
      <c r="G406" s="56"/>
      <c r="H406" s="56"/>
      <c r="I406" s="59"/>
      <c r="J406" s="56"/>
      <c r="K406" s="56"/>
      <c r="L406" s="56"/>
      <c r="M406" s="1"/>
      <c r="N406" s="1"/>
      <c r="O406" s="1"/>
      <c r="P406" s="1"/>
      <c r="Q406" s="1"/>
      <c r="R406" s="1"/>
      <c r="S406" s="1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</row>
    <row r="407" spans="1:32" ht="58.5" customHeight="1" x14ac:dyDescent="0.25">
      <c r="A407" s="56"/>
      <c r="B407" s="56"/>
      <c r="C407" s="56"/>
      <c r="D407" s="56"/>
      <c r="E407" s="57"/>
      <c r="F407" s="58"/>
      <c r="G407" s="56"/>
      <c r="H407" s="56"/>
      <c r="I407" s="59"/>
      <c r="J407" s="56"/>
      <c r="K407" s="56"/>
      <c r="L407" s="56"/>
      <c r="M407" s="1"/>
      <c r="N407" s="1"/>
      <c r="O407" s="1"/>
      <c r="P407" s="1"/>
      <c r="Q407" s="1"/>
      <c r="R407" s="1"/>
      <c r="S407" s="1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</row>
    <row r="408" spans="1:32" ht="58.5" customHeight="1" x14ac:dyDescent="0.25">
      <c r="A408" s="56"/>
      <c r="B408" s="56"/>
      <c r="C408" s="56"/>
      <c r="D408" s="56"/>
      <c r="E408" s="57"/>
      <c r="F408" s="58"/>
      <c r="G408" s="56"/>
      <c r="H408" s="56"/>
      <c r="I408" s="59"/>
      <c r="J408" s="56"/>
      <c r="K408" s="56"/>
      <c r="L408" s="56"/>
      <c r="M408" s="1"/>
      <c r="N408" s="1"/>
      <c r="O408" s="1"/>
      <c r="P408" s="1"/>
      <c r="Q408" s="1"/>
      <c r="R408" s="1"/>
      <c r="S408" s="1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</row>
    <row r="409" spans="1:32" ht="58.5" customHeight="1" x14ac:dyDescent="0.25">
      <c r="A409" s="56"/>
      <c r="B409" s="56"/>
      <c r="C409" s="56"/>
      <c r="D409" s="56"/>
      <c r="E409" s="57"/>
      <c r="F409" s="58"/>
      <c r="G409" s="56"/>
      <c r="H409" s="56"/>
      <c r="I409" s="59"/>
      <c r="J409" s="56"/>
      <c r="K409" s="56"/>
      <c r="L409" s="56"/>
      <c r="M409" s="1"/>
      <c r="N409" s="1"/>
      <c r="O409" s="1"/>
      <c r="P409" s="1"/>
      <c r="Q409" s="1"/>
      <c r="R409" s="1"/>
      <c r="S409" s="1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</row>
    <row r="410" spans="1:32" ht="58.5" customHeight="1" x14ac:dyDescent="0.25">
      <c r="A410" s="56"/>
      <c r="B410" s="56"/>
      <c r="C410" s="56"/>
      <c r="D410" s="56"/>
      <c r="E410" s="57"/>
      <c r="F410" s="58"/>
      <c r="G410" s="56"/>
      <c r="H410" s="56"/>
      <c r="I410" s="59"/>
      <c r="J410" s="56"/>
      <c r="K410" s="56"/>
      <c r="L410" s="56"/>
      <c r="M410" s="1"/>
      <c r="N410" s="1"/>
      <c r="O410" s="1"/>
      <c r="P410" s="1"/>
      <c r="Q410" s="1"/>
      <c r="R410" s="1"/>
      <c r="S410" s="1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</row>
    <row r="411" spans="1:32" ht="58.5" customHeight="1" x14ac:dyDescent="0.25">
      <c r="A411" s="56"/>
      <c r="B411" s="56"/>
      <c r="C411" s="56"/>
      <c r="D411" s="56"/>
      <c r="E411" s="57"/>
      <c r="F411" s="58"/>
      <c r="G411" s="56"/>
      <c r="H411" s="56"/>
      <c r="I411" s="59"/>
      <c r="J411" s="56"/>
      <c r="K411" s="56"/>
      <c r="L411" s="56"/>
      <c r="M411" s="1"/>
      <c r="N411" s="1"/>
      <c r="O411" s="1"/>
      <c r="P411" s="1"/>
      <c r="Q411" s="1"/>
      <c r="R411" s="1"/>
      <c r="S411" s="1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</row>
    <row r="412" spans="1:32" ht="58.5" customHeight="1" x14ac:dyDescent="0.25">
      <c r="A412" s="56"/>
      <c r="B412" s="56"/>
      <c r="C412" s="56"/>
      <c r="D412" s="56"/>
      <c r="E412" s="57"/>
      <c r="F412" s="58"/>
      <c r="G412" s="56"/>
      <c r="H412" s="56"/>
      <c r="I412" s="59"/>
      <c r="J412" s="56"/>
      <c r="K412" s="56"/>
      <c r="L412" s="56"/>
      <c r="M412" s="1"/>
      <c r="N412" s="1"/>
      <c r="O412" s="1"/>
      <c r="P412" s="1"/>
      <c r="Q412" s="1"/>
      <c r="R412" s="1"/>
      <c r="S412" s="1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</row>
    <row r="413" spans="1:32" ht="58.5" customHeight="1" x14ac:dyDescent="0.25">
      <c r="A413" s="56"/>
      <c r="B413" s="56"/>
      <c r="C413" s="56"/>
      <c r="D413" s="56"/>
      <c r="E413" s="57"/>
      <c r="F413" s="58"/>
      <c r="G413" s="56"/>
      <c r="H413" s="56"/>
      <c r="I413" s="59"/>
      <c r="J413" s="56"/>
      <c r="K413" s="56"/>
      <c r="L413" s="56"/>
      <c r="M413" s="1"/>
      <c r="N413" s="1"/>
      <c r="O413" s="1"/>
      <c r="P413" s="1"/>
      <c r="Q413" s="1"/>
      <c r="R413" s="1"/>
      <c r="S413" s="1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</row>
    <row r="414" spans="1:32" ht="58.5" customHeight="1" x14ac:dyDescent="0.25">
      <c r="A414" s="56"/>
      <c r="B414" s="56"/>
      <c r="C414" s="56"/>
      <c r="D414" s="56"/>
      <c r="E414" s="57"/>
      <c r="F414" s="58"/>
      <c r="G414" s="56"/>
      <c r="H414" s="56"/>
      <c r="I414" s="59"/>
      <c r="J414" s="56"/>
      <c r="K414" s="56"/>
      <c r="L414" s="56"/>
      <c r="M414" s="1"/>
      <c r="N414" s="1"/>
      <c r="O414" s="1"/>
      <c r="P414" s="1"/>
      <c r="Q414" s="1"/>
      <c r="R414" s="1"/>
      <c r="S414" s="1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</row>
    <row r="415" spans="1:32" ht="58.5" customHeight="1" x14ac:dyDescent="0.25">
      <c r="A415" s="56"/>
      <c r="B415" s="56"/>
      <c r="C415" s="56"/>
      <c r="D415" s="56"/>
      <c r="E415" s="57"/>
      <c r="F415" s="58"/>
      <c r="G415" s="56"/>
      <c r="H415" s="56"/>
      <c r="I415" s="59"/>
      <c r="J415" s="56"/>
      <c r="K415" s="56"/>
      <c r="L415" s="56"/>
      <c r="M415" s="1"/>
      <c r="N415" s="1"/>
      <c r="O415" s="1"/>
      <c r="P415" s="1"/>
      <c r="Q415" s="1"/>
      <c r="R415" s="1"/>
      <c r="S415" s="1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</row>
    <row r="416" spans="1:32" ht="58.5" customHeight="1" x14ac:dyDescent="0.25">
      <c r="A416" s="56"/>
      <c r="B416" s="56"/>
      <c r="C416" s="56"/>
      <c r="D416" s="56"/>
      <c r="E416" s="57"/>
      <c r="F416" s="58"/>
      <c r="G416" s="56"/>
      <c r="H416" s="56"/>
      <c r="I416" s="59"/>
      <c r="J416" s="56"/>
      <c r="K416" s="56"/>
      <c r="L416" s="56"/>
      <c r="M416" s="1"/>
      <c r="N416" s="1"/>
      <c r="O416" s="1"/>
      <c r="P416" s="1"/>
      <c r="Q416" s="1"/>
      <c r="R416" s="1"/>
      <c r="S416" s="1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</row>
    <row r="417" spans="1:32" ht="58.5" customHeight="1" x14ac:dyDescent="0.25">
      <c r="A417" s="56"/>
      <c r="B417" s="56"/>
      <c r="C417" s="56"/>
      <c r="D417" s="56"/>
      <c r="E417" s="57"/>
      <c r="F417" s="58"/>
      <c r="G417" s="56"/>
      <c r="H417" s="56"/>
      <c r="I417" s="59"/>
      <c r="J417" s="56"/>
      <c r="K417" s="56"/>
      <c r="L417" s="56"/>
      <c r="M417" s="1"/>
      <c r="N417" s="1"/>
      <c r="O417" s="1"/>
      <c r="P417" s="1"/>
      <c r="Q417" s="1"/>
      <c r="R417" s="1"/>
      <c r="S417" s="1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</row>
    <row r="418" spans="1:32" ht="58.5" customHeight="1" x14ac:dyDescent="0.25">
      <c r="A418" s="56"/>
      <c r="B418" s="56"/>
      <c r="C418" s="56"/>
      <c r="D418" s="56"/>
      <c r="E418" s="57"/>
      <c r="F418" s="58"/>
      <c r="G418" s="56"/>
      <c r="H418" s="56"/>
      <c r="I418" s="59"/>
      <c r="J418" s="56"/>
      <c r="K418" s="56"/>
      <c r="L418" s="56"/>
      <c r="M418" s="1"/>
      <c r="N418" s="1"/>
      <c r="O418" s="1"/>
      <c r="P418" s="1"/>
      <c r="Q418" s="1"/>
      <c r="R418" s="1"/>
      <c r="S418" s="1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</row>
    <row r="419" spans="1:32" ht="58.5" customHeight="1" x14ac:dyDescent="0.25">
      <c r="A419" s="56"/>
      <c r="B419" s="56"/>
      <c r="C419" s="56"/>
      <c r="D419" s="56"/>
      <c r="E419" s="57"/>
      <c r="F419" s="58"/>
      <c r="G419" s="56"/>
      <c r="H419" s="56"/>
      <c r="I419" s="59"/>
      <c r="J419" s="56"/>
      <c r="K419" s="56"/>
      <c r="L419" s="56"/>
      <c r="M419" s="1"/>
      <c r="N419" s="1"/>
      <c r="O419" s="1"/>
      <c r="P419" s="1"/>
      <c r="Q419" s="1"/>
      <c r="R419" s="1"/>
      <c r="S419" s="1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</row>
    <row r="420" spans="1:32" ht="58.5" customHeight="1" x14ac:dyDescent="0.25">
      <c r="A420" s="56"/>
      <c r="B420" s="56"/>
      <c r="C420" s="56"/>
      <c r="D420" s="56"/>
      <c r="E420" s="57"/>
      <c r="F420" s="58"/>
      <c r="G420" s="56"/>
      <c r="H420" s="56"/>
      <c r="I420" s="59"/>
      <c r="J420" s="56"/>
      <c r="K420" s="56"/>
      <c r="L420" s="56"/>
      <c r="M420" s="1"/>
      <c r="N420" s="1"/>
      <c r="O420" s="1"/>
      <c r="P420" s="1"/>
      <c r="Q420" s="1"/>
      <c r="R420" s="1"/>
      <c r="S420" s="1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</row>
    <row r="421" spans="1:32" ht="58.5" customHeight="1" x14ac:dyDescent="0.25">
      <c r="A421" s="56"/>
      <c r="B421" s="56"/>
      <c r="C421" s="56"/>
      <c r="D421" s="56"/>
      <c r="E421" s="57"/>
      <c r="F421" s="58"/>
      <c r="G421" s="56"/>
      <c r="H421" s="56"/>
      <c r="I421" s="59"/>
      <c r="J421" s="56"/>
      <c r="K421" s="56"/>
      <c r="L421" s="56"/>
      <c r="M421" s="1"/>
      <c r="N421" s="1"/>
      <c r="O421" s="1"/>
      <c r="P421" s="1"/>
      <c r="Q421" s="1"/>
      <c r="R421" s="1"/>
      <c r="S421" s="1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</row>
    <row r="422" spans="1:32" ht="58.5" customHeight="1" x14ac:dyDescent="0.25">
      <c r="A422" s="56"/>
      <c r="B422" s="56"/>
      <c r="C422" s="56"/>
      <c r="D422" s="56"/>
      <c r="E422" s="57"/>
      <c r="F422" s="58"/>
      <c r="G422" s="56"/>
      <c r="H422" s="56"/>
      <c r="I422" s="59"/>
      <c r="J422" s="56"/>
      <c r="K422" s="56"/>
      <c r="L422" s="56"/>
      <c r="M422" s="1"/>
      <c r="N422" s="1"/>
      <c r="O422" s="1"/>
      <c r="P422" s="1"/>
      <c r="Q422" s="1"/>
      <c r="R422" s="1"/>
      <c r="S422" s="1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</row>
    <row r="423" spans="1:32" ht="58.5" customHeight="1" x14ac:dyDescent="0.25">
      <c r="A423" s="56"/>
      <c r="B423" s="56"/>
      <c r="C423" s="56"/>
      <c r="D423" s="56"/>
      <c r="E423" s="57"/>
      <c r="F423" s="58"/>
      <c r="G423" s="56"/>
      <c r="H423" s="56"/>
      <c r="I423" s="59"/>
      <c r="J423" s="56"/>
      <c r="K423" s="56"/>
      <c r="L423" s="56"/>
      <c r="M423" s="1"/>
      <c r="N423" s="1"/>
      <c r="O423" s="1"/>
      <c r="P423" s="1"/>
      <c r="Q423" s="1"/>
      <c r="R423" s="1"/>
      <c r="S423" s="1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</row>
    <row r="424" spans="1:32" ht="58.5" customHeight="1" x14ac:dyDescent="0.25">
      <c r="A424" s="56"/>
      <c r="B424" s="56"/>
      <c r="C424" s="56"/>
      <c r="D424" s="56"/>
      <c r="E424" s="57"/>
      <c r="F424" s="58"/>
      <c r="G424" s="56"/>
      <c r="H424" s="56"/>
      <c r="I424" s="59"/>
      <c r="J424" s="56"/>
      <c r="K424" s="56"/>
      <c r="L424" s="56"/>
      <c r="M424" s="1"/>
      <c r="N424" s="1"/>
      <c r="O424" s="1"/>
      <c r="P424" s="1"/>
      <c r="Q424" s="1"/>
      <c r="R424" s="1"/>
      <c r="S424" s="1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</row>
    <row r="425" spans="1:32" ht="58.5" customHeight="1" x14ac:dyDescent="0.25">
      <c r="A425" s="56"/>
      <c r="B425" s="56"/>
      <c r="C425" s="56"/>
      <c r="D425" s="56"/>
      <c r="E425" s="57"/>
      <c r="F425" s="58"/>
      <c r="G425" s="56"/>
      <c r="H425" s="56"/>
      <c r="I425" s="59"/>
      <c r="J425" s="56"/>
      <c r="K425" s="56"/>
      <c r="L425" s="56"/>
      <c r="M425" s="1"/>
      <c r="N425" s="1"/>
      <c r="O425" s="1"/>
      <c r="P425" s="1"/>
      <c r="Q425" s="1"/>
      <c r="R425" s="1"/>
      <c r="S425" s="1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</row>
    <row r="426" spans="1:32" ht="58.5" customHeight="1" x14ac:dyDescent="0.25">
      <c r="A426" s="56"/>
      <c r="B426" s="56"/>
      <c r="C426" s="56"/>
      <c r="D426" s="56"/>
      <c r="E426" s="57"/>
      <c r="F426" s="58"/>
      <c r="G426" s="56"/>
      <c r="H426" s="56"/>
      <c r="I426" s="59"/>
      <c r="J426" s="56"/>
      <c r="K426" s="56"/>
      <c r="L426" s="56"/>
      <c r="M426" s="1"/>
      <c r="N426" s="1"/>
      <c r="O426" s="1"/>
      <c r="P426" s="1"/>
      <c r="Q426" s="1"/>
      <c r="R426" s="1"/>
      <c r="S426" s="1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</row>
    <row r="427" spans="1:32" ht="58.5" customHeight="1" x14ac:dyDescent="0.25">
      <c r="A427" s="56"/>
      <c r="B427" s="56"/>
      <c r="C427" s="56"/>
      <c r="D427" s="56"/>
      <c r="E427" s="57"/>
      <c r="F427" s="58"/>
      <c r="G427" s="56"/>
      <c r="H427" s="56"/>
      <c r="I427" s="59"/>
      <c r="J427" s="56"/>
      <c r="K427" s="56"/>
      <c r="L427" s="56"/>
      <c r="M427" s="1"/>
      <c r="N427" s="1"/>
      <c r="O427" s="1"/>
      <c r="P427" s="1"/>
      <c r="Q427" s="1"/>
      <c r="R427" s="1"/>
      <c r="S427" s="1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</row>
    <row r="428" spans="1:32" ht="58.5" customHeight="1" x14ac:dyDescent="0.25">
      <c r="A428" s="56"/>
      <c r="B428" s="56"/>
      <c r="C428" s="56"/>
      <c r="D428" s="56"/>
      <c r="E428" s="57"/>
      <c r="F428" s="58"/>
      <c r="G428" s="56"/>
      <c r="H428" s="56"/>
      <c r="I428" s="59"/>
      <c r="J428" s="56"/>
      <c r="K428" s="56"/>
      <c r="L428" s="56"/>
      <c r="M428" s="1"/>
      <c r="N428" s="1"/>
      <c r="O428" s="1"/>
      <c r="P428" s="1"/>
      <c r="Q428" s="1"/>
      <c r="R428" s="1"/>
      <c r="S428" s="1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</row>
    <row r="429" spans="1:32" ht="58.5" customHeight="1" x14ac:dyDescent="0.25">
      <c r="A429" s="56"/>
      <c r="B429" s="56"/>
      <c r="C429" s="56"/>
      <c r="D429" s="56"/>
      <c r="E429" s="57"/>
      <c r="F429" s="58"/>
      <c r="G429" s="56"/>
      <c r="H429" s="56"/>
      <c r="I429" s="59"/>
      <c r="J429" s="56"/>
      <c r="K429" s="56"/>
      <c r="L429" s="56"/>
      <c r="M429" s="1"/>
      <c r="N429" s="1"/>
      <c r="O429" s="1"/>
      <c r="P429" s="1"/>
      <c r="Q429" s="1"/>
      <c r="R429" s="1"/>
      <c r="S429" s="1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</row>
    <row r="430" spans="1:32" ht="58.5" customHeight="1" x14ac:dyDescent="0.25">
      <c r="A430" s="56"/>
      <c r="B430" s="56"/>
      <c r="C430" s="56"/>
      <c r="D430" s="56"/>
      <c r="E430" s="57"/>
      <c r="F430" s="58"/>
      <c r="G430" s="56"/>
      <c r="H430" s="56"/>
      <c r="I430" s="59"/>
      <c r="J430" s="56"/>
      <c r="K430" s="56"/>
      <c r="L430" s="56"/>
      <c r="M430" s="1"/>
      <c r="N430" s="1"/>
      <c r="O430" s="1"/>
      <c r="P430" s="1"/>
      <c r="Q430" s="1"/>
      <c r="R430" s="1"/>
      <c r="S430" s="1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</row>
    <row r="431" spans="1:32" ht="58.5" customHeight="1" x14ac:dyDescent="0.25">
      <c r="A431" s="56"/>
      <c r="B431" s="56"/>
      <c r="C431" s="56"/>
      <c r="D431" s="56"/>
      <c r="E431" s="57"/>
      <c r="F431" s="58"/>
      <c r="G431" s="56"/>
      <c r="H431" s="56"/>
      <c r="I431" s="59"/>
      <c r="J431" s="56"/>
      <c r="K431" s="56"/>
      <c r="L431" s="56"/>
      <c r="M431" s="1"/>
      <c r="N431" s="1"/>
      <c r="O431" s="1"/>
      <c r="P431" s="1"/>
      <c r="Q431" s="1"/>
      <c r="R431" s="1"/>
      <c r="S431" s="1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</row>
    <row r="432" spans="1:32" ht="58.5" customHeight="1" x14ac:dyDescent="0.25">
      <c r="A432" s="56"/>
      <c r="B432" s="56"/>
      <c r="C432" s="56"/>
      <c r="D432" s="56"/>
      <c r="E432" s="57"/>
      <c r="F432" s="58"/>
      <c r="G432" s="56"/>
      <c r="H432" s="56"/>
      <c r="I432" s="59"/>
      <c r="J432" s="56"/>
      <c r="K432" s="56"/>
      <c r="L432" s="56"/>
      <c r="M432" s="1"/>
      <c r="N432" s="1"/>
      <c r="O432" s="1"/>
      <c r="P432" s="1"/>
      <c r="Q432" s="1"/>
      <c r="R432" s="1"/>
      <c r="S432" s="1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</row>
    <row r="433" spans="1:32" ht="58.5" customHeight="1" x14ac:dyDescent="0.25">
      <c r="A433" s="56"/>
      <c r="B433" s="56"/>
      <c r="C433" s="56"/>
      <c r="D433" s="56"/>
      <c r="E433" s="57"/>
      <c r="F433" s="58"/>
      <c r="G433" s="56"/>
      <c r="H433" s="56"/>
      <c r="I433" s="59"/>
      <c r="J433" s="56"/>
      <c r="K433" s="56"/>
      <c r="L433" s="56"/>
      <c r="M433" s="1"/>
      <c r="N433" s="1"/>
      <c r="O433" s="1"/>
      <c r="P433" s="1"/>
      <c r="Q433" s="1"/>
      <c r="R433" s="1"/>
      <c r="S433" s="1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</row>
    <row r="434" spans="1:32" ht="58.5" customHeight="1" x14ac:dyDescent="0.25">
      <c r="A434" s="56"/>
      <c r="B434" s="56"/>
      <c r="C434" s="56"/>
      <c r="D434" s="56"/>
      <c r="E434" s="57"/>
      <c r="F434" s="58"/>
      <c r="G434" s="56"/>
      <c r="H434" s="56"/>
      <c r="I434" s="59"/>
      <c r="J434" s="56"/>
      <c r="K434" s="56"/>
      <c r="L434" s="56"/>
      <c r="M434" s="1"/>
      <c r="N434" s="1"/>
      <c r="O434" s="1"/>
      <c r="P434" s="1"/>
      <c r="Q434" s="1"/>
      <c r="R434" s="1"/>
      <c r="S434" s="1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</row>
    <row r="435" spans="1:32" ht="58.5" customHeight="1" x14ac:dyDescent="0.25">
      <c r="A435" s="56"/>
      <c r="B435" s="56"/>
      <c r="C435" s="56"/>
      <c r="D435" s="56"/>
      <c r="E435" s="57"/>
      <c r="F435" s="58"/>
      <c r="G435" s="56"/>
      <c r="H435" s="56"/>
      <c r="I435" s="59"/>
      <c r="J435" s="56"/>
      <c r="K435" s="56"/>
      <c r="L435" s="56"/>
      <c r="M435" s="1"/>
      <c r="N435" s="1"/>
      <c r="O435" s="1"/>
      <c r="P435" s="1"/>
      <c r="Q435" s="1"/>
      <c r="R435" s="1"/>
      <c r="S435" s="1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</row>
    <row r="436" spans="1:32" ht="58.5" customHeight="1" x14ac:dyDescent="0.25">
      <c r="A436" s="56"/>
      <c r="B436" s="56"/>
      <c r="C436" s="56"/>
      <c r="D436" s="56"/>
      <c r="E436" s="57"/>
      <c r="F436" s="58"/>
      <c r="G436" s="56"/>
      <c r="H436" s="56"/>
      <c r="I436" s="59"/>
      <c r="J436" s="56"/>
      <c r="K436" s="56"/>
      <c r="L436" s="56"/>
      <c r="M436" s="1"/>
      <c r="N436" s="1"/>
      <c r="O436" s="1"/>
      <c r="P436" s="1"/>
      <c r="Q436" s="1"/>
      <c r="R436" s="1"/>
      <c r="S436" s="1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</row>
    <row r="437" spans="1:32" ht="58.5" customHeight="1" x14ac:dyDescent="0.25">
      <c r="A437" s="56"/>
      <c r="B437" s="56"/>
      <c r="C437" s="56"/>
      <c r="D437" s="56"/>
      <c r="E437" s="57"/>
      <c r="F437" s="58"/>
      <c r="G437" s="56"/>
      <c r="H437" s="56"/>
      <c r="I437" s="59"/>
      <c r="J437" s="56"/>
      <c r="K437" s="56"/>
      <c r="L437" s="56"/>
      <c r="M437" s="1"/>
      <c r="N437" s="1"/>
      <c r="O437" s="1"/>
      <c r="P437" s="1"/>
      <c r="Q437" s="1"/>
      <c r="R437" s="1"/>
      <c r="S437" s="1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</row>
    <row r="438" spans="1:32" ht="58.5" customHeight="1" x14ac:dyDescent="0.25">
      <c r="A438" s="56"/>
      <c r="B438" s="56"/>
      <c r="C438" s="56"/>
      <c r="D438" s="56"/>
      <c r="E438" s="57"/>
      <c r="F438" s="58"/>
      <c r="G438" s="56"/>
      <c r="H438" s="56"/>
      <c r="I438" s="59"/>
      <c r="J438" s="56"/>
      <c r="K438" s="56"/>
      <c r="L438" s="56"/>
      <c r="M438" s="1"/>
      <c r="N438" s="1"/>
      <c r="O438" s="1"/>
      <c r="P438" s="1"/>
      <c r="Q438" s="1"/>
      <c r="R438" s="1"/>
      <c r="S438" s="1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</row>
    <row r="439" spans="1:32" ht="58.5" customHeight="1" x14ac:dyDescent="0.25">
      <c r="A439" s="56"/>
      <c r="B439" s="56"/>
      <c r="C439" s="56"/>
      <c r="D439" s="56"/>
      <c r="E439" s="57"/>
      <c r="F439" s="58"/>
      <c r="G439" s="56"/>
      <c r="H439" s="56"/>
      <c r="I439" s="59"/>
      <c r="J439" s="56"/>
      <c r="K439" s="56"/>
      <c r="L439" s="56"/>
      <c r="M439" s="1"/>
      <c r="N439" s="1"/>
      <c r="O439" s="1"/>
      <c r="P439" s="1"/>
      <c r="Q439" s="1"/>
      <c r="R439" s="1"/>
      <c r="S439" s="1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</row>
    <row r="440" spans="1:32" ht="58.5" customHeight="1" x14ac:dyDescent="0.25">
      <c r="A440" s="56"/>
      <c r="B440" s="56"/>
      <c r="C440" s="56"/>
      <c r="D440" s="56"/>
      <c r="E440" s="57"/>
      <c r="F440" s="58"/>
      <c r="G440" s="56"/>
      <c r="H440" s="56"/>
      <c r="I440" s="59"/>
      <c r="J440" s="56"/>
      <c r="K440" s="56"/>
      <c r="L440" s="56"/>
      <c r="M440" s="1"/>
      <c r="N440" s="1"/>
      <c r="O440" s="1"/>
      <c r="P440" s="1"/>
      <c r="Q440" s="1"/>
      <c r="R440" s="1"/>
      <c r="S440" s="1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</row>
    <row r="441" spans="1:32" ht="58.5" customHeight="1" x14ac:dyDescent="0.25">
      <c r="A441" s="56"/>
      <c r="B441" s="56"/>
      <c r="C441" s="56"/>
      <c r="D441" s="56"/>
      <c r="E441" s="57"/>
      <c r="F441" s="58"/>
      <c r="G441" s="56"/>
      <c r="H441" s="56"/>
      <c r="I441" s="59"/>
      <c r="J441" s="56"/>
      <c r="K441" s="56"/>
      <c r="L441" s="56"/>
      <c r="M441" s="1"/>
      <c r="N441" s="1"/>
      <c r="O441" s="1"/>
      <c r="P441" s="1"/>
      <c r="Q441" s="1"/>
      <c r="R441" s="1"/>
      <c r="S441" s="1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</row>
    <row r="442" spans="1:32" ht="58.5" customHeight="1" x14ac:dyDescent="0.25">
      <c r="A442" s="56"/>
      <c r="B442" s="56"/>
      <c r="C442" s="56"/>
      <c r="D442" s="56"/>
      <c r="E442" s="57"/>
      <c r="F442" s="58"/>
      <c r="G442" s="56"/>
      <c r="H442" s="56"/>
      <c r="I442" s="59"/>
      <c r="J442" s="56"/>
      <c r="K442" s="56"/>
      <c r="L442" s="56"/>
      <c r="M442" s="1"/>
      <c r="N442" s="1"/>
      <c r="O442" s="1"/>
      <c r="P442" s="1"/>
      <c r="Q442" s="1"/>
      <c r="R442" s="1"/>
      <c r="S442" s="1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</row>
    <row r="443" spans="1:32" ht="58.5" customHeight="1" x14ac:dyDescent="0.25">
      <c r="A443" s="56"/>
      <c r="B443" s="56"/>
      <c r="C443" s="56"/>
      <c r="D443" s="56"/>
      <c r="E443" s="57"/>
      <c r="F443" s="58"/>
      <c r="G443" s="56"/>
      <c r="H443" s="56"/>
      <c r="I443" s="59"/>
      <c r="J443" s="56"/>
      <c r="K443" s="56"/>
      <c r="L443" s="56"/>
      <c r="M443" s="1"/>
      <c r="N443" s="1"/>
      <c r="O443" s="1"/>
      <c r="P443" s="1"/>
      <c r="Q443" s="1"/>
      <c r="R443" s="1"/>
      <c r="S443" s="1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</row>
    <row r="444" spans="1:32" ht="58.5" customHeight="1" x14ac:dyDescent="0.25">
      <c r="A444" s="56"/>
      <c r="B444" s="56"/>
      <c r="C444" s="56"/>
      <c r="D444" s="56"/>
      <c r="E444" s="57"/>
      <c r="F444" s="58"/>
      <c r="G444" s="56"/>
      <c r="H444" s="56"/>
      <c r="I444" s="59"/>
      <c r="J444" s="56"/>
      <c r="K444" s="56"/>
      <c r="L444" s="56"/>
      <c r="M444" s="1"/>
      <c r="N444" s="1"/>
      <c r="O444" s="1"/>
      <c r="P444" s="1"/>
      <c r="Q444" s="1"/>
      <c r="R444" s="1"/>
      <c r="S444" s="1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</row>
    <row r="445" spans="1:32" ht="58.5" customHeight="1" x14ac:dyDescent="0.25">
      <c r="A445" s="56"/>
      <c r="B445" s="56"/>
      <c r="C445" s="56"/>
      <c r="D445" s="56"/>
      <c r="E445" s="57"/>
      <c r="F445" s="58"/>
      <c r="G445" s="56"/>
      <c r="H445" s="56"/>
      <c r="I445" s="59"/>
      <c r="J445" s="56"/>
      <c r="K445" s="56"/>
      <c r="L445" s="56"/>
      <c r="M445" s="1"/>
      <c r="N445" s="1"/>
      <c r="O445" s="1"/>
      <c r="P445" s="1"/>
      <c r="Q445" s="1"/>
      <c r="R445" s="1"/>
      <c r="S445" s="1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</row>
    <row r="446" spans="1:32" ht="58.5" customHeight="1" x14ac:dyDescent="0.25">
      <c r="A446" s="56"/>
      <c r="B446" s="56"/>
      <c r="C446" s="56"/>
      <c r="D446" s="56"/>
      <c r="E446" s="57"/>
      <c r="F446" s="58"/>
      <c r="G446" s="56"/>
      <c r="H446" s="56"/>
      <c r="I446" s="59"/>
      <c r="J446" s="56"/>
      <c r="K446" s="56"/>
      <c r="L446" s="56"/>
      <c r="M446" s="1"/>
      <c r="N446" s="1"/>
      <c r="O446" s="1"/>
      <c r="P446" s="1"/>
      <c r="Q446" s="1"/>
      <c r="R446" s="1"/>
      <c r="S446" s="1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</row>
    <row r="447" spans="1:32" ht="58.5" customHeight="1" x14ac:dyDescent="0.25">
      <c r="A447" s="56"/>
      <c r="B447" s="56"/>
      <c r="C447" s="56"/>
      <c r="D447" s="56"/>
      <c r="E447" s="57"/>
      <c r="F447" s="58"/>
      <c r="G447" s="56"/>
      <c r="H447" s="56"/>
      <c r="I447" s="59"/>
      <c r="J447" s="56"/>
      <c r="K447" s="56"/>
      <c r="L447" s="56"/>
      <c r="M447" s="1"/>
      <c r="N447" s="1"/>
      <c r="O447" s="1"/>
      <c r="P447" s="1"/>
      <c r="Q447" s="1"/>
      <c r="R447" s="1"/>
      <c r="S447" s="1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</row>
    <row r="448" spans="1:32" ht="58.5" customHeight="1" x14ac:dyDescent="0.25">
      <c r="A448" s="56"/>
      <c r="B448" s="56"/>
      <c r="C448" s="56"/>
      <c r="D448" s="56"/>
      <c r="E448" s="57"/>
      <c r="F448" s="58"/>
      <c r="G448" s="56"/>
      <c r="H448" s="56"/>
      <c r="I448" s="59"/>
      <c r="J448" s="56"/>
      <c r="K448" s="56"/>
      <c r="L448" s="56"/>
      <c r="M448" s="1"/>
      <c r="N448" s="1"/>
      <c r="O448" s="1"/>
      <c r="P448" s="1"/>
      <c r="Q448" s="1"/>
      <c r="R448" s="1"/>
      <c r="S448" s="1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</row>
    <row r="449" spans="1:32" ht="58.5" customHeight="1" x14ac:dyDescent="0.25">
      <c r="A449" s="56"/>
      <c r="B449" s="56"/>
      <c r="C449" s="56"/>
      <c r="D449" s="56"/>
      <c r="E449" s="57"/>
      <c r="F449" s="58"/>
      <c r="G449" s="56"/>
      <c r="H449" s="56"/>
      <c r="I449" s="59"/>
      <c r="J449" s="56"/>
      <c r="K449" s="56"/>
      <c r="L449" s="56"/>
      <c r="M449" s="1"/>
      <c r="N449" s="1"/>
      <c r="O449" s="1"/>
      <c r="P449" s="1"/>
      <c r="Q449" s="1"/>
      <c r="R449" s="1"/>
      <c r="S449" s="1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</row>
    <row r="450" spans="1:32" ht="58.5" customHeight="1" x14ac:dyDescent="0.25">
      <c r="A450" s="56"/>
      <c r="B450" s="56"/>
      <c r="C450" s="56"/>
      <c r="D450" s="56"/>
      <c r="E450" s="57"/>
      <c r="F450" s="58"/>
      <c r="G450" s="56"/>
      <c r="H450" s="56"/>
      <c r="I450" s="59"/>
      <c r="J450" s="56"/>
      <c r="K450" s="56"/>
      <c r="L450" s="56"/>
      <c r="M450" s="1"/>
      <c r="N450" s="1"/>
      <c r="O450" s="1"/>
      <c r="P450" s="1"/>
      <c r="Q450" s="1"/>
      <c r="R450" s="1"/>
      <c r="S450" s="1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</row>
    <row r="451" spans="1:32" ht="58.5" customHeight="1" x14ac:dyDescent="0.25">
      <c r="A451" s="56"/>
      <c r="B451" s="56"/>
      <c r="C451" s="56"/>
      <c r="D451" s="56"/>
      <c r="E451" s="57"/>
      <c r="F451" s="58"/>
      <c r="G451" s="56"/>
      <c r="H451" s="56"/>
      <c r="I451" s="59"/>
      <c r="J451" s="56"/>
      <c r="K451" s="56"/>
      <c r="L451" s="56"/>
      <c r="M451" s="1"/>
      <c r="N451" s="1"/>
      <c r="O451" s="1"/>
      <c r="P451" s="1"/>
      <c r="Q451" s="1"/>
      <c r="R451" s="1"/>
      <c r="S451" s="1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</row>
    <row r="452" spans="1:32" ht="58.5" customHeight="1" x14ac:dyDescent="0.25">
      <c r="A452" s="56"/>
      <c r="B452" s="56"/>
      <c r="C452" s="56"/>
      <c r="D452" s="56"/>
      <c r="E452" s="57"/>
      <c r="F452" s="58"/>
      <c r="G452" s="56"/>
      <c r="H452" s="56"/>
      <c r="I452" s="59"/>
      <c r="J452" s="56"/>
      <c r="K452" s="56"/>
      <c r="L452" s="56"/>
      <c r="M452" s="1"/>
      <c r="N452" s="1"/>
      <c r="O452" s="1"/>
      <c r="P452" s="1"/>
      <c r="Q452" s="1"/>
      <c r="R452" s="1"/>
      <c r="S452" s="1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</row>
    <row r="453" spans="1:32" ht="58.5" customHeight="1" x14ac:dyDescent="0.25">
      <c r="A453" s="56"/>
      <c r="B453" s="56"/>
      <c r="C453" s="56"/>
      <c r="D453" s="56"/>
      <c r="E453" s="57"/>
      <c r="F453" s="58"/>
      <c r="G453" s="56"/>
      <c r="H453" s="56"/>
      <c r="I453" s="59"/>
      <c r="J453" s="56"/>
      <c r="K453" s="56"/>
      <c r="L453" s="56"/>
      <c r="M453" s="1"/>
      <c r="N453" s="1"/>
      <c r="O453" s="1"/>
      <c r="P453" s="1"/>
      <c r="Q453" s="1"/>
      <c r="R453" s="1"/>
      <c r="S453" s="1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</row>
    <row r="454" spans="1:32" ht="58.5" customHeight="1" x14ac:dyDescent="0.25">
      <c r="A454" s="56"/>
      <c r="B454" s="56"/>
      <c r="C454" s="56"/>
      <c r="D454" s="56"/>
      <c r="E454" s="57"/>
      <c r="F454" s="58"/>
      <c r="G454" s="56"/>
      <c r="H454" s="56"/>
      <c r="I454" s="59"/>
      <c r="J454" s="56"/>
      <c r="K454" s="56"/>
      <c r="L454" s="56"/>
      <c r="M454" s="1"/>
      <c r="N454" s="1"/>
      <c r="O454" s="1"/>
      <c r="P454" s="1"/>
      <c r="Q454" s="1"/>
      <c r="R454" s="1"/>
      <c r="S454" s="1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</row>
    <row r="455" spans="1:32" ht="58.5" customHeight="1" x14ac:dyDescent="0.25">
      <c r="A455" s="56"/>
      <c r="B455" s="56"/>
      <c r="C455" s="56"/>
      <c r="D455" s="56"/>
      <c r="E455" s="57"/>
      <c r="F455" s="58"/>
      <c r="G455" s="56"/>
      <c r="H455" s="56"/>
      <c r="I455" s="59"/>
      <c r="J455" s="56"/>
      <c r="K455" s="56"/>
      <c r="L455" s="56"/>
      <c r="M455" s="1"/>
      <c r="N455" s="1"/>
      <c r="O455" s="1"/>
      <c r="P455" s="1"/>
      <c r="Q455" s="1"/>
      <c r="R455" s="1"/>
      <c r="S455" s="1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</row>
    <row r="456" spans="1:32" ht="58.5" customHeight="1" x14ac:dyDescent="0.25">
      <c r="A456" s="56"/>
      <c r="B456" s="56"/>
      <c r="C456" s="56"/>
      <c r="D456" s="56"/>
      <c r="E456" s="57"/>
      <c r="F456" s="58"/>
      <c r="G456" s="56"/>
      <c r="H456" s="56"/>
      <c r="I456" s="59"/>
      <c r="J456" s="56"/>
      <c r="K456" s="56"/>
      <c r="L456" s="56"/>
      <c r="M456" s="1"/>
      <c r="N456" s="1"/>
      <c r="O456" s="1"/>
      <c r="P456" s="1"/>
      <c r="Q456" s="1"/>
      <c r="R456" s="1"/>
      <c r="S456" s="1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</row>
    <row r="457" spans="1:32" ht="58.5" customHeight="1" x14ac:dyDescent="0.25">
      <c r="A457" s="56"/>
      <c r="B457" s="56"/>
      <c r="C457" s="56"/>
      <c r="D457" s="56"/>
      <c r="E457" s="57"/>
      <c r="F457" s="58"/>
      <c r="G457" s="56"/>
      <c r="H457" s="56"/>
      <c r="I457" s="59"/>
      <c r="J457" s="56"/>
      <c r="K457" s="56"/>
      <c r="L457" s="56"/>
      <c r="M457" s="1"/>
      <c r="N457" s="1"/>
      <c r="O457" s="1"/>
      <c r="P457" s="1"/>
      <c r="Q457" s="1"/>
      <c r="R457" s="1"/>
      <c r="S457" s="1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</row>
    <row r="458" spans="1:32" ht="58.5" customHeight="1" x14ac:dyDescent="0.25">
      <c r="A458" s="56"/>
      <c r="B458" s="56"/>
      <c r="C458" s="56"/>
      <c r="D458" s="56"/>
      <c r="E458" s="57"/>
      <c r="F458" s="58"/>
      <c r="G458" s="56"/>
      <c r="H458" s="56"/>
      <c r="I458" s="59"/>
      <c r="J458" s="56"/>
      <c r="K458" s="56"/>
      <c r="L458" s="56"/>
      <c r="M458" s="1"/>
      <c r="N458" s="1"/>
      <c r="O458" s="1"/>
      <c r="P458" s="1"/>
      <c r="Q458" s="1"/>
      <c r="R458" s="1"/>
      <c r="S458" s="1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</row>
    <row r="459" spans="1:32" ht="58.5" customHeight="1" x14ac:dyDescent="0.25">
      <c r="A459" s="56"/>
      <c r="B459" s="56"/>
      <c r="C459" s="56"/>
      <c r="D459" s="56"/>
      <c r="E459" s="57"/>
      <c r="F459" s="58"/>
      <c r="G459" s="56"/>
      <c r="H459" s="56"/>
      <c r="I459" s="59"/>
      <c r="J459" s="56"/>
      <c r="K459" s="56"/>
      <c r="L459" s="56"/>
      <c r="M459" s="1"/>
      <c r="N459" s="1"/>
      <c r="O459" s="1"/>
      <c r="P459" s="1"/>
      <c r="Q459" s="1"/>
      <c r="R459" s="1"/>
      <c r="S459" s="1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</row>
    <row r="460" spans="1:32" ht="58.5" customHeight="1" x14ac:dyDescent="0.25">
      <c r="A460" s="56"/>
      <c r="B460" s="56"/>
      <c r="C460" s="56"/>
      <c r="D460" s="56"/>
      <c r="E460" s="57"/>
      <c r="F460" s="58"/>
      <c r="G460" s="56"/>
      <c r="H460" s="56"/>
      <c r="I460" s="59"/>
      <c r="J460" s="56"/>
      <c r="K460" s="56"/>
      <c r="L460" s="56"/>
      <c r="M460" s="1"/>
      <c r="N460" s="1"/>
      <c r="O460" s="1"/>
      <c r="P460" s="1"/>
      <c r="Q460" s="1"/>
      <c r="R460" s="1"/>
      <c r="S460" s="1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</row>
    <row r="461" spans="1:32" ht="58.5" customHeight="1" x14ac:dyDescent="0.25">
      <c r="A461" s="56"/>
      <c r="B461" s="56"/>
      <c r="C461" s="56"/>
      <c r="D461" s="56"/>
      <c r="E461" s="57"/>
      <c r="F461" s="58"/>
      <c r="G461" s="56"/>
      <c r="H461" s="56"/>
      <c r="I461" s="59"/>
      <c r="J461" s="56"/>
      <c r="K461" s="56"/>
      <c r="L461" s="56"/>
      <c r="M461" s="1"/>
      <c r="N461" s="1"/>
      <c r="O461" s="1"/>
      <c r="P461" s="1"/>
      <c r="Q461" s="1"/>
      <c r="R461" s="1"/>
      <c r="S461" s="1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</row>
    <row r="462" spans="1:32" ht="58.5" customHeight="1" x14ac:dyDescent="0.25">
      <c r="A462" s="56"/>
      <c r="B462" s="56"/>
      <c r="C462" s="56"/>
      <c r="D462" s="56"/>
      <c r="E462" s="57"/>
      <c r="F462" s="58"/>
      <c r="G462" s="56"/>
      <c r="H462" s="56"/>
      <c r="I462" s="59"/>
      <c r="J462" s="56"/>
      <c r="K462" s="56"/>
      <c r="L462" s="56"/>
      <c r="M462" s="1"/>
      <c r="N462" s="1"/>
      <c r="O462" s="1"/>
      <c r="P462" s="1"/>
      <c r="Q462" s="1"/>
      <c r="R462" s="1"/>
      <c r="S462" s="1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</row>
    <row r="463" spans="1:32" ht="58.5" customHeight="1" x14ac:dyDescent="0.25">
      <c r="A463" s="56"/>
      <c r="B463" s="56"/>
      <c r="C463" s="56"/>
      <c r="D463" s="56"/>
      <c r="E463" s="57"/>
      <c r="F463" s="58"/>
      <c r="G463" s="56"/>
      <c r="H463" s="56"/>
      <c r="I463" s="59"/>
      <c r="J463" s="56"/>
      <c r="K463" s="56"/>
      <c r="L463" s="56"/>
      <c r="M463" s="1"/>
      <c r="N463" s="1"/>
      <c r="O463" s="1"/>
      <c r="P463" s="1"/>
      <c r="Q463" s="1"/>
      <c r="R463" s="1"/>
      <c r="S463" s="1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</row>
    <row r="464" spans="1:32" ht="58.5" customHeight="1" x14ac:dyDescent="0.25">
      <c r="A464" s="56"/>
      <c r="B464" s="56"/>
      <c r="C464" s="56"/>
      <c r="D464" s="56"/>
      <c r="E464" s="57"/>
      <c r="F464" s="58"/>
      <c r="G464" s="56"/>
      <c r="H464" s="56"/>
      <c r="I464" s="59"/>
      <c r="J464" s="56"/>
      <c r="K464" s="56"/>
      <c r="L464" s="56"/>
      <c r="M464" s="1"/>
      <c r="N464" s="1"/>
      <c r="O464" s="1"/>
      <c r="P464" s="1"/>
      <c r="Q464" s="1"/>
      <c r="R464" s="1"/>
      <c r="S464" s="1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</row>
    <row r="465" spans="1:32" ht="58.5" customHeight="1" x14ac:dyDescent="0.25">
      <c r="A465" s="56"/>
      <c r="B465" s="56"/>
      <c r="C465" s="56"/>
      <c r="D465" s="56"/>
      <c r="E465" s="57"/>
      <c r="F465" s="58"/>
      <c r="G465" s="56"/>
      <c r="H465" s="56"/>
      <c r="I465" s="59"/>
      <c r="J465" s="56"/>
      <c r="K465" s="56"/>
      <c r="L465" s="56"/>
      <c r="M465" s="1"/>
      <c r="N465" s="1"/>
      <c r="O465" s="1"/>
      <c r="P465" s="1"/>
      <c r="Q465" s="1"/>
      <c r="R465" s="1"/>
      <c r="S465" s="1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</row>
    <row r="466" spans="1:32" ht="58.5" customHeight="1" x14ac:dyDescent="0.25">
      <c r="A466" s="56"/>
      <c r="B466" s="56"/>
      <c r="C466" s="56"/>
      <c r="D466" s="56"/>
      <c r="E466" s="57"/>
      <c r="F466" s="58"/>
      <c r="G466" s="56"/>
      <c r="H466" s="56"/>
      <c r="I466" s="59"/>
      <c r="J466" s="56"/>
      <c r="K466" s="56"/>
      <c r="L466" s="56"/>
      <c r="M466" s="1"/>
      <c r="N466" s="1"/>
      <c r="O466" s="1"/>
      <c r="P466" s="1"/>
      <c r="Q466" s="1"/>
      <c r="R466" s="1"/>
      <c r="S466" s="1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</row>
    <row r="467" spans="1:32" ht="58.5" customHeight="1" x14ac:dyDescent="0.25">
      <c r="A467" s="56"/>
      <c r="B467" s="56"/>
      <c r="C467" s="56"/>
      <c r="D467" s="56"/>
      <c r="E467" s="57"/>
      <c r="F467" s="58"/>
      <c r="G467" s="56"/>
      <c r="H467" s="56"/>
      <c r="I467" s="59"/>
      <c r="J467" s="56"/>
      <c r="K467" s="56"/>
      <c r="L467" s="56"/>
      <c r="M467" s="1"/>
      <c r="N467" s="1"/>
      <c r="O467" s="1"/>
      <c r="P467" s="1"/>
      <c r="Q467" s="1"/>
      <c r="R467" s="1"/>
      <c r="S467" s="1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</row>
    <row r="468" spans="1:32" ht="58.5" customHeight="1" x14ac:dyDescent="0.25">
      <c r="A468" s="56"/>
      <c r="B468" s="56"/>
      <c r="C468" s="56"/>
      <c r="D468" s="56"/>
      <c r="E468" s="57"/>
      <c r="F468" s="58"/>
      <c r="G468" s="56"/>
      <c r="H468" s="56"/>
      <c r="I468" s="59"/>
      <c r="J468" s="56"/>
      <c r="K468" s="56"/>
      <c r="L468" s="56"/>
      <c r="M468" s="1"/>
      <c r="N468" s="1"/>
      <c r="O468" s="1"/>
      <c r="P468" s="1"/>
      <c r="Q468" s="1"/>
      <c r="R468" s="1"/>
      <c r="S468" s="1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</row>
    <row r="469" spans="1:32" ht="58.5" customHeight="1" x14ac:dyDescent="0.25">
      <c r="A469" s="56"/>
      <c r="B469" s="56"/>
      <c r="C469" s="56"/>
      <c r="D469" s="56"/>
      <c r="E469" s="57"/>
      <c r="F469" s="58"/>
      <c r="G469" s="56"/>
      <c r="H469" s="56"/>
      <c r="I469" s="59"/>
      <c r="J469" s="56"/>
      <c r="K469" s="56"/>
      <c r="L469" s="56"/>
      <c r="M469" s="1"/>
      <c r="N469" s="1"/>
      <c r="O469" s="1"/>
      <c r="P469" s="1"/>
      <c r="Q469" s="1"/>
      <c r="R469" s="1"/>
      <c r="S469" s="1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</row>
    <row r="470" spans="1:32" ht="58.5" customHeight="1" x14ac:dyDescent="0.25">
      <c r="A470" s="56"/>
      <c r="B470" s="56"/>
      <c r="C470" s="56"/>
      <c r="D470" s="56"/>
      <c r="E470" s="57"/>
      <c r="F470" s="58"/>
      <c r="G470" s="56"/>
      <c r="H470" s="56"/>
      <c r="I470" s="59"/>
      <c r="J470" s="56"/>
      <c r="K470" s="56"/>
      <c r="L470" s="56"/>
      <c r="M470" s="1"/>
      <c r="N470" s="1"/>
      <c r="O470" s="1"/>
      <c r="P470" s="1"/>
      <c r="Q470" s="1"/>
      <c r="R470" s="1"/>
      <c r="S470" s="1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</row>
    <row r="471" spans="1:32" ht="58.5" customHeight="1" x14ac:dyDescent="0.25">
      <c r="A471" s="56"/>
      <c r="B471" s="56"/>
      <c r="C471" s="56"/>
      <c r="D471" s="56"/>
      <c r="E471" s="57"/>
      <c r="F471" s="58"/>
      <c r="G471" s="56"/>
      <c r="H471" s="56"/>
      <c r="I471" s="59"/>
      <c r="J471" s="56"/>
      <c r="K471" s="56"/>
      <c r="L471" s="56"/>
      <c r="M471" s="1"/>
      <c r="N471" s="1"/>
      <c r="O471" s="1"/>
      <c r="P471" s="1"/>
      <c r="Q471" s="1"/>
      <c r="R471" s="1"/>
      <c r="S471" s="1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</row>
    <row r="472" spans="1:32" ht="58.5" customHeight="1" x14ac:dyDescent="0.25">
      <c r="A472" s="56"/>
      <c r="B472" s="56"/>
      <c r="C472" s="56"/>
      <c r="D472" s="56"/>
      <c r="E472" s="57"/>
      <c r="F472" s="58"/>
      <c r="G472" s="56"/>
      <c r="H472" s="56"/>
      <c r="I472" s="59"/>
      <c r="J472" s="56"/>
      <c r="K472" s="56"/>
      <c r="L472" s="56"/>
      <c r="M472" s="1"/>
      <c r="N472" s="1"/>
      <c r="O472" s="1"/>
      <c r="P472" s="1"/>
      <c r="Q472" s="1"/>
      <c r="R472" s="1"/>
      <c r="S472" s="1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</row>
    <row r="473" spans="1:32" ht="58.5" customHeight="1" x14ac:dyDescent="0.25">
      <c r="A473" s="56"/>
      <c r="B473" s="56"/>
      <c r="C473" s="56"/>
      <c r="D473" s="56"/>
      <c r="E473" s="57"/>
      <c r="F473" s="58"/>
      <c r="G473" s="56"/>
      <c r="H473" s="56"/>
      <c r="I473" s="59"/>
      <c r="J473" s="56"/>
      <c r="K473" s="56"/>
      <c r="L473" s="56"/>
      <c r="M473" s="1"/>
      <c r="N473" s="1"/>
      <c r="O473" s="1"/>
      <c r="P473" s="1"/>
      <c r="Q473" s="1"/>
      <c r="R473" s="1"/>
      <c r="S473" s="1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</row>
    <row r="474" spans="1:32" ht="58.5" customHeight="1" x14ac:dyDescent="0.25">
      <c r="A474" s="56"/>
      <c r="B474" s="56"/>
      <c r="C474" s="56"/>
      <c r="D474" s="56"/>
      <c r="E474" s="57"/>
      <c r="F474" s="58"/>
      <c r="G474" s="56"/>
      <c r="H474" s="56"/>
      <c r="I474" s="59"/>
      <c r="J474" s="56"/>
      <c r="K474" s="56"/>
      <c r="L474" s="56"/>
      <c r="M474" s="1"/>
      <c r="N474" s="1"/>
      <c r="O474" s="1"/>
      <c r="P474" s="1"/>
      <c r="Q474" s="1"/>
      <c r="R474" s="1"/>
      <c r="S474" s="1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</row>
    <row r="475" spans="1:32" ht="58.5" customHeight="1" x14ac:dyDescent="0.25">
      <c r="A475" s="56"/>
      <c r="B475" s="56"/>
      <c r="C475" s="56"/>
      <c r="D475" s="56"/>
      <c r="E475" s="57"/>
      <c r="F475" s="58"/>
      <c r="G475" s="56"/>
      <c r="H475" s="56"/>
      <c r="I475" s="59"/>
      <c r="J475" s="56"/>
      <c r="K475" s="56"/>
      <c r="L475" s="56"/>
      <c r="M475" s="1"/>
      <c r="N475" s="1"/>
      <c r="O475" s="1"/>
      <c r="P475" s="1"/>
      <c r="Q475" s="1"/>
      <c r="R475" s="1"/>
      <c r="S475" s="1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</row>
    <row r="476" spans="1:32" ht="58.5" customHeight="1" x14ac:dyDescent="0.25">
      <c r="A476" s="56"/>
      <c r="B476" s="56"/>
      <c r="C476" s="56"/>
      <c r="D476" s="56"/>
      <c r="E476" s="57"/>
      <c r="F476" s="58"/>
      <c r="G476" s="56"/>
      <c r="H476" s="56"/>
      <c r="I476" s="59"/>
      <c r="J476" s="56"/>
      <c r="K476" s="56"/>
      <c r="L476" s="56"/>
      <c r="M476" s="1"/>
      <c r="N476" s="1"/>
      <c r="O476" s="1"/>
      <c r="P476" s="1"/>
      <c r="Q476" s="1"/>
      <c r="R476" s="1"/>
      <c r="S476" s="1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</row>
    <row r="477" spans="1:32" ht="58.5" customHeight="1" x14ac:dyDescent="0.25">
      <c r="A477" s="56"/>
      <c r="B477" s="56"/>
      <c r="C477" s="56"/>
      <c r="D477" s="56"/>
      <c r="E477" s="57"/>
      <c r="F477" s="58"/>
      <c r="G477" s="56"/>
      <c r="H477" s="56"/>
      <c r="I477" s="59"/>
      <c r="J477" s="56"/>
      <c r="K477" s="56"/>
      <c r="L477" s="56"/>
      <c r="M477" s="1"/>
      <c r="N477" s="1"/>
      <c r="O477" s="1"/>
      <c r="P477" s="1"/>
      <c r="Q477" s="1"/>
      <c r="R477" s="1"/>
      <c r="S477" s="1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</row>
    <row r="478" spans="1:32" ht="58.5" customHeight="1" x14ac:dyDescent="0.25">
      <c r="A478" s="56"/>
      <c r="B478" s="56"/>
      <c r="C478" s="56"/>
      <c r="D478" s="56"/>
      <c r="E478" s="57"/>
      <c r="F478" s="58"/>
      <c r="G478" s="56"/>
      <c r="H478" s="56"/>
      <c r="I478" s="59"/>
      <c r="J478" s="56"/>
      <c r="K478" s="56"/>
      <c r="L478" s="56"/>
      <c r="M478" s="1"/>
      <c r="N478" s="1"/>
      <c r="O478" s="1"/>
      <c r="P478" s="1"/>
      <c r="Q478" s="1"/>
      <c r="R478" s="1"/>
      <c r="S478" s="1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</row>
    <row r="479" spans="1:32" ht="58.5" customHeight="1" x14ac:dyDescent="0.25">
      <c r="A479" s="56"/>
      <c r="B479" s="56"/>
      <c r="C479" s="56"/>
      <c r="D479" s="56"/>
      <c r="E479" s="57"/>
      <c r="F479" s="58"/>
      <c r="G479" s="56"/>
      <c r="H479" s="56"/>
      <c r="I479" s="59"/>
      <c r="J479" s="56"/>
      <c r="K479" s="56"/>
      <c r="L479" s="56"/>
      <c r="M479" s="1"/>
      <c r="N479" s="1"/>
      <c r="O479" s="1"/>
      <c r="P479" s="1"/>
      <c r="Q479" s="1"/>
      <c r="R479" s="1"/>
      <c r="S479" s="1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</row>
    <row r="480" spans="1:32" ht="58.5" customHeight="1" x14ac:dyDescent="0.25">
      <c r="A480" s="56"/>
      <c r="B480" s="56"/>
      <c r="C480" s="56"/>
      <c r="D480" s="56"/>
      <c r="E480" s="57"/>
      <c r="F480" s="58"/>
      <c r="G480" s="56"/>
      <c r="H480" s="56"/>
      <c r="I480" s="59"/>
      <c r="J480" s="56"/>
      <c r="K480" s="56"/>
      <c r="L480" s="56"/>
      <c r="M480" s="1"/>
      <c r="N480" s="1"/>
      <c r="O480" s="1"/>
      <c r="P480" s="1"/>
      <c r="Q480" s="1"/>
      <c r="R480" s="1"/>
      <c r="S480" s="1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</row>
    <row r="481" spans="1:32" ht="58.5" customHeight="1" x14ac:dyDescent="0.25">
      <c r="A481" s="56"/>
      <c r="B481" s="56"/>
      <c r="C481" s="56"/>
      <c r="D481" s="56"/>
      <c r="E481" s="57"/>
      <c r="F481" s="58"/>
      <c r="G481" s="56"/>
      <c r="H481" s="56"/>
      <c r="I481" s="59"/>
      <c r="J481" s="56"/>
      <c r="K481" s="56"/>
      <c r="L481" s="56"/>
      <c r="M481" s="1"/>
      <c r="N481" s="1"/>
      <c r="O481" s="1"/>
      <c r="P481" s="1"/>
      <c r="Q481" s="1"/>
      <c r="R481" s="1"/>
      <c r="S481" s="1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</row>
    <row r="482" spans="1:32" ht="58.5" customHeight="1" x14ac:dyDescent="0.25">
      <c r="A482" s="56"/>
      <c r="B482" s="56"/>
      <c r="C482" s="56"/>
      <c r="D482" s="56"/>
      <c r="E482" s="57"/>
      <c r="F482" s="58"/>
      <c r="G482" s="56"/>
      <c r="H482" s="56"/>
      <c r="I482" s="59"/>
      <c r="J482" s="56"/>
      <c r="K482" s="56"/>
      <c r="L482" s="56"/>
      <c r="M482" s="1"/>
      <c r="N482" s="1"/>
      <c r="O482" s="1"/>
      <c r="P482" s="1"/>
      <c r="Q482" s="1"/>
      <c r="R482" s="1"/>
      <c r="S482" s="1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</row>
    <row r="483" spans="1:32" ht="58.5" customHeight="1" x14ac:dyDescent="0.25">
      <c r="A483" s="56"/>
      <c r="B483" s="56"/>
      <c r="C483" s="56"/>
      <c r="D483" s="56"/>
      <c r="E483" s="57"/>
      <c r="F483" s="58"/>
      <c r="G483" s="56"/>
      <c r="H483" s="56"/>
      <c r="I483" s="59"/>
      <c r="J483" s="56"/>
      <c r="K483" s="56"/>
      <c r="L483" s="56"/>
      <c r="M483" s="1"/>
      <c r="N483" s="1"/>
      <c r="O483" s="1"/>
      <c r="P483" s="1"/>
      <c r="Q483" s="1"/>
      <c r="R483" s="1"/>
      <c r="S483" s="1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</row>
    <row r="484" spans="1:32" ht="58.5" customHeight="1" x14ac:dyDescent="0.25">
      <c r="A484" s="56"/>
      <c r="B484" s="56"/>
      <c r="C484" s="56"/>
      <c r="D484" s="56"/>
      <c r="E484" s="57"/>
      <c r="F484" s="58"/>
      <c r="G484" s="56"/>
      <c r="H484" s="56"/>
      <c r="I484" s="59"/>
      <c r="J484" s="56"/>
      <c r="K484" s="56"/>
      <c r="L484" s="56"/>
      <c r="M484" s="1"/>
      <c r="N484" s="1"/>
      <c r="O484" s="1"/>
      <c r="P484" s="1"/>
      <c r="Q484" s="1"/>
      <c r="R484" s="1"/>
      <c r="S484" s="1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</row>
    <row r="485" spans="1:32" ht="58.5" customHeight="1" x14ac:dyDescent="0.25">
      <c r="A485" s="56"/>
      <c r="B485" s="56"/>
      <c r="C485" s="56"/>
      <c r="D485" s="56"/>
      <c r="E485" s="57"/>
      <c r="F485" s="58"/>
      <c r="G485" s="56"/>
      <c r="H485" s="56"/>
      <c r="I485" s="59"/>
      <c r="J485" s="56"/>
      <c r="K485" s="56"/>
      <c r="L485" s="56"/>
      <c r="M485" s="1"/>
      <c r="N485" s="1"/>
      <c r="O485" s="1"/>
      <c r="P485" s="1"/>
      <c r="Q485" s="1"/>
      <c r="R485" s="1"/>
      <c r="S485" s="1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</row>
    <row r="486" spans="1:32" ht="58.5" customHeight="1" x14ac:dyDescent="0.25">
      <c r="A486" s="56"/>
      <c r="B486" s="56"/>
      <c r="C486" s="56"/>
      <c r="D486" s="56"/>
      <c r="E486" s="57"/>
      <c r="F486" s="58"/>
      <c r="G486" s="56"/>
      <c r="H486" s="56"/>
      <c r="I486" s="59"/>
      <c r="J486" s="56"/>
      <c r="K486" s="56"/>
      <c r="L486" s="56"/>
      <c r="M486" s="1"/>
      <c r="N486" s="1"/>
      <c r="O486" s="1"/>
      <c r="P486" s="1"/>
      <c r="Q486" s="1"/>
      <c r="R486" s="1"/>
      <c r="S486" s="1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</row>
    <row r="487" spans="1:32" ht="58.5" customHeight="1" x14ac:dyDescent="0.25">
      <c r="A487" s="56"/>
      <c r="B487" s="56"/>
      <c r="C487" s="56"/>
      <c r="D487" s="56"/>
      <c r="E487" s="57"/>
      <c r="F487" s="58"/>
      <c r="G487" s="56"/>
      <c r="H487" s="56"/>
      <c r="I487" s="59"/>
      <c r="J487" s="56"/>
      <c r="K487" s="56"/>
      <c r="L487" s="56"/>
      <c r="M487" s="1"/>
      <c r="N487" s="1"/>
      <c r="O487" s="1"/>
      <c r="P487" s="1"/>
      <c r="Q487" s="1"/>
      <c r="R487" s="1"/>
      <c r="S487" s="1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</row>
    <row r="488" spans="1:32" ht="58.5" customHeight="1" x14ac:dyDescent="0.25">
      <c r="A488" s="56"/>
      <c r="B488" s="56"/>
      <c r="C488" s="56"/>
      <c r="D488" s="56"/>
      <c r="E488" s="57"/>
      <c r="F488" s="58"/>
      <c r="G488" s="56"/>
      <c r="H488" s="56"/>
      <c r="I488" s="59"/>
      <c r="J488" s="56"/>
      <c r="K488" s="56"/>
      <c r="L488" s="56"/>
      <c r="M488" s="1"/>
      <c r="N488" s="1"/>
      <c r="O488" s="1"/>
      <c r="P488" s="1"/>
      <c r="Q488" s="1"/>
      <c r="R488" s="1"/>
      <c r="S488" s="1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</row>
    <row r="489" spans="1:32" ht="58.5" customHeight="1" x14ac:dyDescent="0.25">
      <c r="A489" s="56"/>
      <c r="B489" s="56"/>
      <c r="C489" s="56"/>
      <c r="D489" s="56"/>
      <c r="E489" s="57"/>
      <c r="F489" s="58"/>
      <c r="G489" s="56"/>
      <c r="H489" s="56"/>
      <c r="I489" s="59"/>
      <c r="J489" s="56"/>
      <c r="K489" s="56"/>
      <c r="L489" s="56"/>
      <c r="M489" s="1"/>
      <c r="N489" s="1"/>
      <c r="O489" s="1"/>
      <c r="P489" s="1"/>
      <c r="Q489" s="1"/>
      <c r="R489" s="1"/>
      <c r="S489" s="1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</row>
    <row r="490" spans="1:32" ht="58.5" customHeight="1" x14ac:dyDescent="0.25">
      <c r="A490" s="56"/>
      <c r="B490" s="56"/>
      <c r="C490" s="56"/>
      <c r="D490" s="56"/>
      <c r="E490" s="57"/>
      <c r="F490" s="58"/>
      <c r="G490" s="56"/>
      <c r="H490" s="56"/>
      <c r="I490" s="59"/>
      <c r="J490" s="56"/>
      <c r="K490" s="56"/>
      <c r="L490" s="56"/>
      <c r="M490" s="1"/>
      <c r="N490" s="1"/>
      <c r="O490" s="1"/>
      <c r="P490" s="1"/>
      <c r="Q490" s="1"/>
      <c r="R490" s="1"/>
      <c r="S490" s="1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</row>
    <row r="491" spans="1:32" ht="58.5" customHeight="1" x14ac:dyDescent="0.25">
      <c r="A491" s="56"/>
      <c r="B491" s="56"/>
      <c r="C491" s="56"/>
      <c r="D491" s="56"/>
      <c r="E491" s="57"/>
      <c r="F491" s="58"/>
      <c r="G491" s="56"/>
      <c r="H491" s="56"/>
      <c r="I491" s="59"/>
      <c r="J491" s="56"/>
      <c r="K491" s="56"/>
      <c r="L491" s="56"/>
      <c r="M491" s="1"/>
      <c r="N491" s="1"/>
      <c r="O491" s="1"/>
      <c r="P491" s="1"/>
      <c r="Q491" s="1"/>
      <c r="R491" s="1"/>
      <c r="S491" s="1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</row>
    <row r="492" spans="1:32" ht="58.5" customHeight="1" x14ac:dyDescent="0.25">
      <c r="A492" s="56"/>
      <c r="B492" s="56"/>
      <c r="C492" s="56"/>
      <c r="D492" s="56"/>
      <c r="E492" s="57"/>
      <c r="F492" s="58"/>
      <c r="G492" s="56"/>
      <c r="H492" s="56"/>
      <c r="I492" s="59"/>
      <c r="J492" s="56"/>
      <c r="K492" s="56"/>
      <c r="L492" s="56"/>
      <c r="M492" s="1"/>
      <c r="N492" s="1"/>
      <c r="O492" s="1"/>
      <c r="P492" s="1"/>
      <c r="Q492" s="1"/>
      <c r="R492" s="1"/>
      <c r="S492" s="1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</row>
    <row r="493" spans="1:32" ht="58.5" customHeight="1" x14ac:dyDescent="0.25">
      <c r="A493" s="56"/>
      <c r="B493" s="56"/>
      <c r="C493" s="56"/>
      <c r="D493" s="56"/>
      <c r="E493" s="57"/>
      <c r="F493" s="58"/>
      <c r="G493" s="56"/>
      <c r="H493" s="56"/>
      <c r="I493" s="59"/>
      <c r="J493" s="56"/>
      <c r="K493" s="56"/>
      <c r="L493" s="56"/>
      <c r="M493" s="1"/>
      <c r="N493" s="1"/>
      <c r="O493" s="1"/>
      <c r="P493" s="1"/>
      <c r="Q493" s="1"/>
      <c r="R493" s="1"/>
      <c r="S493" s="1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</row>
    <row r="494" spans="1:32" ht="58.5" customHeight="1" x14ac:dyDescent="0.25">
      <c r="A494" s="56"/>
      <c r="B494" s="56"/>
      <c r="C494" s="56"/>
      <c r="D494" s="56"/>
      <c r="E494" s="57"/>
      <c r="F494" s="58"/>
      <c r="G494" s="56"/>
      <c r="H494" s="56"/>
      <c r="I494" s="59"/>
      <c r="J494" s="56"/>
      <c r="K494" s="56"/>
      <c r="L494" s="56"/>
      <c r="M494" s="1"/>
      <c r="N494" s="1"/>
      <c r="O494" s="1"/>
      <c r="P494" s="1"/>
      <c r="Q494" s="1"/>
      <c r="R494" s="1"/>
      <c r="S494" s="1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</row>
    <row r="495" spans="1:32" ht="58.5" customHeight="1" x14ac:dyDescent="0.25">
      <c r="A495" s="56"/>
      <c r="B495" s="56"/>
      <c r="C495" s="56"/>
      <c r="D495" s="56"/>
      <c r="E495" s="57"/>
      <c r="F495" s="58"/>
      <c r="G495" s="56"/>
      <c r="H495" s="56"/>
      <c r="I495" s="59"/>
      <c r="J495" s="56"/>
      <c r="K495" s="56"/>
      <c r="L495" s="56"/>
      <c r="M495" s="1"/>
      <c r="N495" s="1"/>
      <c r="O495" s="1"/>
      <c r="P495" s="1"/>
      <c r="Q495" s="1"/>
      <c r="R495" s="1"/>
      <c r="S495" s="1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</row>
    <row r="496" spans="1:32" ht="58.5" customHeight="1" x14ac:dyDescent="0.25">
      <c r="A496" s="56"/>
      <c r="B496" s="56"/>
      <c r="C496" s="56"/>
      <c r="D496" s="56"/>
      <c r="E496" s="57"/>
      <c r="F496" s="58"/>
      <c r="G496" s="56"/>
      <c r="H496" s="56"/>
      <c r="I496" s="59"/>
      <c r="J496" s="56"/>
      <c r="K496" s="56"/>
      <c r="L496" s="56"/>
      <c r="M496" s="1"/>
      <c r="N496" s="1"/>
      <c r="O496" s="1"/>
      <c r="P496" s="1"/>
      <c r="Q496" s="1"/>
      <c r="R496" s="1"/>
      <c r="S496" s="1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</row>
    <row r="497" spans="1:32" ht="58.5" customHeight="1" x14ac:dyDescent="0.25">
      <c r="A497" s="56"/>
      <c r="B497" s="56"/>
      <c r="C497" s="56"/>
      <c r="D497" s="56"/>
      <c r="E497" s="57"/>
      <c r="F497" s="58"/>
      <c r="G497" s="56"/>
      <c r="H497" s="56"/>
      <c r="I497" s="59"/>
      <c r="J497" s="56"/>
      <c r="K497" s="56"/>
      <c r="L497" s="56"/>
      <c r="M497" s="1"/>
      <c r="N497" s="1"/>
      <c r="O497" s="1"/>
      <c r="P497" s="1"/>
      <c r="Q497" s="1"/>
      <c r="R497" s="1"/>
      <c r="S497" s="1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</row>
    <row r="498" spans="1:32" ht="58.5" customHeight="1" x14ac:dyDescent="0.25">
      <c r="A498" s="56"/>
      <c r="B498" s="56"/>
      <c r="C498" s="56"/>
      <c r="D498" s="56"/>
      <c r="E498" s="57"/>
      <c r="F498" s="58"/>
      <c r="G498" s="56"/>
      <c r="H498" s="56"/>
      <c r="I498" s="59"/>
      <c r="J498" s="56"/>
      <c r="K498" s="56"/>
      <c r="L498" s="56"/>
      <c r="M498" s="1"/>
      <c r="N498" s="1"/>
      <c r="O498" s="1"/>
      <c r="P498" s="1"/>
      <c r="Q498" s="1"/>
      <c r="R498" s="1"/>
      <c r="S498" s="1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</row>
    <row r="499" spans="1:32" ht="58.5" customHeight="1" x14ac:dyDescent="0.25">
      <c r="A499" s="56"/>
      <c r="B499" s="56"/>
      <c r="C499" s="56"/>
      <c r="D499" s="56"/>
      <c r="E499" s="57"/>
      <c r="F499" s="58"/>
      <c r="G499" s="56"/>
      <c r="H499" s="56"/>
      <c r="I499" s="59"/>
      <c r="J499" s="56"/>
      <c r="K499" s="56"/>
      <c r="L499" s="56"/>
      <c r="M499" s="1"/>
      <c r="N499" s="1"/>
      <c r="O499" s="1"/>
      <c r="P499" s="1"/>
      <c r="Q499" s="1"/>
      <c r="R499" s="1"/>
      <c r="S499" s="1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</row>
    <row r="500" spans="1:32" ht="58.5" customHeight="1" x14ac:dyDescent="0.25">
      <c r="A500" s="56"/>
      <c r="B500" s="56"/>
      <c r="C500" s="56"/>
      <c r="D500" s="56"/>
      <c r="E500" s="57"/>
      <c r="F500" s="58"/>
      <c r="G500" s="56"/>
      <c r="H500" s="56"/>
      <c r="I500" s="59"/>
      <c r="J500" s="56"/>
      <c r="K500" s="56"/>
      <c r="L500" s="56"/>
      <c r="M500" s="1"/>
      <c r="N500" s="1"/>
      <c r="O500" s="1"/>
      <c r="P500" s="1"/>
      <c r="Q500" s="1"/>
      <c r="R500" s="1"/>
      <c r="S500" s="1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</row>
    <row r="501" spans="1:32" ht="58.5" customHeight="1" x14ac:dyDescent="0.25">
      <c r="A501" s="56"/>
      <c r="B501" s="56"/>
      <c r="C501" s="56"/>
      <c r="D501" s="56"/>
      <c r="E501" s="57"/>
      <c r="F501" s="58"/>
      <c r="G501" s="56"/>
      <c r="H501" s="56"/>
      <c r="I501" s="59"/>
      <c r="J501" s="56"/>
      <c r="K501" s="56"/>
      <c r="L501" s="56"/>
      <c r="M501" s="1"/>
      <c r="N501" s="1"/>
      <c r="O501" s="1"/>
      <c r="P501" s="1"/>
      <c r="Q501" s="1"/>
      <c r="R501" s="1"/>
      <c r="S501" s="1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</row>
    <row r="502" spans="1:32" ht="58.5" customHeight="1" x14ac:dyDescent="0.25">
      <c r="A502" s="56"/>
      <c r="B502" s="56"/>
      <c r="C502" s="56"/>
      <c r="D502" s="56"/>
      <c r="E502" s="57"/>
      <c r="F502" s="58"/>
      <c r="G502" s="56"/>
      <c r="H502" s="56"/>
      <c r="I502" s="59"/>
      <c r="J502" s="56"/>
      <c r="K502" s="56"/>
      <c r="L502" s="56"/>
      <c r="M502" s="1"/>
      <c r="N502" s="1"/>
      <c r="O502" s="1"/>
      <c r="P502" s="1"/>
      <c r="Q502" s="1"/>
      <c r="R502" s="1"/>
      <c r="S502" s="1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</row>
    <row r="503" spans="1:32" ht="58.5" customHeight="1" x14ac:dyDescent="0.25">
      <c r="A503" s="56"/>
      <c r="B503" s="56"/>
      <c r="C503" s="56"/>
      <c r="D503" s="56"/>
      <c r="E503" s="57"/>
      <c r="F503" s="58"/>
      <c r="G503" s="56"/>
      <c r="H503" s="56"/>
      <c r="I503" s="59"/>
      <c r="J503" s="56"/>
      <c r="K503" s="56"/>
      <c r="L503" s="56"/>
      <c r="M503" s="1"/>
      <c r="N503" s="1"/>
      <c r="O503" s="1"/>
      <c r="P503" s="1"/>
      <c r="Q503" s="1"/>
      <c r="R503" s="1"/>
      <c r="S503" s="1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</row>
    <row r="504" spans="1:32" ht="58.5" customHeight="1" x14ac:dyDescent="0.25">
      <c r="A504" s="56"/>
      <c r="B504" s="56"/>
      <c r="C504" s="56"/>
      <c r="D504" s="56"/>
      <c r="E504" s="57"/>
      <c r="F504" s="58"/>
      <c r="G504" s="56"/>
      <c r="H504" s="56"/>
      <c r="I504" s="59"/>
      <c r="J504" s="56"/>
      <c r="K504" s="56"/>
      <c r="L504" s="56"/>
      <c r="M504" s="1"/>
      <c r="N504" s="1"/>
      <c r="O504" s="1"/>
      <c r="P504" s="1"/>
      <c r="Q504" s="1"/>
      <c r="R504" s="1"/>
      <c r="S504" s="1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</row>
    <row r="505" spans="1:32" ht="58.5" customHeight="1" x14ac:dyDescent="0.25">
      <c r="A505" s="56"/>
      <c r="B505" s="56"/>
      <c r="C505" s="56"/>
      <c r="D505" s="56"/>
      <c r="E505" s="57"/>
      <c r="F505" s="58"/>
      <c r="G505" s="56"/>
      <c r="H505" s="56"/>
      <c r="I505" s="59"/>
      <c r="J505" s="56"/>
      <c r="K505" s="56"/>
      <c r="L505" s="56"/>
      <c r="M505" s="1"/>
      <c r="N505" s="1"/>
      <c r="O505" s="1"/>
      <c r="P505" s="1"/>
      <c r="Q505" s="1"/>
      <c r="R505" s="1"/>
      <c r="S505" s="1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</row>
    <row r="506" spans="1:32" ht="58.5" customHeight="1" x14ac:dyDescent="0.25">
      <c r="A506" s="56"/>
      <c r="B506" s="56"/>
      <c r="C506" s="56"/>
      <c r="D506" s="56"/>
      <c r="E506" s="57"/>
      <c r="F506" s="58"/>
      <c r="G506" s="56"/>
      <c r="H506" s="56"/>
      <c r="I506" s="59"/>
      <c r="J506" s="56"/>
      <c r="K506" s="56"/>
      <c r="L506" s="56"/>
      <c r="M506" s="1"/>
      <c r="N506" s="1"/>
      <c r="O506" s="1"/>
      <c r="P506" s="1"/>
      <c r="Q506" s="1"/>
      <c r="R506" s="1"/>
      <c r="S506" s="1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</row>
    <row r="507" spans="1:32" ht="58.5" customHeight="1" x14ac:dyDescent="0.25">
      <c r="A507" s="56"/>
      <c r="B507" s="56"/>
      <c r="C507" s="56"/>
      <c r="D507" s="56"/>
      <c r="E507" s="57"/>
      <c r="F507" s="58"/>
      <c r="G507" s="56"/>
      <c r="H507" s="56"/>
      <c r="I507" s="59"/>
      <c r="J507" s="56"/>
      <c r="K507" s="56"/>
      <c r="L507" s="56"/>
      <c r="M507" s="1"/>
      <c r="N507" s="1"/>
      <c r="O507" s="1"/>
      <c r="P507" s="1"/>
      <c r="Q507" s="1"/>
      <c r="R507" s="1"/>
      <c r="S507" s="1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</row>
    <row r="508" spans="1:32" ht="58.5" customHeight="1" x14ac:dyDescent="0.25">
      <c r="A508" s="56"/>
      <c r="B508" s="56"/>
      <c r="C508" s="56"/>
      <c r="D508" s="56"/>
      <c r="E508" s="57"/>
      <c r="F508" s="58"/>
      <c r="G508" s="56"/>
      <c r="H508" s="56"/>
      <c r="I508" s="59"/>
      <c r="J508" s="56"/>
      <c r="K508" s="56"/>
      <c r="L508" s="56"/>
      <c r="M508" s="1"/>
      <c r="N508" s="1"/>
      <c r="O508" s="1"/>
      <c r="P508" s="1"/>
      <c r="Q508" s="1"/>
      <c r="R508" s="1"/>
      <c r="S508" s="1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</row>
    <row r="509" spans="1:32" ht="58.5" customHeight="1" x14ac:dyDescent="0.25">
      <c r="A509" s="56"/>
      <c r="B509" s="56"/>
      <c r="C509" s="56"/>
      <c r="D509" s="56"/>
      <c r="E509" s="57"/>
      <c r="F509" s="58"/>
      <c r="G509" s="56"/>
      <c r="H509" s="56"/>
      <c r="I509" s="59"/>
      <c r="J509" s="56"/>
      <c r="K509" s="56"/>
      <c r="L509" s="56"/>
      <c r="M509" s="1"/>
      <c r="N509" s="1"/>
      <c r="O509" s="1"/>
      <c r="P509" s="1"/>
      <c r="Q509" s="1"/>
      <c r="R509" s="1"/>
      <c r="S509" s="1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</row>
    <row r="510" spans="1:32" ht="58.5" customHeight="1" x14ac:dyDescent="0.25">
      <c r="A510" s="56"/>
      <c r="B510" s="56"/>
      <c r="C510" s="56"/>
      <c r="D510" s="56"/>
      <c r="E510" s="57"/>
      <c r="F510" s="58"/>
      <c r="G510" s="56"/>
      <c r="H510" s="56"/>
      <c r="I510" s="59"/>
      <c r="J510" s="56"/>
      <c r="K510" s="56"/>
      <c r="L510" s="56"/>
      <c r="M510" s="1"/>
      <c r="N510" s="1"/>
      <c r="O510" s="1"/>
      <c r="P510" s="1"/>
      <c r="Q510" s="1"/>
      <c r="R510" s="1"/>
      <c r="S510" s="1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</row>
    <row r="511" spans="1:32" ht="58.5" customHeight="1" x14ac:dyDescent="0.25">
      <c r="A511" s="56"/>
      <c r="B511" s="56"/>
      <c r="C511" s="56"/>
      <c r="D511" s="56"/>
      <c r="E511" s="57"/>
      <c r="F511" s="58"/>
      <c r="G511" s="56"/>
      <c r="H511" s="56"/>
      <c r="I511" s="59"/>
      <c r="J511" s="56"/>
      <c r="K511" s="56"/>
      <c r="L511" s="56"/>
      <c r="M511" s="1"/>
      <c r="N511" s="1"/>
      <c r="O511" s="1"/>
      <c r="P511" s="1"/>
      <c r="Q511" s="1"/>
      <c r="R511" s="1"/>
      <c r="S511" s="1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</row>
    <row r="512" spans="1:32" ht="58.5" customHeight="1" x14ac:dyDescent="0.25">
      <c r="A512" s="56"/>
      <c r="B512" s="56"/>
      <c r="C512" s="56"/>
      <c r="D512" s="56"/>
      <c r="E512" s="57"/>
      <c r="F512" s="58"/>
      <c r="G512" s="56"/>
      <c r="H512" s="56"/>
      <c r="I512" s="59"/>
      <c r="J512" s="56"/>
      <c r="K512" s="56"/>
      <c r="L512" s="56"/>
      <c r="M512" s="1"/>
      <c r="N512" s="1"/>
      <c r="O512" s="1"/>
      <c r="P512" s="1"/>
      <c r="Q512" s="1"/>
      <c r="R512" s="1"/>
      <c r="S512" s="1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</row>
    <row r="513" spans="1:32" ht="58.5" customHeight="1" x14ac:dyDescent="0.25">
      <c r="A513" s="56"/>
      <c r="B513" s="56"/>
      <c r="C513" s="56"/>
      <c r="D513" s="56"/>
      <c r="E513" s="57"/>
      <c r="F513" s="58"/>
      <c r="G513" s="56"/>
      <c r="H513" s="56"/>
      <c r="I513" s="59"/>
      <c r="J513" s="56"/>
      <c r="K513" s="56"/>
      <c r="L513" s="56"/>
      <c r="M513" s="1"/>
      <c r="N513" s="1"/>
      <c r="O513" s="1"/>
      <c r="P513" s="1"/>
      <c r="Q513" s="1"/>
      <c r="R513" s="1"/>
      <c r="S513" s="1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</row>
    <row r="514" spans="1:32" ht="58.5" customHeight="1" x14ac:dyDescent="0.25">
      <c r="A514" s="56"/>
      <c r="B514" s="56"/>
      <c r="C514" s="56"/>
      <c r="D514" s="56"/>
      <c r="E514" s="57"/>
      <c r="F514" s="58"/>
      <c r="G514" s="56"/>
      <c r="H514" s="56"/>
      <c r="I514" s="59"/>
      <c r="J514" s="56"/>
      <c r="K514" s="56"/>
      <c r="L514" s="56"/>
      <c r="M514" s="1"/>
      <c r="N514" s="1"/>
      <c r="O514" s="1"/>
      <c r="P514" s="1"/>
      <c r="Q514" s="1"/>
      <c r="R514" s="1"/>
      <c r="S514" s="1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</row>
    <row r="515" spans="1:32" ht="58.5" customHeight="1" x14ac:dyDescent="0.25">
      <c r="A515" s="56"/>
      <c r="B515" s="56"/>
      <c r="C515" s="56"/>
      <c r="D515" s="56"/>
      <c r="E515" s="57"/>
      <c r="F515" s="58"/>
      <c r="G515" s="56"/>
      <c r="H515" s="56"/>
      <c r="I515" s="59"/>
      <c r="J515" s="56"/>
      <c r="K515" s="56"/>
      <c r="L515" s="56"/>
      <c r="M515" s="1"/>
      <c r="N515" s="1"/>
      <c r="O515" s="1"/>
      <c r="P515" s="1"/>
      <c r="Q515" s="1"/>
      <c r="R515" s="1"/>
      <c r="S515" s="1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</row>
    <row r="516" spans="1:32" ht="58.5" customHeight="1" x14ac:dyDescent="0.25">
      <c r="A516" s="56"/>
      <c r="B516" s="56"/>
      <c r="C516" s="56"/>
      <c r="D516" s="56"/>
      <c r="E516" s="57"/>
      <c r="F516" s="58"/>
      <c r="G516" s="56"/>
      <c r="H516" s="56"/>
      <c r="I516" s="59"/>
      <c r="J516" s="56"/>
      <c r="K516" s="56"/>
      <c r="L516" s="56"/>
      <c r="M516" s="1"/>
      <c r="N516" s="1"/>
      <c r="O516" s="1"/>
      <c r="P516" s="1"/>
      <c r="Q516" s="1"/>
      <c r="R516" s="1"/>
      <c r="S516" s="1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</row>
    <row r="517" spans="1:32" ht="58.5" customHeight="1" x14ac:dyDescent="0.25">
      <c r="A517" s="56"/>
      <c r="B517" s="56"/>
      <c r="C517" s="56"/>
      <c r="D517" s="56"/>
      <c r="E517" s="57"/>
      <c r="F517" s="58"/>
      <c r="G517" s="56"/>
      <c r="H517" s="56"/>
      <c r="I517" s="59"/>
      <c r="J517" s="56"/>
      <c r="K517" s="56"/>
      <c r="L517" s="56"/>
      <c r="M517" s="1"/>
      <c r="N517" s="1"/>
      <c r="O517" s="1"/>
      <c r="P517" s="1"/>
      <c r="Q517" s="1"/>
      <c r="R517" s="1"/>
      <c r="S517" s="1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</row>
    <row r="518" spans="1:32" ht="58.5" customHeight="1" x14ac:dyDescent="0.25">
      <c r="A518" s="56"/>
      <c r="B518" s="56"/>
      <c r="C518" s="56"/>
      <c r="D518" s="56"/>
      <c r="E518" s="57"/>
      <c r="F518" s="58"/>
      <c r="G518" s="56"/>
      <c r="H518" s="56"/>
      <c r="I518" s="59"/>
      <c r="J518" s="56"/>
      <c r="K518" s="56"/>
      <c r="L518" s="56"/>
      <c r="M518" s="1"/>
      <c r="N518" s="1"/>
      <c r="O518" s="1"/>
      <c r="P518" s="1"/>
      <c r="Q518" s="1"/>
      <c r="R518" s="1"/>
      <c r="S518" s="1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</row>
    <row r="519" spans="1:32" ht="58.5" customHeight="1" x14ac:dyDescent="0.25">
      <c r="A519" s="56"/>
      <c r="B519" s="56"/>
      <c r="C519" s="56"/>
      <c r="D519" s="56"/>
      <c r="E519" s="57"/>
      <c r="F519" s="58"/>
      <c r="G519" s="56"/>
      <c r="H519" s="56"/>
      <c r="I519" s="59"/>
      <c r="J519" s="56"/>
      <c r="K519" s="56"/>
      <c r="L519" s="56"/>
      <c r="M519" s="1"/>
      <c r="N519" s="1"/>
      <c r="O519" s="1"/>
      <c r="P519" s="1"/>
      <c r="Q519" s="1"/>
      <c r="R519" s="1"/>
      <c r="S519" s="1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</row>
    <row r="520" spans="1:32" ht="58.5" customHeight="1" x14ac:dyDescent="0.25">
      <c r="A520" s="56"/>
      <c r="B520" s="56"/>
      <c r="C520" s="56"/>
      <c r="D520" s="56"/>
      <c r="E520" s="57"/>
      <c r="F520" s="58"/>
      <c r="G520" s="56"/>
      <c r="H520" s="56"/>
      <c r="I520" s="59"/>
      <c r="J520" s="56"/>
      <c r="K520" s="56"/>
      <c r="L520" s="56"/>
      <c r="M520" s="1"/>
      <c r="N520" s="1"/>
      <c r="O520" s="1"/>
      <c r="P520" s="1"/>
      <c r="Q520" s="1"/>
      <c r="R520" s="1"/>
      <c r="S520" s="1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</row>
    <row r="521" spans="1:32" ht="58.5" customHeight="1" x14ac:dyDescent="0.25">
      <c r="A521" s="56"/>
      <c r="B521" s="56"/>
      <c r="C521" s="56"/>
      <c r="D521" s="56"/>
      <c r="E521" s="57"/>
      <c r="F521" s="58"/>
      <c r="G521" s="56"/>
      <c r="H521" s="56"/>
      <c r="I521" s="59"/>
      <c r="J521" s="56"/>
      <c r="K521" s="56"/>
      <c r="L521" s="56"/>
      <c r="M521" s="1"/>
      <c r="N521" s="1"/>
      <c r="O521" s="1"/>
      <c r="P521" s="1"/>
      <c r="Q521" s="1"/>
      <c r="R521" s="1"/>
      <c r="S521" s="1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</row>
    <row r="522" spans="1:32" ht="58.5" customHeight="1" x14ac:dyDescent="0.25">
      <c r="A522" s="56"/>
      <c r="B522" s="56"/>
      <c r="C522" s="56"/>
      <c r="D522" s="56"/>
      <c r="E522" s="57"/>
      <c r="F522" s="58"/>
      <c r="G522" s="56"/>
      <c r="H522" s="56"/>
      <c r="I522" s="59"/>
      <c r="J522" s="56"/>
      <c r="K522" s="56"/>
      <c r="L522" s="56"/>
      <c r="M522" s="1"/>
      <c r="N522" s="1"/>
      <c r="O522" s="1"/>
      <c r="P522" s="1"/>
      <c r="Q522" s="1"/>
      <c r="R522" s="1"/>
      <c r="S522" s="1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</row>
    <row r="523" spans="1:32" ht="58.5" customHeight="1" x14ac:dyDescent="0.25">
      <c r="A523" s="56"/>
      <c r="B523" s="56"/>
      <c r="C523" s="56"/>
      <c r="D523" s="56"/>
      <c r="E523" s="57"/>
      <c r="F523" s="58"/>
      <c r="G523" s="56"/>
      <c r="H523" s="56"/>
      <c r="I523" s="59"/>
      <c r="J523" s="56"/>
      <c r="K523" s="56"/>
      <c r="L523" s="56"/>
      <c r="M523" s="1"/>
      <c r="N523" s="1"/>
      <c r="O523" s="1"/>
      <c r="P523" s="1"/>
      <c r="Q523" s="1"/>
      <c r="R523" s="1"/>
      <c r="S523" s="1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</row>
    <row r="524" spans="1:32" ht="58.5" customHeight="1" x14ac:dyDescent="0.25">
      <c r="A524" s="56"/>
      <c r="B524" s="56"/>
      <c r="C524" s="56"/>
      <c r="D524" s="56"/>
      <c r="E524" s="57"/>
      <c r="F524" s="58"/>
      <c r="G524" s="56"/>
      <c r="H524" s="56"/>
      <c r="I524" s="59"/>
      <c r="J524" s="56"/>
      <c r="K524" s="56"/>
      <c r="L524" s="56"/>
      <c r="M524" s="1"/>
      <c r="N524" s="1"/>
      <c r="O524" s="1"/>
      <c r="P524" s="1"/>
      <c r="Q524" s="1"/>
      <c r="R524" s="1"/>
      <c r="S524" s="1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</row>
    <row r="525" spans="1:32" ht="58.5" customHeight="1" x14ac:dyDescent="0.25">
      <c r="A525" s="56"/>
      <c r="B525" s="56"/>
      <c r="C525" s="56"/>
      <c r="D525" s="56"/>
      <c r="E525" s="57"/>
      <c r="F525" s="58"/>
      <c r="G525" s="56"/>
      <c r="H525" s="56"/>
      <c r="I525" s="59"/>
      <c r="J525" s="56"/>
      <c r="K525" s="56"/>
      <c r="L525" s="56"/>
      <c r="M525" s="1"/>
      <c r="N525" s="1"/>
      <c r="O525" s="1"/>
      <c r="P525" s="1"/>
      <c r="Q525" s="1"/>
      <c r="R525" s="1"/>
      <c r="S525" s="1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</row>
    <row r="526" spans="1:32" ht="58.5" customHeight="1" x14ac:dyDescent="0.25">
      <c r="A526" s="56"/>
      <c r="B526" s="56"/>
      <c r="C526" s="56"/>
      <c r="D526" s="56"/>
      <c r="E526" s="57"/>
      <c r="F526" s="58"/>
      <c r="G526" s="56"/>
      <c r="H526" s="56"/>
      <c r="I526" s="59"/>
      <c r="J526" s="56"/>
      <c r="K526" s="56"/>
      <c r="L526" s="56"/>
      <c r="M526" s="1"/>
      <c r="N526" s="1"/>
      <c r="O526" s="1"/>
      <c r="P526" s="1"/>
      <c r="Q526" s="1"/>
      <c r="R526" s="1"/>
      <c r="S526" s="1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</row>
    <row r="527" spans="1:32" ht="58.5" customHeight="1" x14ac:dyDescent="0.25">
      <c r="A527" s="56"/>
      <c r="B527" s="56"/>
      <c r="C527" s="56"/>
      <c r="D527" s="56"/>
      <c r="E527" s="57"/>
      <c r="F527" s="58"/>
      <c r="G527" s="56"/>
      <c r="H527" s="56"/>
      <c r="I527" s="59"/>
      <c r="J527" s="56"/>
      <c r="K527" s="56"/>
      <c r="L527" s="56"/>
      <c r="M527" s="1"/>
      <c r="N527" s="1"/>
      <c r="O527" s="1"/>
      <c r="P527" s="1"/>
      <c r="Q527" s="1"/>
      <c r="R527" s="1"/>
      <c r="S527" s="1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</row>
    <row r="528" spans="1:32" ht="58.5" customHeight="1" x14ac:dyDescent="0.25">
      <c r="A528" s="56"/>
      <c r="B528" s="56"/>
      <c r="C528" s="56"/>
      <c r="D528" s="56"/>
      <c r="E528" s="57"/>
      <c r="F528" s="58"/>
      <c r="G528" s="56"/>
      <c r="H528" s="56"/>
      <c r="I528" s="59"/>
      <c r="J528" s="56"/>
      <c r="K528" s="56"/>
      <c r="L528" s="56"/>
      <c r="M528" s="1"/>
      <c r="N528" s="1"/>
      <c r="O528" s="1"/>
      <c r="P528" s="1"/>
      <c r="Q528" s="1"/>
      <c r="R528" s="1"/>
      <c r="S528" s="1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</row>
    <row r="529" spans="1:32" ht="58.5" customHeight="1" x14ac:dyDescent="0.25">
      <c r="A529" s="56"/>
      <c r="B529" s="56"/>
      <c r="C529" s="56"/>
      <c r="D529" s="56"/>
      <c r="E529" s="57"/>
      <c r="F529" s="58"/>
      <c r="G529" s="56"/>
      <c r="H529" s="56"/>
      <c r="I529" s="59"/>
      <c r="J529" s="56"/>
      <c r="K529" s="56"/>
      <c r="L529" s="56"/>
      <c r="M529" s="1"/>
      <c r="N529" s="1"/>
      <c r="O529" s="1"/>
      <c r="P529" s="1"/>
      <c r="Q529" s="1"/>
      <c r="R529" s="1"/>
      <c r="S529" s="1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</row>
    <row r="530" spans="1:32" ht="58.5" customHeight="1" x14ac:dyDescent="0.25">
      <c r="A530" s="56"/>
      <c r="B530" s="56"/>
      <c r="C530" s="56"/>
      <c r="D530" s="56"/>
      <c r="E530" s="57"/>
      <c r="F530" s="58"/>
      <c r="G530" s="56"/>
      <c r="H530" s="56"/>
      <c r="I530" s="59"/>
      <c r="J530" s="56"/>
      <c r="K530" s="56"/>
      <c r="L530" s="56"/>
      <c r="M530" s="1"/>
      <c r="N530" s="1"/>
      <c r="O530" s="1"/>
      <c r="P530" s="1"/>
      <c r="Q530" s="1"/>
      <c r="R530" s="1"/>
      <c r="S530" s="1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</row>
    <row r="531" spans="1:32" ht="58.5" customHeight="1" x14ac:dyDescent="0.25">
      <c r="A531" s="56"/>
      <c r="B531" s="56"/>
      <c r="C531" s="56"/>
      <c r="D531" s="56"/>
      <c r="E531" s="57"/>
      <c r="F531" s="58"/>
      <c r="G531" s="56"/>
      <c r="H531" s="56"/>
      <c r="I531" s="59"/>
      <c r="J531" s="56"/>
      <c r="K531" s="56"/>
      <c r="L531" s="56"/>
      <c r="M531" s="1"/>
      <c r="N531" s="1"/>
      <c r="O531" s="1"/>
      <c r="P531" s="1"/>
      <c r="Q531" s="1"/>
      <c r="R531" s="1"/>
      <c r="S531" s="1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</row>
    <row r="532" spans="1:32" ht="58.5" customHeight="1" x14ac:dyDescent="0.25">
      <c r="A532" s="56"/>
      <c r="B532" s="56"/>
      <c r="C532" s="56"/>
      <c r="D532" s="56"/>
      <c r="E532" s="57"/>
      <c r="F532" s="58"/>
      <c r="G532" s="56"/>
      <c r="H532" s="56"/>
      <c r="I532" s="59"/>
      <c r="J532" s="56"/>
      <c r="K532" s="56"/>
      <c r="L532" s="56"/>
      <c r="M532" s="1"/>
      <c r="N532" s="1"/>
      <c r="O532" s="1"/>
      <c r="P532" s="1"/>
      <c r="Q532" s="1"/>
      <c r="R532" s="1"/>
      <c r="S532" s="1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</row>
    <row r="533" spans="1:32" ht="58.5" customHeight="1" x14ac:dyDescent="0.25">
      <c r="A533" s="56"/>
      <c r="B533" s="56"/>
      <c r="C533" s="56"/>
      <c r="D533" s="56"/>
      <c r="E533" s="57"/>
      <c r="F533" s="58"/>
      <c r="G533" s="56"/>
      <c r="H533" s="56"/>
      <c r="I533" s="59"/>
      <c r="J533" s="56"/>
      <c r="K533" s="56"/>
      <c r="L533" s="56"/>
      <c r="M533" s="1"/>
      <c r="N533" s="1"/>
      <c r="O533" s="1"/>
      <c r="P533" s="1"/>
      <c r="Q533" s="1"/>
      <c r="R533" s="1"/>
      <c r="S533" s="1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</row>
    <row r="534" spans="1:32" ht="58.5" customHeight="1" x14ac:dyDescent="0.25">
      <c r="A534" s="56"/>
      <c r="B534" s="56"/>
      <c r="C534" s="56"/>
      <c r="D534" s="56"/>
      <c r="E534" s="57"/>
      <c r="F534" s="58"/>
      <c r="G534" s="56"/>
      <c r="H534" s="56"/>
      <c r="I534" s="59"/>
      <c r="J534" s="56"/>
      <c r="K534" s="56"/>
      <c r="L534" s="56"/>
      <c r="M534" s="1"/>
      <c r="N534" s="1"/>
      <c r="O534" s="1"/>
      <c r="P534" s="1"/>
      <c r="Q534" s="1"/>
      <c r="R534" s="1"/>
      <c r="S534" s="1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</row>
    <row r="535" spans="1:32" ht="58.5" customHeight="1" x14ac:dyDescent="0.25">
      <c r="A535" s="56"/>
      <c r="B535" s="56"/>
      <c r="C535" s="56"/>
      <c r="D535" s="56"/>
      <c r="E535" s="57"/>
      <c r="F535" s="58"/>
      <c r="G535" s="56"/>
      <c r="H535" s="56"/>
      <c r="I535" s="59"/>
      <c r="J535" s="56"/>
      <c r="K535" s="56"/>
      <c r="L535" s="56"/>
      <c r="M535" s="1"/>
      <c r="N535" s="1"/>
      <c r="O535" s="1"/>
      <c r="P535" s="1"/>
      <c r="Q535" s="1"/>
      <c r="R535" s="1"/>
      <c r="S535" s="1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</row>
    <row r="536" spans="1:32" ht="58.5" customHeight="1" x14ac:dyDescent="0.25">
      <c r="A536" s="56"/>
      <c r="B536" s="56"/>
      <c r="C536" s="56"/>
      <c r="D536" s="56"/>
      <c r="E536" s="57"/>
      <c r="F536" s="58"/>
      <c r="G536" s="56"/>
      <c r="H536" s="56"/>
      <c r="I536" s="59"/>
      <c r="J536" s="56"/>
      <c r="K536" s="56"/>
      <c r="L536" s="56"/>
      <c r="M536" s="1"/>
      <c r="N536" s="1"/>
      <c r="O536" s="1"/>
      <c r="P536" s="1"/>
      <c r="Q536" s="1"/>
      <c r="R536" s="1"/>
      <c r="S536" s="1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</row>
    <row r="537" spans="1:32" ht="58.5" customHeight="1" x14ac:dyDescent="0.25">
      <c r="A537" s="56"/>
      <c r="B537" s="56"/>
      <c r="C537" s="56"/>
      <c r="D537" s="56"/>
      <c r="E537" s="57"/>
      <c r="F537" s="58"/>
      <c r="G537" s="56"/>
      <c r="H537" s="56"/>
      <c r="I537" s="59"/>
      <c r="J537" s="56"/>
      <c r="K537" s="56"/>
      <c r="L537" s="56"/>
      <c r="M537" s="1"/>
      <c r="N537" s="1"/>
      <c r="O537" s="1"/>
      <c r="P537" s="1"/>
      <c r="Q537" s="1"/>
      <c r="R537" s="1"/>
      <c r="S537" s="1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</row>
    <row r="538" spans="1:32" ht="58.5" customHeight="1" x14ac:dyDescent="0.25">
      <c r="A538" s="56"/>
      <c r="B538" s="56"/>
      <c r="C538" s="56"/>
      <c r="D538" s="56"/>
      <c r="E538" s="57"/>
      <c r="F538" s="58"/>
      <c r="G538" s="56"/>
      <c r="H538" s="56"/>
      <c r="I538" s="59"/>
      <c r="J538" s="56"/>
      <c r="K538" s="56"/>
      <c r="L538" s="56"/>
      <c r="M538" s="1"/>
      <c r="N538" s="1"/>
      <c r="O538" s="1"/>
      <c r="P538" s="1"/>
      <c r="Q538" s="1"/>
      <c r="R538" s="1"/>
      <c r="S538" s="1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</row>
    <row r="539" spans="1:32" ht="58.5" customHeight="1" x14ac:dyDescent="0.25">
      <c r="A539" s="56"/>
      <c r="B539" s="56"/>
      <c r="C539" s="56"/>
      <c r="D539" s="56"/>
      <c r="E539" s="57"/>
      <c r="F539" s="58"/>
      <c r="G539" s="56"/>
      <c r="H539" s="56"/>
      <c r="I539" s="59"/>
      <c r="J539" s="56"/>
      <c r="K539" s="56"/>
      <c r="L539" s="56"/>
      <c r="M539" s="1"/>
      <c r="N539" s="1"/>
      <c r="O539" s="1"/>
      <c r="P539" s="1"/>
      <c r="Q539" s="1"/>
      <c r="R539" s="1"/>
      <c r="S539" s="1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</row>
    <row r="540" spans="1:32" ht="58.5" customHeight="1" x14ac:dyDescent="0.25">
      <c r="A540" s="56"/>
      <c r="B540" s="56"/>
      <c r="C540" s="56"/>
      <c r="D540" s="56"/>
      <c r="E540" s="57"/>
      <c r="F540" s="58"/>
      <c r="G540" s="56"/>
      <c r="H540" s="56"/>
      <c r="I540" s="59"/>
      <c r="J540" s="56"/>
      <c r="K540" s="56"/>
      <c r="L540" s="56"/>
      <c r="M540" s="1"/>
      <c r="N540" s="1"/>
      <c r="O540" s="1"/>
      <c r="P540" s="1"/>
      <c r="Q540" s="1"/>
      <c r="R540" s="1"/>
      <c r="S540" s="1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</row>
    <row r="541" spans="1:32" ht="58.5" customHeight="1" x14ac:dyDescent="0.25">
      <c r="A541" s="56"/>
      <c r="B541" s="56"/>
      <c r="C541" s="56"/>
      <c r="D541" s="56"/>
      <c r="E541" s="57"/>
      <c r="F541" s="58"/>
      <c r="G541" s="56"/>
      <c r="H541" s="56"/>
      <c r="I541" s="59"/>
      <c r="J541" s="56"/>
      <c r="K541" s="56"/>
      <c r="L541" s="56"/>
      <c r="M541" s="1"/>
      <c r="N541" s="1"/>
      <c r="O541" s="1"/>
      <c r="P541" s="1"/>
      <c r="Q541" s="1"/>
      <c r="R541" s="1"/>
      <c r="S541" s="1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</row>
    <row r="542" spans="1:32" ht="58.5" customHeight="1" x14ac:dyDescent="0.25">
      <c r="A542" s="56"/>
      <c r="B542" s="56"/>
      <c r="C542" s="56"/>
      <c r="D542" s="56"/>
      <c r="E542" s="57"/>
      <c r="F542" s="58"/>
      <c r="G542" s="56"/>
      <c r="H542" s="56"/>
      <c r="I542" s="59"/>
      <c r="J542" s="56"/>
      <c r="K542" s="56"/>
      <c r="L542" s="56"/>
      <c r="M542" s="1"/>
      <c r="N542" s="1"/>
      <c r="O542" s="1"/>
      <c r="P542" s="1"/>
      <c r="Q542" s="1"/>
      <c r="R542" s="1"/>
      <c r="S542" s="1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</row>
    <row r="543" spans="1:32" ht="58.5" customHeight="1" x14ac:dyDescent="0.25">
      <c r="A543" s="56"/>
      <c r="B543" s="56"/>
      <c r="C543" s="56"/>
      <c r="D543" s="56"/>
      <c r="E543" s="57"/>
      <c r="F543" s="58"/>
      <c r="G543" s="56"/>
      <c r="H543" s="56"/>
      <c r="I543" s="59"/>
      <c r="J543" s="56"/>
      <c r="K543" s="56"/>
      <c r="L543" s="56"/>
      <c r="M543" s="1"/>
      <c r="N543" s="1"/>
      <c r="O543" s="1"/>
      <c r="P543" s="1"/>
      <c r="Q543" s="1"/>
      <c r="R543" s="1"/>
      <c r="S543" s="1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</row>
    <row r="544" spans="1:32" ht="58.5" customHeight="1" x14ac:dyDescent="0.25">
      <c r="A544" s="56"/>
      <c r="B544" s="56"/>
      <c r="C544" s="56"/>
      <c r="D544" s="56"/>
      <c r="E544" s="57"/>
      <c r="F544" s="58"/>
      <c r="G544" s="56"/>
      <c r="H544" s="56"/>
      <c r="I544" s="59"/>
      <c r="J544" s="56"/>
      <c r="K544" s="56"/>
      <c r="L544" s="56"/>
      <c r="M544" s="1"/>
      <c r="N544" s="1"/>
      <c r="O544" s="1"/>
      <c r="P544" s="1"/>
      <c r="Q544" s="1"/>
      <c r="R544" s="1"/>
      <c r="S544" s="1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</row>
    <row r="545" spans="1:32" ht="58.5" customHeight="1" x14ac:dyDescent="0.25">
      <c r="A545" s="56"/>
      <c r="B545" s="56"/>
      <c r="C545" s="56"/>
      <c r="D545" s="56"/>
      <c r="E545" s="57"/>
      <c r="F545" s="58"/>
      <c r="G545" s="56"/>
      <c r="H545" s="56"/>
      <c r="I545" s="59"/>
      <c r="J545" s="56"/>
      <c r="K545" s="56"/>
      <c r="L545" s="56"/>
      <c r="M545" s="1"/>
      <c r="N545" s="1"/>
      <c r="O545" s="1"/>
      <c r="P545" s="1"/>
      <c r="Q545" s="1"/>
      <c r="R545" s="1"/>
      <c r="S545" s="1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</row>
    <row r="546" spans="1:32" ht="58.5" customHeight="1" x14ac:dyDescent="0.25">
      <c r="A546" s="56"/>
      <c r="B546" s="56"/>
      <c r="C546" s="56"/>
      <c r="D546" s="56"/>
      <c r="E546" s="57"/>
      <c r="F546" s="58"/>
      <c r="G546" s="56"/>
      <c r="H546" s="56"/>
      <c r="I546" s="59"/>
      <c r="J546" s="56"/>
      <c r="K546" s="56"/>
      <c r="L546" s="56"/>
      <c r="M546" s="1"/>
      <c r="N546" s="1"/>
      <c r="O546" s="1"/>
      <c r="P546" s="1"/>
      <c r="Q546" s="1"/>
      <c r="R546" s="1"/>
      <c r="S546" s="1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</row>
    <row r="547" spans="1:32" ht="58.5" customHeight="1" x14ac:dyDescent="0.25">
      <c r="A547" s="56"/>
      <c r="B547" s="56"/>
      <c r="C547" s="56"/>
      <c r="D547" s="56"/>
      <c r="E547" s="57"/>
      <c r="F547" s="58"/>
      <c r="G547" s="56"/>
      <c r="H547" s="56"/>
      <c r="I547" s="59"/>
      <c r="J547" s="56"/>
      <c r="K547" s="56"/>
      <c r="L547" s="56"/>
      <c r="M547" s="1"/>
      <c r="N547" s="1"/>
      <c r="O547" s="1"/>
      <c r="P547" s="1"/>
      <c r="Q547" s="1"/>
      <c r="R547" s="1"/>
      <c r="S547" s="1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</row>
    <row r="548" spans="1:32" ht="58.5" customHeight="1" x14ac:dyDescent="0.25">
      <c r="A548" s="56"/>
      <c r="B548" s="56"/>
      <c r="C548" s="56"/>
      <c r="D548" s="56"/>
      <c r="E548" s="57"/>
      <c r="F548" s="58"/>
      <c r="G548" s="56"/>
      <c r="H548" s="56"/>
      <c r="I548" s="59"/>
      <c r="J548" s="56"/>
      <c r="K548" s="56"/>
      <c r="L548" s="56"/>
      <c r="M548" s="1"/>
      <c r="N548" s="1"/>
      <c r="O548" s="1"/>
      <c r="P548" s="1"/>
      <c r="Q548" s="1"/>
      <c r="R548" s="1"/>
      <c r="S548" s="1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</row>
    <row r="549" spans="1:32" ht="58.5" customHeight="1" x14ac:dyDescent="0.25">
      <c r="A549" s="56"/>
      <c r="B549" s="56"/>
      <c r="C549" s="56"/>
      <c r="D549" s="56"/>
      <c r="E549" s="57"/>
      <c r="F549" s="58"/>
      <c r="G549" s="56"/>
      <c r="H549" s="56"/>
      <c r="I549" s="59"/>
      <c r="J549" s="56"/>
      <c r="K549" s="56"/>
      <c r="L549" s="56"/>
      <c r="M549" s="1"/>
      <c r="N549" s="1"/>
      <c r="O549" s="1"/>
      <c r="P549" s="1"/>
      <c r="Q549" s="1"/>
      <c r="R549" s="1"/>
      <c r="S549" s="1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</row>
    <row r="550" spans="1:32" ht="58.5" customHeight="1" x14ac:dyDescent="0.25">
      <c r="A550" s="56"/>
      <c r="B550" s="56"/>
      <c r="C550" s="56"/>
      <c r="D550" s="56"/>
      <c r="E550" s="57"/>
      <c r="F550" s="58"/>
      <c r="G550" s="56"/>
      <c r="H550" s="56"/>
      <c r="I550" s="59"/>
      <c r="J550" s="56"/>
      <c r="K550" s="56"/>
      <c r="L550" s="56"/>
      <c r="M550" s="1"/>
      <c r="N550" s="1"/>
      <c r="O550" s="1"/>
      <c r="P550" s="1"/>
      <c r="Q550" s="1"/>
      <c r="R550" s="1"/>
      <c r="S550" s="1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</row>
    <row r="551" spans="1:32" ht="58.5" customHeight="1" x14ac:dyDescent="0.25">
      <c r="A551" s="56"/>
      <c r="B551" s="56"/>
      <c r="C551" s="56"/>
      <c r="D551" s="56"/>
      <c r="E551" s="57"/>
      <c r="F551" s="58"/>
      <c r="G551" s="56"/>
      <c r="H551" s="56"/>
      <c r="I551" s="59"/>
      <c r="J551" s="56"/>
      <c r="K551" s="56"/>
      <c r="L551" s="56"/>
      <c r="M551" s="1"/>
      <c r="N551" s="1"/>
      <c r="O551" s="1"/>
      <c r="P551" s="1"/>
      <c r="Q551" s="1"/>
      <c r="R551" s="1"/>
      <c r="S551" s="1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</row>
    <row r="552" spans="1:32" ht="58.5" customHeight="1" x14ac:dyDescent="0.25">
      <c r="A552" s="56"/>
      <c r="B552" s="56"/>
      <c r="C552" s="56"/>
      <c r="D552" s="56"/>
      <c r="E552" s="57"/>
      <c r="F552" s="58"/>
      <c r="G552" s="56"/>
      <c r="H552" s="56"/>
      <c r="I552" s="59"/>
      <c r="J552" s="56"/>
      <c r="K552" s="56"/>
      <c r="L552" s="56"/>
      <c r="M552" s="1"/>
      <c r="N552" s="1"/>
      <c r="O552" s="1"/>
      <c r="P552" s="1"/>
      <c r="Q552" s="1"/>
      <c r="R552" s="1"/>
      <c r="S552" s="1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</row>
    <row r="553" spans="1:32" ht="58.5" customHeight="1" x14ac:dyDescent="0.25">
      <c r="A553" s="56"/>
      <c r="B553" s="56"/>
      <c r="C553" s="56"/>
      <c r="D553" s="56"/>
      <c r="E553" s="57"/>
      <c r="F553" s="58"/>
      <c r="G553" s="56"/>
      <c r="H553" s="56"/>
      <c r="I553" s="59"/>
      <c r="J553" s="56"/>
      <c r="K553" s="56"/>
      <c r="L553" s="56"/>
      <c r="M553" s="1"/>
      <c r="N553" s="1"/>
      <c r="O553" s="1"/>
      <c r="P553" s="1"/>
      <c r="Q553" s="1"/>
      <c r="R553" s="1"/>
      <c r="S553" s="1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</row>
    <row r="554" spans="1:32" ht="58.5" customHeight="1" x14ac:dyDescent="0.25">
      <c r="A554" s="56"/>
      <c r="B554" s="56"/>
      <c r="C554" s="56"/>
      <c r="D554" s="56"/>
      <c r="E554" s="57"/>
      <c r="F554" s="58"/>
      <c r="G554" s="56"/>
      <c r="H554" s="56"/>
      <c r="I554" s="59"/>
      <c r="J554" s="56"/>
      <c r="K554" s="56"/>
      <c r="L554" s="56"/>
      <c r="M554" s="1"/>
      <c r="N554" s="1"/>
      <c r="O554" s="1"/>
      <c r="P554" s="1"/>
      <c r="Q554" s="1"/>
      <c r="R554" s="1"/>
      <c r="S554" s="1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</row>
    <row r="555" spans="1:32" ht="58.5" customHeight="1" x14ac:dyDescent="0.25">
      <c r="A555" s="56"/>
      <c r="B555" s="56"/>
      <c r="C555" s="56"/>
      <c r="D555" s="56"/>
      <c r="E555" s="57"/>
      <c r="F555" s="58"/>
      <c r="G555" s="56"/>
      <c r="H555" s="56"/>
      <c r="I555" s="59"/>
      <c r="J555" s="56"/>
      <c r="K555" s="56"/>
      <c r="L555" s="56"/>
      <c r="M555" s="1"/>
      <c r="N555" s="1"/>
      <c r="O555" s="1"/>
      <c r="P555" s="1"/>
      <c r="Q555" s="1"/>
      <c r="R555" s="1"/>
      <c r="S555" s="1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</row>
    <row r="556" spans="1:32" ht="58.5" customHeight="1" x14ac:dyDescent="0.25">
      <c r="A556" s="56"/>
      <c r="B556" s="56"/>
      <c r="C556" s="56"/>
      <c r="D556" s="56"/>
      <c r="E556" s="57"/>
      <c r="F556" s="58"/>
      <c r="G556" s="56"/>
      <c r="H556" s="56"/>
      <c r="I556" s="59"/>
      <c r="J556" s="56"/>
      <c r="K556" s="56"/>
      <c r="L556" s="56"/>
      <c r="M556" s="1"/>
      <c r="N556" s="1"/>
      <c r="O556" s="1"/>
      <c r="P556" s="1"/>
      <c r="Q556" s="1"/>
      <c r="R556" s="1"/>
      <c r="S556" s="1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</row>
    <row r="557" spans="1:32" ht="58.5" customHeight="1" x14ac:dyDescent="0.25">
      <c r="A557" s="56"/>
      <c r="B557" s="56"/>
      <c r="C557" s="56"/>
      <c r="D557" s="56"/>
      <c r="E557" s="57"/>
      <c r="F557" s="58"/>
      <c r="G557" s="56"/>
      <c r="H557" s="56"/>
      <c r="I557" s="59"/>
      <c r="J557" s="56"/>
      <c r="K557" s="56"/>
      <c r="L557" s="56"/>
      <c r="M557" s="1"/>
      <c r="N557" s="1"/>
      <c r="O557" s="1"/>
      <c r="P557" s="1"/>
      <c r="Q557" s="1"/>
      <c r="R557" s="1"/>
      <c r="S557" s="1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</row>
    <row r="558" spans="1:32" ht="58.5" customHeight="1" x14ac:dyDescent="0.25">
      <c r="A558" s="56"/>
      <c r="B558" s="56"/>
      <c r="C558" s="56"/>
      <c r="D558" s="56"/>
      <c r="E558" s="57"/>
      <c r="F558" s="58"/>
      <c r="G558" s="56"/>
      <c r="H558" s="56"/>
      <c r="I558" s="59"/>
      <c r="J558" s="56"/>
      <c r="K558" s="56"/>
      <c r="L558" s="56"/>
      <c r="M558" s="1"/>
      <c r="N558" s="1"/>
      <c r="O558" s="1"/>
      <c r="P558" s="1"/>
      <c r="Q558" s="1"/>
      <c r="R558" s="1"/>
      <c r="S558" s="1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</row>
    <row r="559" spans="1:32" ht="58.5" customHeight="1" x14ac:dyDescent="0.25">
      <c r="A559" s="56"/>
      <c r="B559" s="56"/>
      <c r="C559" s="56"/>
      <c r="D559" s="56"/>
      <c r="E559" s="57"/>
      <c r="F559" s="58"/>
      <c r="G559" s="56"/>
      <c r="H559" s="56"/>
      <c r="I559" s="59"/>
      <c r="J559" s="56"/>
      <c r="K559" s="56"/>
      <c r="L559" s="56"/>
      <c r="M559" s="1"/>
      <c r="N559" s="1"/>
      <c r="O559" s="1"/>
      <c r="P559" s="1"/>
      <c r="Q559" s="1"/>
      <c r="R559" s="1"/>
      <c r="S559" s="1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</row>
    <row r="560" spans="1:32" ht="58.5" customHeight="1" x14ac:dyDescent="0.25">
      <c r="A560" s="56"/>
      <c r="B560" s="56"/>
      <c r="C560" s="56"/>
      <c r="D560" s="56"/>
      <c r="E560" s="57"/>
      <c r="F560" s="58"/>
      <c r="G560" s="56"/>
      <c r="H560" s="56"/>
      <c r="I560" s="59"/>
      <c r="J560" s="56"/>
      <c r="K560" s="56"/>
      <c r="L560" s="56"/>
      <c r="M560" s="1"/>
      <c r="N560" s="1"/>
      <c r="O560" s="1"/>
      <c r="P560" s="1"/>
      <c r="Q560" s="1"/>
      <c r="R560" s="1"/>
      <c r="S560" s="1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</row>
    <row r="561" spans="1:32" ht="58.5" customHeight="1" x14ac:dyDescent="0.25">
      <c r="A561" s="56"/>
      <c r="B561" s="56"/>
      <c r="C561" s="56"/>
      <c r="D561" s="56"/>
      <c r="E561" s="57"/>
      <c r="F561" s="58"/>
      <c r="G561" s="56"/>
      <c r="H561" s="56"/>
      <c r="I561" s="59"/>
      <c r="J561" s="56"/>
      <c r="K561" s="56"/>
      <c r="L561" s="56"/>
      <c r="M561" s="1"/>
      <c r="N561" s="1"/>
      <c r="O561" s="1"/>
      <c r="P561" s="1"/>
      <c r="Q561" s="1"/>
      <c r="R561" s="1"/>
      <c r="S561" s="1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</row>
    <row r="562" spans="1:32" ht="58.5" customHeight="1" x14ac:dyDescent="0.25">
      <c r="A562" s="56"/>
      <c r="B562" s="56"/>
      <c r="C562" s="56"/>
      <c r="D562" s="56"/>
      <c r="E562" s="57"/>
      <c r="F562" s="58"/>
      <c r="G562" s="56"/>
      <c r="H562" s="56"/>
      <c r="I562" s="59"/>
      <c r="J562" s="56"/>
      <c r="K562" s="56"/>
      <c r="L562" s="56"/>
      <c r="M562" s="1"/>
      <c r="N562" s="1"/>
      <c r="O562" s="1"/>
      <c r="P562" s="1"/>
      <c r="Q562" s="1"/>
      <c r="R562" s="1"/>
      <c r="S562" s="1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</row>
    <row r="563" spans="1:32" ht="58.5" customHeight="1" x14ac:dyDescent="0.25">
      <c r="A563" s="56"/>
      <c r="B563" s="56"/>
      <c r="C563" s="56"/>
      <c r="D563" s="56"/>
      <c r="E563" s="57"/>
      <c r="F563" s="58"/>
      <c r="G563" s="56"/>
      <c r="H563" s="56"/>
      <c r="I563" s="59"/>
      <c r="J563" s="56"/>
      <c r="K563" s="56"/>
      <c r="L563" s="56"/>
      <c r="M563" s="1"/>
      <c r="N563" s="1"/>
      <c r="O563" s="1"/>
      <c r="P563" s="1"/>
      <c r="Q563" s="1"/>
      <c r="R563" s="1"/>
      <c r="S563" s="1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</row>
    <row r="564" spans="1:32" ht="58.5" customHeight="1" x14ac:dyDescent="0.25">
      <c r="A564" s="56"/>
      <c r="B564" s="56"/>
      <c r="C564" s="56"/>
      <c r="D564" s="56"/>
      <c r="E564" s="57"/>
      <c r="F564" s="58"/>
      <c r="G564" s="56"/>
      <c r="H564" s="56"/>
      <c r="I564" s="59"/>
      <c r="J564" s="56"/>
      <c r="K564" s="56"/>
      <c r="L564" s="56"/>
      <c r="M564" s="1"/>
      <c r="N564" s="1"/>
      <c r="O564" s="1"/>
      <c r="P564" s="1"/>
      <c r="Q564" s="1"/>
      <c r="R564" s="1"/>
      <c r="S564" s="1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</row>
    <row r="565" spans="1:32" ht="58.5" customHeight="1" x14ac:dyDescent="0.25">
      <c r="A565" s="56"/>
      <c r="B565" s="56"/>
      <c r="C565" s="56"/>
      <c r="D565" s="56"/>
      <c r="E565" s="57"/>
      <c r="F565" s="58"/>
      <c r="G565" s="56"/>
      <c r="H565" s="56"/>
      <c r="I565" s="59"/>
      <c r="J565" s="56"/>
      <c r="K565" s="56"/>
      <c r="L565" s="56"/>
      <c r="M565" s="1"/>
      <c r="N565" s="1"/>
      <c r="O565" s="1"/>
      <c r="P565" s="1"/>
      <c r="Q565" s="1"/>
      <c r="R565" s="1"/>
      <c r="S565" s="1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</row>
    <row r="566" spans="1:32" ht="58.5" customHeight="1" x14ac:dyDescent="0.25">
      <c r="A566" s="56"/>
      <c r="B566" s="56"/>
      <c r="C566" s="56"/>
      <c r="D566" s="56"/>
      <c r="E566" s="57"/>
      <c r="F566" s="58"/>
      <c r="G566" s="56"/>
      <c r="H566" s="56"/>
      <c r="I566" s="59"/>
      <c r="J566" s="56"/>
      <c r="K566" s="56"/>
      <c r="L566" s="56"/>
      <c r="M566" s="1"/>
      <c r="N566" s="1"/>
      <c r="O566" s="1"/>
      <c r="P566" s="1"/>
      <c r="Q566" s="1"/>
      <c r="R566" s="1"/>
      <c r="S566" s="1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</row>
    <row r="567" spans="1:32" ht="58.5" customHeight="1" x14ac:dyDescent="0.25">
      <c r="A567" s="56"/>
      <c r="B567" s="56"/>
      <c r="C567" s="56"/>
      <c r="D567" s="56"/>
      <c r="E567" s="57"/>
      <c r="F567" s="58"/>
      <c r="G567" s="56"/>
      <c r="H567" s="56"/>
      <c r="I567" s="59"/>
      <c r="J567" s="56"/>
      <c r="K567" s="56"/>
      <c r="L567" s="56"/>
      <c r="M567" s="1"/>
      <c r="N567" s="1"/>
      <c r="O567" s="1"/>
      <c r="P567" s="1"/>
      <c r="Q567" s="1"/>
      <c r="R567" s="1"/>
      <c r="S567" s="1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</row>
    <row r="568" spans="1:32" ht="58.5" customHeight="1" x14ac:dyDescent="0.25">
      <c r="A568" s="56"/>
      <c r="B568" s="56"/>
      <c r="C568" s="56"/>
      <c r="D568" s="56"/>
      <c r="E568" s="57"/>
      <c r="F568" s="58"/>
      <c r="G568" s="56"/>
      <c r="H568" s="56"/>
      <c r="I568" s="59"/>
      <c r="J568" s="56"/>
      <c r="K568" s="56"/>
      <c r="L568" s="56"/>
      <c r="M568" s="1"/>
      <c r="N568" s="1"/>
      <c r="O568" s="1"/>
      <c r="P568" s="1"/>
      <c r="Q568" s="1"/>
      <c r="R568" s="1"/>
      <c r="S568" s="1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</row>
    <row r="569" spans="1:32" ht="58.5" customHeight="1" x14ac:dyDescent="0.25">
      <c r="A569" s="56"/>
      <c r="B569" s="56"/>
      <c r="C569" s="56"/>
      <c r="D569" s="56"/>
      <c r="E569" s="57"/>
      <c r="F569" s="58"/>
      <c r="G569" s="56"/>
      <c r="H569" s="56"/>
      <c r="I569" s="59"/>
      <c r="J569" s="56"/>
      <c r="K569" s="56"/>
      <c r="L569" s="56"/>
      <c r="M569" s="1"/>
      <c r="N569" s="1"/>
      <c r="O569" s="1"/>
      <c r="P569" s="1"/>
      <c r="Q569" s="1"/>
      <c r="R569" s="1"/>
      <c r="S569" s="1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</row>
    <row r="570" spans="1:32" ht="58.5" customHeight="1" x14ac:dyDescent="0.25">
      <c r="A570" s="56"/>
      <c r="B570" s="56"/>
      <c r="C570" s="56"/>
      <c r="D570" s="56"/>
      <c r="E570" s="57"/>
      <c r="F570" s="58"/>
      <c r="G570" s="56"/>
      <c r="H570" s="56"/>
      <c r="I570" s="59"/>
      <c r="J570" s="56"/>
      <c r="K570" s="56"/>
      <c r="L570" s="56"/>
      <c r="M570" s="1"/>
      <c r="N570" s="1"/>
      <c r="O570" s="1"/>
      <c r="P570" s="1"/>
      <c r="Q570" s="1"/>
      <c r="R570" s="1"/>
      <c r="S570" s="1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</row>
    <row r="571" spans="1:32" ht="58.5" customHeight="1" x14ac:dyDescent="0.25">
      <c r="A571" s="56"/>
      <c r="B571" s="56"/>
      <c r="C571" s="56"/>
      <c r="D571" s="56"/>
      <c r="E571" s="57"/>
      <c r="F571" s="58"/>
      <c r="G571" s="56"/>
      <c r="H571" s="56"/>
      <c r="I571" s="59"/>
      <c r="J571" s="56"/>
      <c r="K571" s="56"/>
      <c r="L571" s="56"/>
      <c r="M571" s="1"/>
      <c r="N571" s="1"/>
      <c r="O571" s="1"/>
      <c r="P571" s="1"/>
      <c r="Q571" s="1"/>
      <c r="R571" s="1"/>
      <c r="S571" s="1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</row>
    <row r="572" spans="1:32" ht="58.5" customHeight="1" x14ac:dyDescent="0.25">
      <c r="A572" s="56"/>
      <c r="B572" s="56"/>
      <c r="C572" s="56"/>
      <c r="D572" s="56"/>
      <c r="E572" s="57"/>
      <c r="F572" s="58"/>
      <c r="G572" s="56"/>
      <c r="H572" s="56"/>
      <c r="I572" s="59"/>
      <c r="J572" s="56"/>
      <c r="K572" s="56"/>
      <c r="L572" s="56"/>
      <c r="M572" s="1"/>
      <c r="N572" s="1"/>
      <c r="O572" s="1"/>
      <c r="P572" s="1"/>
      <c r="Q572" s="1"/>
      <c r="R572" s="1"/>
      <c r="S572" s="1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</row>
    <row r="573" spans="1:32" ht="58.5" customHeight="1" x14ac:dyDescent="0.25">
      <c r="A573" s="56"/>
      <c r="B573" s="56"/>
      <c r="C573" s="56"/>
      <c r="D573" s="56"/>
      <c r="E573" s="57"/>
      <c r="F573" s="58"/>
      <c r="G573" s="56"/>
      <c r="H573" s="56"/>
      <c r="I573" s="59"/>
      <c r="J573" s="56"/>
      <c r="K573" s="56"/>
      <c r="L573" s="56"/>
      <c r="M573" s="1"/>
      <c r="N573" s="1"/>
      <c r="O573" s="1"/>
      <c r="P573" s="1"/>
      <c r="Q573" s="1"/>
      <c r="R573" s="1"/>
      <c r="S573" s="1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</row>
    <row r="574" spans="1:32" ht="58.5" customHeight="1" x14ac:dyDescent="0.25">
      <c r="A574" s="56"/>
      <c r="B574" s="56"/>
      <c r="C574" s="56"/>
      <c r="D574" s="56"/>
      <c r="E574" s="57"/>
      <c r="F574" s="58"/>
      <c r="G574" s="56"/>
      <c r="H574" s="56"/>
      <c r="I574" s="59"/>
      <c r="J574" s="56"/>
      <c r="K574" s="56"/>
      <c r="L574" s="56"/>
      <c r="M574" s="1"/>
      <c r="N574" s="1"/>
      <c r="O574" s="1"/>
      <c r="P574" s="1"/>
      <c r="Q574" s="1"/>
      <c r="R574" s="1"/>
      <c r="S574" s="1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</row>
    <row r="575" spans="1:32" ht="58.5" customHeight="1" x14ac:dyDescent="0.25">
      <c r="A575" s="56"/>
      <c r="B575" s="56"/>
      <c r="C575" s="56"/>
      <c r="D575" s="56"/>
      <c r="E575" s="57"/>
      <c r="F575" s="58"/>
      <c r="G575" s="56"/>
      <c r="H575" s="56"/>
      <c r="I575" s="59"/>
      <c r="J575" s="56"/>
      <c r="K575" s="56"/>
      <c r="L575" s="56"/>
      <c r="M575" s="1"/>
      <c r="N575" s="1"/>
      <c r="O575" s="1"/>
      <c r="P575" s="1"/>
      <c r="Q575" s="1"/>
      <c r="R575" s="1"/>
      <c r="S575" s="1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</row>
    <row r="576" spans="1:32" ht="58.5" customHeight="1" x14ac:dyDescent="0.25">
      <c r="A576" s="56"/>
      <c r="B576" s="56"/>
      <c r="C576" s="56"/>
      <c r="D576" s="56"/>
      <c r="E576" s="57"/>
      <c r="F576" s="58"/>
      <c r="G576" s="56"/>
      <c r="H576" s="56"/>
      <c r="I576" s="59"/>
      <c r="J576" s="56"/>
      <c r="K576" s="56"/>
      <c r="L576" s="56"/>
      <c r="M576" s="1"/>
      <c r="N576" s="1"/>
      <c r="O576" s="1"/>
      <c r="P576" s="1"/>
      <c r="Q576" s="1"/>
      <c r="R576" s="1"/>
      <c r="S576" s="1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</row>
    <row r="577" spans="1:32" ht="58.5" customHeight="1" x14ac:dyDescent="0.25">
      <c r="A577" s="56"/>
      <c r="B577" s="56"/>
      <c r="C577" s="56"/>
      <c r="D577" s="56"/>
      <c r="E577" s="57"/>
      <c r="F577" s="58"/>
      <c r="G577" s="56"/>
      <c r="H577" s="56"/>
      <c r="I577" s="59"/>
      <c r="J577" s="56"/>
      <c r="K577" s="56"/>
      <c r="L577" s="56"/>
      <c r="M577" s="1"/>
      <c r="N577" s="1"/>
      <c r="O577" s="1"/>
      <c r="P577" s="1"/>
      <c r="Q577" s="1"/>
      <c r="R577" s="1"/>
      <c r="S577" s="1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</row>
    <row r="578" spans="1:32" ht="58.5" customHeight="1" x14ac:dyDescent="0.25">
      <c r="A578" s="56"/>
      <c r="B578" s="56"/>
      <c r="C578" s="56"/>
      <c r="D578" s="56"/>
      <c r="E578" s="57"/>
      <c r="F578" s="58"/>
      <c r="G578" s="56"/>
      <c r="H578" s="56"/>
      <c r="I578" s="59"/>
      <c r="J578" s="56"/>
      <c r="K578" s="56"/>
      <c r="L578" s="56"/>
      <c r="M578" s="1"/>
      <c r="N578" s="1"/>
      <c r="O578" s="1"/>
      <c r="P578" s="1"/>
      <c r="Q578" s="1"/>
      <c r="R578" s="1"/>
      <c r="S578" s="1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</row>
    <row r="579" spans="1:32" ht="58.5" customHeight="1" x14ac:dyDescent="0.25">
      <c r="A579" s="56"/>
      <c r="B579" s="56"/>
      <c r="C579" s="56"/>
      <c r="D579" s="56"/>
      <c r="E579" s="57"/>
      <c r="F579" s="58"/>
      <c r="G579" s="56"/>
      <c r="H579" s="56"/>
      <c r="I579" s="59"/>
      <c r="J579" s="56"/>
      <c r="K579" s="56"/>
      <c r="L579" s="56"/>
      <c r="M579" s="1"/>
      <c r="N579" s="1"/>
      <c r="O579" s="1"/>
      <c r="P579" s="1"/>
      <c r="Q579" s="1"/>
      <c r="R579" s="1"/>
      <c r="S579" s="1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</row>
    <row r="580" spans="1:32" ht="58.5" customHeight="1" x14ac:dyDescent="0.25">
      <c r="A580" s="56"/>
      <c r="B580" s="56"/>
      <c r="C580" s="56"/>
      <c r="D580" s="56"/>
      <c r="E580" s="57"/>
      <c r="F580" s="58"/>
      <c r="G580" s="56"/>
      <c r="H580" s="56"/>
      <c r="I580" s="59"/>
      <c r="J580" s="56"/>
      <c r="K580" s="56"/>
      <c r="L580" s="56"/>
      <c r="M580" s="1"/>
      <c r="N580" s="1"/>
      <c r="O580" s="1"/>
      <c r="P580" s="1"/>
      <c r="Q580" s="1"/>
      <c r="R580" s="1"/>
      <c r="S580" s="1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</row>
    <row r="581" spans="1:32" ht="58.5" customHeight="1" x14ac:dyDescent="0.25">
      <c r="A581" s="56"/>
      <c r="B581" s="56"/>
      <c r="C581" s="56"/>
      <c r="D581" s="56"/>
      <c r="E581" s="57"/>
      <c r="F581" s="58"/>
      <c r="G581" s="56"/>
      <c r="H581" s="56"/>
      <c r="I581" s="59"/>
      <c r="J581" s="56"/>
      <c r="K581" s="56"/>
      <c r="L581" s="56"/>
      <c r="M581" s="1"/>
      <c r="N581" s="1"/>
      <c r="O581" s="1"/>
      <c r="P581" s="1"/>
      <c r="Q581" s="1"/>
      <c r="R581" s="1"/>
      <c r="S581" s="1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</row>
    <row r="582" spans="1:32" ht="58.5" customHeight="1" x14ac:dyDescent="0.25">
      <c r="A582" s="56"/>
      <c r="B582" s="56"/>
      <c r="C582" s="56"/>
      <c r="D582" s="56"/>
      <c r="E582" s="57"/>
      <c r="F582" s="58"/>
      <c r="G582" s="56"/>
      <c r="H582" s="56"/>
      <c r="I582" s="59"/>
      <c r="J582" s="56"/>
      <c r="K582" s="56"/>
      <c r="L582" s="56"/>
      <c r="M582" s="1"/>
      <c r="N582" s="1"/>
      <c r="O582" s="1"/>
      <c r="P582" s="1"/>
      <c r="Q582" s="1"/>
      <c r="R582" s="1"/>
      <c r="S582" s="1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</row>
    <row r="583" spans="1:32" ht="58.5" customHeight="1" x14ac:dyDescent="0.25">
      <c r="A583" s="56"/>
      <c r="B583" s="56"/>
      <c r="C583" s="56"/>
      <c r="D583" s="56"/>
      <c r="E583" s="57"/>
      <c r="F583" s="58"/>
      <c r="G583" s="56"/>
      <c r="H583" s="56"/>
      <c r="I583" s="59"/>
      <c r="J583" s="56"/>
      <c r="K583" s="56"/>
      <c r="L583" s="56"/>
      <c r="M583" s="1"/>
      <c r="N583" s="1"/>
      <c r="O583" s="1"/>
      <c r="P583" s="1"/>
      <c r="Q583" s="1"/>
      <c r="R583" s="1"/>
      <c r="S583" s="1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</row>
    <row r="584" spans="1:32" ht="58.5" customHeight="1" x14ac:dyDescent="0.25">
      <c r="A584" s="56"/>
      <c r="B584" s="56"/>
      <c r="C584" s="56"/>
      <c r="D584" s="56"/>
      <c r="E584" s="57"/>
      <c r="F584" s="58"/>
      <c r="G584" s="56"/>
      <c r="H584" s="56"/>
      <c r="I584" s="59"/>
      <c r="J584" s="56"/>
      <c r="K584" s="56"/>
      <c r="L584" s="56"/>
      <c r="M584" s="1"/>
      <c r="N584" s="1"/>
      <c r="O584" s="1"/>
      <c r="P584" s="1"/>
      <c r="Q584" s="1"/>
      <c r="R584" s="1"/>
      <c r="S584" s="1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</row>
    <row r="585" spans="1:32" ht="58.5" customHeight="1" x14ac:dyDescent="0.25">
      <c r="A585" s="56"/>
      <c r="B585" s="56"/>
      <c r="C585" s="56"/>
      <c r="D585" s="56"/>
      <c r="E585" s="57"/>
      <c r="F585" s="58"/>
      <c r="G585" s="56"/>
      <c r="H585" s="56"/>
      <c r="I585" s="59"/>
      <c r="J585" s="56"/>
      <c r="K585" s="56"/>
      <c r="L585" s="56"/>
      <c r="M585" s="1"/>
      <c r="N585" s="1"/>
      <c r="O585" s="1"/>
      <c r="P585" s="1"/>
      <c r="Q585" s="1"/>
      <c r="R585" s="1"/>
      <c r="S585" s="1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</row>
    <row r="586" spans="1:32" ht="58.5" customHeight="1" x14ac:dyDescent="0.25">
      <c r="A586" s="56"/>
      <c r="B586" s="56"/>
      <c r="C586" s="56"/>
      <c r="D586" s="56"/>
      <c r="E586" s="57"/>
      <c r="F586" s="58"/>
      <c r="G586" s="56"/>
      <c r="H586" s="56"/>
      <c r="I586" s="59"/>
      <c r="J586" s="56"/>
      <c r="K586" s="56"/>
      <c r="L586" s="56"/>
      <c r="M586" s="1"/>
      <c r="N586" s="1"/>
      <c r="O586" s="1"/>
      <c r="P586" s="1"/>
      <c r="Q586" s="1"/>
      <c r="R586" s="1"/>
      <c r="S586" s="1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</row>
    <row r="587" spans="1:32" ht="58.5" customHeight="1" x14ac:dyDescent="0.25">
      <c r="A587" s="56"/>
      <c r="B587" s="56"/>
      <c r="C587" s="56"/>
      <c r="D587" s="56"/>
      <c r="E587" s="57"/>
      <c r="F587" s="58"/>
      <c r="G587" s="56"/>
      <c r="H587" s="56"/>
      <c r="I587" s="59"/>
      <c r="J587" s="56"/>
      <c r="K587" s="56"/>
      <c r="L587" s="56"/>
      <c r="M587" s="1"/>
      <c r="N587" s="1"/>
      <c r="O587" s="1"/>
      <c r="P587" s="1"/>
      <c r="Q587" s="1"/>
      <c r="R587" s="1"/>
      <c r="S587" s="1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</row>
    <row r="588" spans="1:32" ht="58.5" customHeight="1" x14ac:dyDescent="0.25">
      <c r="A588" s="56"/>
      <c r="B588" s="56"/>
      <c r="C588" s="56"/>
      <c r="D588" s="56"/>
      <c r="E588" s="57"/>
      <c r="F588" s="58"/>
      <c r="G588" s="56"/>
      <c r="H588" s="56"/>
      <c r="I588" s="59"/>
      <c r="J588" s="56"/>
      <c r="K588" s="56"/>
      <c r="L588" s="56"/>
      <c r="M588" s="1"/>
      <c r="N588" s="1"/>
      <c r="O588" s="1"/>
      <c r="P588" s="1"/>
      <c r="Q588" s="1"/>
      <c r="R588" s="1"/>
      <c r="S588" s="1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</row>
    <row r="589" spans="1:32" ht="58.5" customHeight="1" x14ac:dyDescent="0.25">
      <c r="A589" s="56"/>
      <c r="B589" s="56"/>
      <c r="C589" s="56"/>
      <c r="D589" s="56"/>
      <c r="E589" s="57"/>
      <c r="F589" s="58"/>
      <c r="G589" s="56"/>
      <c r="H589" s="56"/>
      <c r="I589" s="59"/>
      <c r="J589" s="56"/>
      <c r="K589" s="56"/>
      <c r="L589" s="56"/>
      <c r="M589" s="1"/>
      <c r="N589" s="1"/>
      <c r="O589" s="1"/>
      <c r="P589" s="1"/>
      <c r="Q589" s="1"/>
      <c r="R589" s="1"/>
      <c r="S589" s="1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</row>
    <row r="590" spans="1:32" ht="58.5" customHeight="1" x14ac:dyDescent="0.25">
      <c r="A590" s="56"/>
      <c r="B590" s="56"/>
      <c r="C590" s="56"/>
      <c r="D590" s="56"/>
      <c r="E590" s="57"/>
      <c r="F590" s="58"/>
      <c r="G590" s="56"/>
      <c r="H590" s="56"/>
      <c r="I590" s="59"/>
      <c r="J590" s="56"/>
      <c r="K590" s="56"/>
      <c r="L590" s="56"/>
      <c r="M590" s="1"/>
      <c r="N590" s="1"/>
      <c r="O590" s="1"/>
      <c r="P590" s="1"/>
      <c r="Q590" s="1"/>
      <c r="R590" s="1"/>
      <c r="S590" s="1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</row>
    <row r="591" spans="1:32" ht="58.5" customHeight="1" x14ac:dyDescent="0.25">
      <c r="A591" s="56"/>
      <c r="B591" s="56"/>
      <c r="C591" s="56"/>
      <c r="D591" s="56"/>
      <c r="E591" s="57"/>
      <c r="F591" s="58"/>
      <c r="G591" s="56"/>
      <c r="H591" s="56"/>
      <c r="I591" s="59"/>
      <c r="J591" s="56"/>
      <c r="K591" s="56"/>
      <c r="L591" s="56"/>
      <c r="M591" s="1"/>
      <c r="N591" s="1"/>
      <c r="O591" s="1"/>
      <c r="P591" s="1"/>
      <c r="Q591" s="1"/>
      <c r="R591" s="1"/>
      <c r="S591" s="1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</row>
    <row r="592" spans="1:32" ht="58.5" customHeight="1" x14ac:dyDescent="0.25">
      <c r="A592" s="56"/>
      <c r="B592" s="56"/>
      <c r="C592" s="56"/>
      <c r="D592" s="56"/>
      <c r="E592" s="57"/>
      <c r="F592" s="58"/>
      <c r="G592" s="56"/>
      <c r="H592" s="56"/>
      <c r="I592" s="59"/>
      <c r="J592" s="56"/>
      <c r="K592" s="56"/>
      <c r="L592" s="56"/>
      <c r="M592" s="1"/>
      <c r="N592" s="1"/>
      <c r="O592" s="1"/>
      <c r="P592" s="1"/>
      <c r="Q592" s="1"/>
      <c r="R592" s="1"/>
      <c r="S592" s="1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</row>
    <row r="593" spans="1:32" ht="58.5" customHeight="1" x14ac:dyDescent="0.25">
      <c r="A593" s="56"/>
      <c r="B593" s="56"/>
      <c r="C593" s="56"/>
      <c r="D593" s="56"/>
      <c r="E593" s="57"/>
      <c r="F593" s="58"/>
      <c r="G593" s="56"/>
      <c r="H593" s="56"/>
      <c r="I593" s="59"/>
      <c r="J593" s="56"/>
      <c r="K593" s="56"/>
      <c r="L593" s="56"/>
      <c r="M593" s="1"/>
      <c r="N593" s="1"/>
      <c r="O593" s="1"/>
      <c r="P593" s="1"/>
      <c r="Q593" s="1"/>
      <c r="R593" s="1"/>
      <c r="S593" s="1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</row>
    <row r="594" spans="1:32" ht="58.5" customHeight="1" x14ac:dyDescent="0.25">
      <c r="A594" s="56"/>
      <c r="B594" s="56"/>
      <c r="C594" s="56"/>
      <c r="D594" s="56"/>
      <c r="E594" s="57"/>
      <c r="F594" s="58"/>
      <c r="G594" s="56"/>
      <c r="H594" s="56"/>
      <c r="I594" s="59"/>
      <c r="J594" s="56"/>
      <c r="K594" s="56"/>
      <c r="L594" s="56"/>
      <c r="M594" s="1"/>
      <c r="N594" s="1"/>
      <c r="O594" s="1"/>
      <c r="P594" s="1"/>
      <c r="Q594" s="1"/>
      <c r="R594" s="1"/>
      <c r="S594" s="1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</row>
    <row r="595" spans="1:32" ht="58.5" customHeight="1" x14ac:dyDescent="0.25">
      <c r="A595" s="56"/>
      <c r="B595" s="56"/>
      <c r="C595" s="56"/>
      <c r="D595" s="56"/>
      <c r="E595" s="57"/>
      <c r="F595" s="58"/>
      <c r="G595" s="56"/>
      <c r="H595" s="56"/>
      <c r="I595" s="59"/>
      <c r="J595" s="56"/>
      <c r="K595" s="56"/>
      <c r="L595" s="56"/>
      <c r="M595" s="1"/>
      <c r="N595" s="1"/>
      <c r="O595" s="1"/>
      <c r="P595" s="1"/>
      <c r="Q595" s="1"/>
      <c r="R595" s="1"/>
      <c r="S595" s="1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</row>
    <row r="596" spans="1:32" ht="58.5" customHeight="1" x14ac:dyDescent="0.25">
      <c r="A596" s="56"/>
      <c r="B596" s="56"/>
      <c r="C596" s="56"/>
      <c r="D596" s="56"/>
      <c r="E596" s="57"/>
      <c r="F596" s="58"/>
      <c r="G596" s="56"/>
      <c r="H596" s="56"/>
      <c r="I596" s="59"/>
      <c r="J596" s="56"/>
      <c r="K596" s="56"/>
      <c r="L596" s="56"/>
      <c r="M596" s="1"/>
      <c r="N596" s="1"/>
      <c r="O596" s="1"/>
      <c r="P596" s="1"/>
      <c r="Q596" s="1"/>
      <c r="R596" s="1"/>
      <c r="S596" s="1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</row>
    <row r="597" spans="1:32" ht="58.5" customHeight="1" x14ac:dyDescent="0.25">
      <c r="A597" s="56"/>
      <c r="B597" s="56"/>
      <c r="C597" s="56"/>
      <c r="D597" s="56"/>
      <c r="E597" s="57"/>
      <c r="F597" s="58"/>
      <c r="G597" s="56"/>
      <c r="H597" s="56"/>
      <c r="I597" s="59"/>
      <c r="J597" s="56"/>
      <c r="K597" s="56"/>
      <c r="L597" s="56"/>
      <c r="M597" s="1"/>
      <c r="N597" s="1"/>
      <c r="O597" s="1"/>
      <c r="P597" s="1"/>
      <c r="Q597" s="1"/>
      <c r="R597" s="1"/>
      <c r="S597" s="1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</row>
    <row r="598" spans="1:32" ht="58.5" customHeight="1" x14ac:dyDescent="0.25">
      <c r="A598" s="56"/>
      <c r="B598" s="56"/>
      <c r="C598" s="56"/>
      <c r="D598" s="56"/>
      <c r="E598" s="57"/>
      <c r="F598" s="58"/>
      <c r="G598" s="56"/>
      <c r="H598" s="56"/>
      <c r="I598" s="59"/>
      <c r="J598" s="56"/>
      <c r="K598" s="56"/>
      <c r="L598" s="56"/>
      <c r="M598" s="1"/>
      <c r="N598" s="1"/>
      <c r="O598" s="1"/>
      <c r="P598" s="1"/>
      <c r="Q598" s="1"/>
      <c r="R598" s="1"/>
      <c r="S598" s="1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</row>
    <row r="599" spans="1:32" ht="58.5" customHeight="1" x14ac:dyDescent="0.25">
      <c r="A599" s="56"/>
      <c r="B599" s="56"/>
      <c r="C599" s="56"/>
      <c r="D599" s="56"/>
      <c r="E599" s="57"/>
      <c r="F599" s="58"/>
      <c r="G599" s="56"/>
      <c r="H599" s="56"/>
      <c r="I599" s="59"/>
      <c r="J599" s="56"/>
      <c r="K599" s="56"/>
      <c r="L599" s="56"/>
      <c r="M599" s="1"/>
      <c r="N599" s="1"/>
      <c r="O599" s="1"/>
      <c r="P599" s="1"/>
      <c r="Q599" s="1"/>
      <c r="R599" s="1"/>
      <c r="S599" s="1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</row>
    <row r="600" spans="1:32" ht="58.5" customHeight="1" x14ac:dyDescent="0.25">
      <c r="A600" s="56"/>
      <c r="B600" s="56"/>
      <c r="C600" s="56"/>
      <c r="D600" s="56"/>
      <c r="E600" s="57"/>
      <c r="F600" s="58"/>
      <c r="G600" s="56"/>
      <c r="H600" s="56"/>
      <c r="I600" s="59"/>
      <c r="J600" s="56"/>
      <c r="K600" s="56"/>
      <c r="L600" s="56"/>
      <c r="M600" s="1"/>
      <c r="N600" s="1"/>
      <c r="O600" s="1"/>
      <c r="P600" s="1"/>
      <c r="Q600" s="1"/>
      <c r="R600" s="1"/>
      <c r="S600" s="1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</row>
    <row r="601" spans="1:32" ht="58.5" customHeight="1" x14ac:dyDescent="0.25">
      <c r="A601" s="56"/>
      <c r="B601" s="56"/>
      <c r="C601" s="56"/>
      <c r="D601" s="56"/>
      <c r="E601" s="57"/>
      <c r="F601" s="58"/>
      <c r="G601" s="56"/>
      <c r="H601" s="56"/>
      <c r="I601" s="59"/>
      <c r="J601" s="56"/>
      <c r="K601" s="56"/>
      <c r="L601" s="56"/>
      <c r="M601" s="1"/>
      <c r="N601" s="1"/>
      <c r="O601" s="1"/>
      <c r="P601" s="1"/>
      <c r="Q601" s="1"/>
      <c r="R601" s="1"/>
      <c r="S601" s="1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</row>
    <row r="602" spans="1:32" ht="58.5" customHeight="1" x14ac:dyDescent="0.25">
      <c r="A602" s="56"/>
      <c r="B602" s="56"/>
      <c r="C602" s="56"/>
      <c r="D602" s="56"/>
      <c r="E602" s="57"/>
      <c r="F602" s="58"/>
      <c r="G602" s="56"/>
      <c r="H602" s="56"/>
      <c r="I602" s="59"/>
      <c r="J602" s="56"/>
      <c r="K602" s="56"/>
      <c r="L602" s="56"/>
      <c r="M602" s="1"/>
      <c r="N602" s="1"/>
      <c r="O602" s="1"/>
      <c r="P602" s="1"/>
      <c r="Q602" s="1"/>
      <c r="R602" s="1"/>
      <c r="S602" s="1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</row>
    <row r="603" spans="1:32" ht="58.5" customHeight="1" x14ac:dyDescent="0.25">
      <c r="A603" s="56"/>
      <c r="B603" s="56"/>
      <c r="C603" s="56"/>
      <c r="D603" s="56"/>
      <c r="E603" s="57"/>
      <c r="F603" s="58"/>
      <c r="G603" s="56"/>
      <c r="H603" s="56"/>
      <c r="I603" s="59"/>
      <c r="J603" s="56"/>
      <c r="K603" s="56"/>
      <c r="L603" s="56"/>
      <c r="M603" s="1"/>
      <c r="N603" s="1"/>
      <c r="O603" s="1"/>
      <c r="P603" s="1"/>
      <c r="Q603" s="1"/>
      <c r="R603" s="1"/>
      <c r="S603" s="1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</row>
    <row r="604" spans="1:32" ht="58.5" customHeight="1" x14ac:dyDescent="0.25">
      <c r="A604" s="56"/>
      <c r="B604" s="56"/>
      <c r="C604" s="56"/>
      <c r="D604" s="56"/>
      <c r="E604" s="57"/>
      <c r="F604" s="58"/>
      <c r="G604" s="56"/>
      <c r="H604" s="56"/>
      <c r="I604" s="59"/>
      <c r="J604" s="56"/>
      <c r="K604" s="56"/>
      <c r="L604" s="56"/>
      <c r="M604" s="1"/>
      <c r="N604" s="1"/>
      <c r="O604" s="1"/>
      <c r="P604" s="1"/>
      <c r="Q604" s="1"/>
      <c r="R604" s="1"/>
      <c r="S604" s="1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</row>
    <row r="605" spans="1:32" ht="58.5" customHeight="1" x14ac:dyDescent="0.25">
      <c r="A605" s="56"/>
      <c r="B605" s="56"/>
      <c r="C605" s="56"/>
      <c r="D605" s="56"/>
      <c r="E605" s="57"/>
      <c r="F605" s="58"/>
      <c r="G605" s="56"/>
      <c r="H605" s="56"/>
      <c r="I605" s="59"/>
      <c r="J605" s="56"/>
      <c r="K605" s="56"/>
      <c r="L605" s="56"/>
      <c r="M605" s="1"/>
      <c r="N605" s="1"/>
      <c r="O605" s="1"/>
      <c r="P605" s="1"/>
      <c r="Q605" s="1"/>
      <c r="R605" s="1"/>
      <c r="S605" s="1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</row>
    <row r="606" spans="1:32" ht="58.5" customHeight="1" x14ac:dyDescent="0.25">
      <c r="A606" s="56"/>
      <c r="B606" s="56"/>
      <c r="C606" s="56"/>
      <c r="D606" s="56"/>
      <c r="E606" s="57"/>
      <c r="F606" s="58"/>
      <c r="G606" s="56"/>
      <c r="H606" s="56"/>
      <c r="I606" s="59"/>
      <c r="J606" s="56"/>
      <c r="K606" s="56"/>
      <c r="L606" s="56"/>
      <c r="M606" s="1"/>
      <c r="N606" s="1"/>
      <c r="O606" s="1"/>
      <c r="P606" s="1"/>
      <c r="Q606" s="1"/>
      <c r="R606" s="1"/>
      <c r="S606" s="1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</row>
    <row r="607" spans="1:32" ht="58.5" customHeight="1" x14ac:dyDescent="0.25">
      <c r="A607" s="56"/>
      <c r="B607" s="56"/>
      <c r="C607" s="56"/>
      <c r="D607" s="56"/>
      <c r="E607" s="57"/>
      <c r="F607" s="58"/>
      <c r="G607" s="56"/>
      <c r="H607" s="56"/>
      <c r="I607" s="59"/>
      <c r="J607" s="56"/>
      <c r="K607" s="56"/>
      <c r="L607" s="56"/>
      <c r="M607" s="1"/>
      <c r="N607" s="1"/>
      <c r="O607" s="1"/>
      <c r="P607" s="1"/>
      <c r="Q607" s="1"/>
      <c r="R607" s="1"/>
      <c r="S607" s="1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</row>
    <row r="608" spans="1:32" ht="58.5" customHeight="1" x14ac:dyDescent="0.25">
      <c r="A608" s="56"/>
      <c r="B608" s="56"/>
      <c r="C608" s="56"/>
      <c r="D608" s="56"/>
      <c r="E608" s="57"/>
      <c r="F608" s="58"/>
      <c r="G608" s="56"/>
      <c r="H608" s="56"/>
      <c r="I608" s="59"/>
      <c r="J608" s="56"/>
      <c r="K608" s="56"/>
      <c r="L608" s="56"/>
      <c r="M608" s="1"/>
      <c r="N608" s="1"/>
      <c r="O608" s="1"/>
      <c r="P608" s="1"/>
      <c r="Q608" s="1"/>
      <c r="R608" s="1"/>
      <c r="S608" s="1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</row>
    <row r="609" spans="1:32" ht="58.5" customHeight="1" x14ac:dyDescent="0.25">
      <c r="A609" s="56"/>
      <c r="B609" s="56"/>
      <c r="C609" s="56"/>
      <c r="D609" s="56"/>
      <c r="E609" s="57"/>
      <c r="F609" s="58"/>
      <c r="G609" s="56"/>
      <c r="H609" s="56"/>
      <c r="I609" s="59"/>
      <c r="J609" s="56"/>
      <c r="K609" s="56"/>
      <c r="L609" s="56"/>
      <c r="M609" s="1"/>
      <c r="N609" s="1"/>
      <c r="O609" s="1"/>
      <c r="P609" s="1"/>
      <c r="Q609" s="1"/>
      <c r="R609" s="1"/>
      <c r="S609" s="1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</row>
    <row r="610" spans="1:32" ht="58.5" customHeight="1" x14ac:dyDescent="0.25">
      <c r="A610" s="56"/>
      <c r="B610" s="56"/>
      <c r="C610" s="56"/>
      <c r="D610" s="56"/>
      <c r="E610" s="57"/>
      <c r="F610" s="58"/>
      <c r="G610" s="56"/>
      <c r="H610" s="56"/>
      <c r="I610" s="59"/>
      <c r="J610" s="56"/>
      <c r="K610" s="56"/>
      <c r="L610" s="56"/>
      <c r="M610" s="1"/>
      <c r="N610" s="1"/>
      <c r="O610" s="1"/>
      <c r="P610" s="1"/>
      <c r="Q610" s="1"/>
      <c r="R610" s="1"/>
      <c r="S610" s="1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</row>
    <row r="611" spans="1:32" ht="58.5" customHeight="1" x14ac:dyDescent="0.25">
      <c r="A611" s="56"/>
      <c r="B611" s="56"/>
      <c r="C611" s="56"/>
      <c r="D611" s="56"/>
      <c r="E611" s="57"/>
      <c r="F611" s="58"/>
      <c r="G611" s="56"/>
      <c r="H611" s="56"/>
      <c r="I611" s="59"/>
      <c r="J611" s="56"/>
      <c r="K611" s="56"/>
      <c r="L611" s="56"/>
      <c r="M611" s="1"/>
      <c r="N611" s="1"/>
      <c r="O611" s="1"/>
      <c r="P611" s="1"/>
      <c r="Q611" s="1"/>
      <c r="R611" s="1"/>
      <c r="S611" s="1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</row>
    <row r="612" spans="1:32" ht="58.5" customHeight="1" x14ac:dyDescent="0.25">
      <c r="A612" s="56"/>
      <c r="B612" s="56"/>
      <c r="C612" s="56"/>
      <c r="D612" s="56"/>
      <c r="E612" s="57"/>
      <c r="F612" s="58"/>
      <c r="G612" s="56"/>
      <c r="H612" s="56"/>
      <c r="I612" s="59"/>
      <c r="J612" s="56"/>
      <c r="K612" s="56"/>
      <c r="L612" s="56"/>
      <c r="M612" s="1"/>
      <c r="N612" s="1"/>
      <c r="O612" s="1"/>
      <c r="P612" s="1"/>
      <c r="Q612" s="1"/>
      <c r="R612" s="1"/>
      <c r="S612" s="1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</row>
    <row r="613" spans="1:32" ht="58.5" customHeight="1" x14ac:dyDescent="0.25">
      <c r="A613" s="56"/>
      <c r="B613" s="56"/>
      <c r="C613" s="56"/>
      <c r="D613" s="56"/>
      <c r="E613" s="57"/>
      <c r="F613" s="58"/>
      <c r="G613" s="56"/>
      <c r="H613" s="56"/>
      <c r="I613" s="59"/>
      <c r="J613" s="56"/>
      <c r="K613" s="56"/>
      <c r="L613" s="56"/>
      <c r="M613" s="1"/>
      <c r="N613" s="1"/>
      <c r="O613" s="1"/>
      <c r="P613" s="1"/>
      <c r="Q613" s="1"/>
      <c r="R613" s="1"/>
      <c r="S613" s="1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</row>
    <row r="614" spans="1:32" ht="58.5" customHeight="1" x14ac:dyDescent="0.25">
      <c r="A614" s="56"/>
      <c r="B614" s="56"/>
      <c r="C614" s="56"/>
      <c r="D614" s="56"/>
      <c r="E614" s="57"/>
      <c r="F614" s="58"/>
      <c r="G614" s="56"/>
      <c r="H614" s="56"/>
      <c r="I614" s="59"/>
      <c r="J614" s="56"/>
      <c r="K614" s="56"/>
      <c r="L614" s="56"/>
      <c r="M614" s="1"/>
      <c r="N614" s="1"/>
      <c r="O614" s="1"/>
      <c r="P614" s="1"/>
      <c r="Q614" s="1"/>
      <c r="R614" s="1"/>
      <c r="S614" s="1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</row>
    <row r="615" spans="1:32" ht="58.5" customHeight="1" x14ac:dyDescent="0.25">
      <c r="A615" s="56"/>
      <c r="B615" s="56"/>
      <c r="C615" s="56"/>
      <c r="D615" s="56"/>
      <c r="E615" s="57"/>
      <c r="F615" s="58"/>
      <c r="G615" s="56"/>
      <c r="H615" s="56"/>
      <c r="I615" s="59"/>
      <c r="J615" s="56"/>
      <c r="K615" s="56"/>
      <c r="L615" s="56"/>
      <c r="M615" s="1"/>
      <c r="N615" s="1"/>
      <c r="O615" s="1"/>
      <c r="P615" s="1"/>
      <c r="Q615" s="1"/>
      <c r="R615" s="1"/>
      <c r="S615" s="1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</row>
    <row r="616" spans="1:32" ht="58.5" customHeight="1" x14ac:dyDescent="0.25">
      <c r="A616" s="56"/>
      <c r="B616" s="56"/>
      <c r="C616" s="56"/>
      <c r="D616" s="56"/>
      <c r="E616" s="57"/>
      <c r="F616" s="58"/>
      <c r="G616" s="56"/>
      <c r="H616" s="56"/>
      <c r="I616" s="59"/>
      <c r="J616" s="56"/>
      <c r="K616" s="56"/>
      <c r="L616" s="56"/>
      <c r="M616" s="1"/>
      <c r="N616" s="1"/>
      <c r="O616" s="1"/>
      <c r="P616" s="1"/>
      <c r="Q616" s="1"/>
      <c r="R616" s="1"/>
      <c r="S616" s="1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</row>
    <row r="617" spans="1:32" ht="58.5" customHeight="1" x14ac:dyDescent="0.25">
      <c r="A617" s="56"/>
      <c r="B617" s="56"/>
      <c r="C617" s="56"/>
      <c r="D617" s="56"/>
      <c r="E617" s="57"/>
      <c r="F617" s="58"/>
      <c r="G617" s="56"/>
      <c r="H617" s="56"/>
      <c r="I617" s="59"/>
      <c r="J617" s="56"/>
      <c r="K617" s="56"/>
      <c r="L617" s="56"/>
      <c r="M617" s="1"/>
      <c r="N617" s="1"/>
      <c r="O617" s="1"/>
      <c r="P617" s="1"/>
      <c r="Q617" s="1"/>
      <c r="R617" s="1"/>
      <c r="S617" s="1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</row>
    <row r="618" spans="1:32" ht="58.5" customHeight="1" x14ac:dyDescent="0.25">
      <c r="A618" s="56"/>
      <c r="B618" s="56"/>
      <c r="C618" s="56"/>
      <c r="D618" s="56"/>
      <c r="E618" s="57"/>
      <c r="F618" s="58"/>
      <c r="G618" s="56"/>
      <c r="H618" s="56"/>
      <c r="I618" s="59"/>
      <c r="J618" s="56"/>
      <c r="K618" s="56"/>
      <c r="L618" s="56"/>
      <c r="M618" s="1"/>
      <c r="N618" s="1"/>
      <c r="O618" s="1"/>
      <c r="P618" s="1"/>
      <c r="Q618" s="1"/>
      <c r="R618" s="1"/>
      <c r="S618" s="1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</row>
    <row r="619" spans="1:32" ht="58.5" customHeight="1" x14ac:dyDescent="0.25">
      <c r="A619" s="56"/>
      <c r="B619" s="56"/>
      <c r="C619" s="56"/>
      <c r="D619" s="56"/>
      <c r="E619" s="57"/>
      <c r="F619" s="58"/>
      <c r="G619" s="56"/>
      <c r="H619" s="56"/>
      <c r="I619" s="59"/>
      <c r="J619" s="56"/>
      <c r="K619" s="56"/>
      <c r="L619" s="56"/>
      <c r="M619" s="1"/>
      <c r="N619" s="1"/>
      <c r="O619" s="1"/>
      <c r="P619" s="1"/>
      <c r="Q619" s="1"/>
      <c r="R619" s="1"/>
      <c r="S619" s="1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</row>
    <row r="620" spans="1:32" ht="58.5" customHeight="1" x14ac:dyDescent="0.25">
      <c r="A620" s="56"/>
      <c r="B620" s="56"/>
      <c r="C620" s="56"/>
      <c r="D620" s="56"/>
      <c r="E620" s="57"/>
      <c r="F620" s="58"/>
      <c r="G620" s="56"/>
      <c r="H620" s="56"/>
      <c r="I620" s="59"/>
      <c r="J620" s="56"/>
      <c r="K620" s="56"/>
      <c r="L620" s="56"/>
      <c r="M620" s="1"/>
      <c r="N620" s="1"/>
      <c r="O620" s="1"/>
      <c r="P620" s="1"/>
      <c r="Q620" s="1"/>
      <c r="R620" s="1"/>
      <c r="S620" s="1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</row>
    <row r="621" spans="1:32" ht="58.5" customHeight="1" x14ac:dyDescent="0.25">
      <c r="A621" s="56"/>
      <c r="B621" s="56"/>
      <c r="C621" s="56"/>
      <c r="D621" s="56"/>
      <c r="E621" s="57"/>
      <c r="F621" s="58"/>
      <c r="G621" s="56"/>
      <c r="H621" s="56"/>
      <c r="I621" s="59"/>
      <c r="J621" s="56"/>
      <c r="K621" s="56"/>
      <c r="L621" s="56"/>
      <c r="M621" s="1"/>
      <c r="N621" s="1"/>
      <c r="O621" s="1"/>
      <c r="P621" s="1"/>
      <c r="Q621" s="1"/>
      <c r="R621" s="1"/>
      <c r="S621" s="1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</row>
    <row r="622" spans="1:32" ht="58.5" customHeight="1" x14ac:dyDescent="0.25">
      <c r="A622" s="56"/>
      <c r="B622" s="56"/>
      <c r="C622" s="56"/>
      <c r="D622" s="56"/>
      <c r="E622" s="57"/>
      <c r="F622" s="58"/>
      <c r="G622" s="56"/>
      <c r="H622" s="56"/>
      <c r="I622" s="59"/>
      <c r="J622" s="56"/>
      <c r="K622" s="56"/>
      <c r="L622" s="56"/>
      <c r="M622" s="1"/>
      <c r="N622" s="1"/>
      <c r="O622" s="1"/>
      <c r="P622" s="1"/>
      <c r="Q622" s="1"/>
      <c r="R622" s="1"/>
      <c r="S622" s="1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</row>
    <row r="623" spans="1:32" ht="58.5" customHeight="1" x14ac:dyDescent="0.25">
      <c r="A623" s="56"/>
      <c r="B623" s="56"/>
      <c r="C623" s="56"/>
      <c r="D623" s="56"/>
      <c r="E623" s="57"/>
      <c r="F623" s="58"/>
      <c r="G623" s="56"/>
      <c r="H623" s="56"/>
      <c r="I623" s="59"/>
      <c r="J623" s="56"/>
      <c r="K623" s="56"/>
      <c r="L623" s="56"/>
      <c r="M623" s="1"/>
      <c r="N623" s="1"/>
      <c r="O623" s="1"/>
      <c r="P623" s="1"/>
      <c r="Q623" s="1"/>
      <c r="R623" s="1"/>
      <c r="S623" s="1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</row>
    <row r="624" spans="1:32" ht="58.5" customHeight="1" x14ac:dyDescent="0.25">
      <c r="A624" s="56"/>
      <c r="B624" s="56"/>
      <c r="C624" s="56"/>
      <c r="D624" s="56"/>
      <c r="E624" s="57"/>
      <c r="F624" s="58"/>
      <c r="G624" s="56"/>
      <c r="H624" s="56"/>
      <c r="I624" s="59"/>
      <c r="J624" s="56"/>
      <c r="K624" s="56"/>
      <c r="L624" s="56"/>
      <c r="M624" s="1"/>
      <c r="N624" s="1"/>
      <c r="O624" s="1"/>
      <c r="P624" s="1"/>
      <c r="Q624" s="1"/>
      <c r="R624" s="1"/>
      <c r="S624" s="1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</row>
    <row r="625" spans="1:32" ht="58.5" customHeight="1" x14ac:dyDescent="0.25">
      <c r="A625" s="56"/>
      <c r="B625" s="56"/>
      <c r="C625" s="56"/>
      <c r="D625" s="56"/>
      <c r="E625" s="57"/>
      <c r="F625" s="58"/>
      <c r="G625" s="56"/>
      <c r="H625" s="56"/>
      <c r="I625" s="59"/>
      <c r="J625" s="56"/>
      <c r="K625" s="56"/>
      <c r="L625" s="56"/>
      <c r="M625" s="1"/>
      <c r="N625" s="1"/>
      <c r="O625" s="1"/>
      <c r="P625" s="1"/>
      <c r="Q625" s="1"/>
      <c r="R625" s="1"/>
      <c r="S625" s="1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</row>
    <row r="626" spans="1:32" ht="58.5" customHeight="1" x14ac:dyDescent="0.25">
      <c r="A626" s="56"/>
      <c r="B626" s="56"/>
      <c r="C626" s="56"/>
      <c r="D626" s="56"/>
      <c r="E626" s="57"/>
      <c r="F626" s="58"/>
      <c r="G626" s="56"/>
      <c r="H626" s="56"/>
      <c r="I626" s="59"/>
      <c r="J626" s="56"/>
      <c r="K626" s="56"/>
      <c r="L626" s="56"/>
      <c r="M626" s="1"/>
      <c r="N626" s="1"/>
      <c r="O626" s="1"/>
      <c r="P626" s="1"/>
      <c r="Q626" s="1"/>
      <c r="R626" s="1"/>
      <c r="S626" s="1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</row>
    <row r="627" spans="1:32" ht="58.5" customHeight="1" x14ac:dyDescent="0.25">
      <c r="A627" s="56"/>
      <c r="B627" s="56"/>
      <c r="C627" s="56"/>
      <c r="D627" s="56"/>
      <c r="E627" s="57"/>
      <c r="F627" s="58"/>
      <c r="G627" s="56"/>
      <c r="H627" s="56"/>
      <c r="I627" s="59"/>
      <c r="J627" s="56"/>
      <c r="K627" s="56"/>
      <c r="L627" s="56"/>
      <c r="M627" s="1"/>
      <c r="N627" s="1"/>
      <c r="O627" s="1"/>
      <c r="P627" s="1"/>
      <c r="Q627" s="1"/>
      <c r="R627" s="1"/>
      <c r="S627" s="1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</row>
    <row r="628" spans="1:32" ht="58.5" customHeight="1" x14ac:dyDescent="0.25">
      <c r="A628" s="56"/>
      <c r="B628" s="56"/>
      <c r="C628" s="56"/>
      <c r="D628" s="56"/>
      <c r="E628" s="57"/>
      <c r="F628" s="58"/>
      <c r="G628" s="56"/>
      <c r="H628" s="56"/>
      <c r="I628" s="59"/>
      <c r="J628" s="56"/>
      <c r="K628" s="56"/>
      <c r="L628" s="56"/>
      <c r="M628" s="1"/>
      <c r="N628" s="1"/>
      <c r="O628" s="1"/>
      <c r="P628" s="1"/>
      <c r="Q628" s="1"/>
      <c r="R628" s="1"/>
      <c r="S628" s="1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</row>
    <row r="629" spans="1:32" ht="58.5" customHeight="1" x14ac:dyDescent="0.25">
      <c r="A629" s="56"/>
      <c r="B629" s="56"/>
      <c r="C629" s="56"/>
      <c r="D629" s="56"/>
      <c r="E629" s="57"/>
      <c r="F629" s="58"/>
      <c r="G629" s="56"/>
      <c r="H629" s="56"/>
      <c r="I629" s="59"/>
      <c r="J629" s="56"/>
      <c r="K629" s="56"/>
      <c r="L629" s="56"/>
      <c r="M629" s="1"/>
      <c r="N629" s="1"/>
      <c r="O629" s="1"/>
      <c r="P629" s="1"/>
      <c r="Q629" s="1"/>
      <c r="R629" s="1"/>
      <c r="S629" s="1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</row>
    <row r="630" spans="1:32" ht="58.5" customHeight="1" x14ac:dyDescent="0.25">
      <c r="A630" s="56"/>
      <c r="B630" s="56"/>
      <c r="C630" s="56"/>
      <c r="D630" s="56"/>
      <c r="E630" s="57"/>
      <c r="F630" s="58"/>
      <c r="G630" s="56"/>
      <c r="H630" s="56"/>
      <c r="I630" s="59"/>
      <c r="J630" s="56"/>
      <c r="K630" s="56"/>
      <c r="L630" s="56"/>
      <c r="M630" s="1"/>
      <c r="N630" s="1"/>
      <c r="O630" s="1"/>
      <c r="P630" s="1"/>
      <c r="Q630" s="1"/>
      <c r="R630" s="1"/>
      <c r="S630" s="1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</row>
    <row r="631" spans="1:32" ht="58.5" customHeight="1" x14ac:dyDescent="0.25">
      <c r="A631" s="56"/>
      <c r="B631" s="56"/>
      <c r="C631" s="56"/>
      <c r="D631" s="56"/>
      <c r="E631" s="57"/>
      <c r="F631" s="58"/>
      <c r="G631" s="56"/>
      <c r="H631" s="56"/>
      <c r="I631" s="59"/>
      <c r="J631" s="56"/>
      <c r="K631" s="56"/>
      <c r="L631" s="56"/>
      <c r="M631" s="1"/>
      <c r="N631" s="1"/>
      <c r="O631" s="1"/>
      <c r="P631" s="1"/>
      <c r="Q631" s="1"/>
      <c r="R631" s="1"/>
      <c r="S631" s="1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</row>
    <row r="632" spans="1:32" ht="58.5" customHeight="1" x14ac:dyDescent="0.25">
      <c r="A632" s="56"/>
      <c r="B632" s="56"/>
      <c r="C632" s="56"/>
      <c r="D632" s="56"/>
      <c r="E632" s="57"/>
      <c r="F632" s="58"/>
      <c r="G632" s="56"/>
      <c r="H632" s="56"/>
      <c r="I632" s="59"/>
      <c r="J632" s="56"/>
      <c r="K632" s="56"/>
      <c r="L632" s="56"/>
      <c r="M632" s="1"/>
      <c r="N632" s="1"/>
      <c r="O632" s="1"/>
      <c r="P632" s="1"/>
      <c r="Q632" s="1"/>
      <c r="R632" s="1"/>
      <c r="S632" s="1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</row>
    <row r="633" spans="1:32" ht="58.5" customHeight="1" x14ac:dyDescent="0.25">
      <c r="A633" s="56"/>
      <c r="B633" s="56"/>
      <c r="C633" s="56"/>
      <c r="D633" s="56"/>
      <c r="E633" s="57"/>
      <c r="F633" s="58"/>
      <c r="G633" s="56"/>
      <c r="H633" s="56"/>
      <c r="I633" s="59"/>
      <c r="J633" s="56"/>
      <c r="K633" s="56"/>
      <c r="L633" s="56"/>
      <c r="M633" s="1"/>
      <c r="N633" s="1"/>
      <c r="O633" s="1"/>
      <c r="P633" s="1"/>
      <c r="Q633" s="1"/>
      <c r="R633" s="1"/>
      <c r="S633" s="1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</row>
    <row r="634" spans="1:32" ht="58.5" customHeight="1" x14ac:dyDescent="0.25">
      <c r="A634" s="56"/>
      <c r="B634" s="56"/>
      <c r="C634" s="56"/>
      <c r="D634" s="56"/>
      <c r="E634" s="57"/>
      <c r="F634" s="58"/>
      <c r="G634" s="56"/>
      <c r="H634" s="56"/>
      <c r="I634" s="59"/>
      <c r="J634" s="56"/>
      <c r="K634" s="56"/>
      <c r="L634" s="56"/>
      <c r="M634" s="1"/>
      <c r="N634" s="1"/>
      <c r="O634" s="1"/>
      <c r="P634" s="1"/>
      <c r="Q634" s="1"/>
      <c r="R634" s="1"/>
      <c r="S634" s="1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</row>
    <row r="635" spans="1:32" ht="58.5" customHeight="1" x14ac:dyDescent="0.25">
      <c r="A635" s="56"/>
      <c r="B635" s="56"/>
      <c r="C635" s="56"/>
      <c r="D635" s="56"/>
      <c r="E635" s="57"/>
      <c r="F635" s="58"/>
      <c r="G635" s="56"/>
      <c r="H635" s="56"/>
      <c r="I635" s="59"/>
      <c r="J635" s="56"/>
      <c r="K635" s="56"/>
      <c r="L635" s="56"/>
      <c r="M635" s="1"/>
      <c r="N635" s="1"/>
      <c r="O635" s="1"/>
      <c r="P635" s="1"/>
      <c r="Q635" s="1"/>
      <c r="R635" s="1"/>
      <c r="S635" s="1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</row>
    <row r="636" spans="1:32" ht="58.5" customHeight="1" x14ac:dyDescent="0.25">
      <c r="A636" s="56"/>
      <c r="B636" s="56"/>
      <c r="C636" s="56"/>
      <c r="D636" s="56"/>
      <c r="E636" s="57"/>
      <c r="F636" s="58"/>
      <c r="G636" s="56"/>
      <c r="H636" s="56"/>
      <c r="I636" s="59"/>
      <c r="J636" s="56"/>
      <c r="K636" s="56"/>
      <c r="L636" s="56"/>
      <c r="M636" s="1"/>
      <c r="N636" s="1"/>
      <c r="O636" s="1"/>
      <c r="P636" s="1"/>
      <c r="Q636" s="1"/>
      <c r="R636" s="1"/>
      <c r="S636" s="1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</row>
    <row r="637" spans="1:32" ht="58.5" customHeight="1" x14ac:dyDescent="0.25">
      <c r="A637" s="56"/>
      <c r="B637" s="56"/>
      <c r="C637" s="56"/>
      <c r="D637" s="56"/>
      <c r="E637" s="57"/>
      <c r="F637" s="58"/>
      <c r="G637" s="56"/>
      <c r="H637" s="56"/>
      <c r="I637" s="59"/>
      <c r="J637" s="56"/>
      <c r="K637" s="56"/>
      <c r="L637" s="56"/>
      <c r="M637" s="1"/>
      <c r="N637" s="1"/>
      <c r="O637" s="1"/>
      <c r="P637" s="1"/>
      <c r="Q637" s="1"/>
      <c r="R637" s="1"/>
      <c r="S637" s="1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</row>
    <row r="638" spans="1:32" ht="58.5" customHeight="1" x14ac:dyDescent="0.25">
      <c r="A638" s="56"/>
      <c r="B638" s="56"/>
      <c r="C638" s="56"/>
      <c r="D638" s="56"/>
      <c r="E638" s="57"/>
      <c r="F638" s="58"/>
      <c r="G638" s="56"/>
      <c r="H638" s="56"/>
      <c r="I638" s="59"/>
      <c r="J638" s="56"/>
      <c r="K638" s="56"/>
      <c r="L638" s="56"/>
      <c r="M638" s="1"/>
      <c r="N638" s="1"/>
      <c r="O638" s="1"/>
      <c r="P638" s="1"/>
      <c r="Q638" s="1"/>
      <c r="R638" s="1"/>
      <c r="S638" s="1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</row>
    <row r="639" spans="1:32" ht="58.5" customHeight="1" x14ac:dyDescent="0.25">
      <c r="A639" s="56"/>
      <c r="B639" s="56"/>
      <c r="C639" s="56"/>
      <c r="D639" s="56"/>
      <c r="E639" s="57"/>
      <c r="F639" s="58"/>
      <c r="G639" s="56"/>
      <c r="H639" s="56"/>
      <c r="I639" s="59"/>
      <c r="J639" s="56"/>
      <c r="K639" s="56"/>
      <c r="L639" s="56"/>
      <c r="M639" s="1"/>
      <c r="N639" s="1"/>
      <c r="O639" s="1"/>
      <c r="P639" s="1"/>
      <c r="Q639" s="1"/>
      <c r="R639" s="1"/>
      <c r="S639" s="1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</row>
    <row r="640" spans="1:32" ht="58.5" customHeight="1" x14ac:dyDescent="0.25">
      <c r="A640" s="56"/>
      <c r="B640" s="56"/>
      <c r="C640" s="56"/>
      <c r="D640" s="56"/>
      <c r="E640" s="57"/>
      <c r="F640" s="58"/>
      <c r="G640" s="56"/>
      <c r="H640" s="56"/>
      <c r="I640" s="59"/>
      <c r="J640" s="56"/>
      <c r="K640" s="56"/>
      <c r="L640" s="56"/>
      <c r="M640" s="1"/>
      <c r="N640" s="1"/>
      <c r="O640" s="1"/>
      <c r="P640" s="1"/>
      <c r="Q640" s="1"/>
      <c r="R640" s="1"/>
      <c r="S640" s="1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</row>
    <row r="641" spans="1:32" ht="58.5" customHeight="1" x14ac:dyDescent="0.25">
      <c r="A641" s="56"/>
      <c r="B641" s="56"/>
      <c r="C641" s="56"/>
      <c r="D641" s="56"/>
      <c r="E641" s="57"/>
      <c r="F641" s="58"/>
      <c r="G641" s="56"/>
      <c r="H641" s="56"/>
      <c r="I641" s="59"/>
      <c r="J641" s="56"/>
      <c r="K641" s="56"/>
      <c r="L641" s="56"/>
      <c r="M641" s="1"/>
      <c r="N641" s="1"/>
      <c r="O641" s="1"/>
      <c r="P641" s="1"/>
      <c r="Q641" s="1"/>
      <c r="R641" s="1"/>
      <c r="S641" s="1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</row>
    <row r="642" spans="1:32" ht="58.5" customHeight="1" x14ac:dyDescent="0.25">
      <c r="A642" s="56"/>
      <c r="B642" s="56"/>
      <c r="C642" s="56"/>
      <c r="D642" s="56"/>
      <c r="E642" s="57"/>
      <c r="F642" s="58"/>
      <c r="G642" s="56"/>
      <c r="H642" s="56"/>
      <c r="I642" s="59"/>
      <c r="J642" s="56"/>
      <c r="K642" s="56"/>
      <c r="L642" s="56"/>
      <c r="M642" s="1"/>
      <c r="N642" s="1"/>
      <c r="O642" s="1"/>
      <c r="P642" s="1"/>
      <c r="Q642" s="1"/>
      <c r="R642" s="1"/>
      <c r="S642" s="1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</row>
    <row r="643" spans="1:32" ht="58.5" customHeight="1" x14ac:dyDescent="0.25">
      <c r="A643" s="56"/>
      <c r="B643" s="56"/>
      <c r="C643" s="56"/>
      <c r="D643" s="56"/>
      <c r="E643" s="57"/>
      <c r="F643" s="58"/>
      <c r="G643" s="56"/>
      <c r="H643" s="56"/>
      <c r="I643" s="59"/>
      <c r="J643" s="56"/>
      <c r="K643" s="56"/>
      <c r="L643" s="56"/>
      <c r="M643" s="1"/>
      <c r="N643" s="1"/>
      <c r="O643" s="1"/>
      <c r="P643" s="1"/>
      <c r="Q643" s="1"/>
      <c r="R643" s="1"/>
      <c r="S643" s="1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</row>
    <row r="644" spans="1:32" ht="58.5" customHeight="1" x14ac:dyDescent="0.25">
      <c r="A644" s="56"/>
      <c r="B644" s="56"/>
      <c r="C644" s="56"/>
      <c r="D644" s="56"/>
      <c r="E644" s="57"/>
      <c r="F644" s="58"/>
      <c r="G644" s="56"/>
      <c r="H644" s="56"/>
      <c r="I644" s="59"/>
      <c r="J644" s="56"/>
      <c r="K644" s="56"/>
      <c r="L644" s="56"/>
      <c r="M644" s="1"/>
      <c r="N644" s="1"/>
      <c r="O644" s="1"/>
      <c r="P644" s="1"/>
      <c r="Q644" s="1"/>
      <c r="R644" s="1"/>
      <c r="S644" s="1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</row>
    <row r="645" spans="1:32" ht="58.5" customHeight="1" x14ac:dyDescent="0.25">
      <c r="A645" s="56"/>
      <c r="B645" s="56"/>
      <c r="C645" s="56"/>
      <c r="D645" s="56"/>
      <c r="E645" s="57"/>
      <c r="F645" s="58"/>
      <c r="G645" s="56"/>
      <c r="H645" s="56"/>
      <c r="I645" s="59"/>
      <c r="J645" s="56"/>
      <c r="K645" s="56"/>
      <c r="L645" s="56"/>
      <c r="M645" s="1"/>
      <c r="N645" s="1"/>
      <c r="O645" s="1"/>
      <c r="P645" s="1"/>
      <c r="Q645" s="1"/>
      <c r="R645" s="1"/>
      <c r="S645" s="1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</row>
    <row r="646" spans="1:32" ht="58.5" customHeight="1" x14ac:dyDescent="0.25">
      <c r="A646" s="56"/>
      <c r="B646" s="56"/>
      <c r="C646" s="56"/>
      <c r="D646" s="56"/>
      <c r="E646" s="57"/>
      <c r="F646" s="58"/>
      <c r="G646" s="56"/>
      <c r="H646" s="56"/>
      <c r="I646" s="59"/>
      <c r="J646" s="56"/>
      <c r="K646" s="56"/>
      <c r="L646" s="56"/>
      <c r="M646" s="1"/>
      <c r="N646" s="1"/>
      <c r="O646" s="1"/>
      <c r="P646" s="1"/>
      <c r="Q646" s="1"/>
      <c r="R646" s="1"/>
      <c r="S646" s="1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</row>
    <row r="647" spans="1:32" ht="58.5" customHeight="1" x14ac:dyDescent="0.25">
      <c r="A647" s="56"/>
      <c r="B647" s="56"/>
      <c r="C647" s="56"/>
      <c r="D647" s="56"/>
      <c r="E647" s="57"/>
      <c r="F647" s="58"/>
      <c r="G647" s="56"/>
      <c r="H647" s="56"/>
      <c r="I647" s="59"/>
      <c r="J647" s="56"/>
      <c r="K647" s="56"/>
      <c r="L647" s="56"/>
      <c r="M647" s="1"/>
      <c r="N647" s="1"/>
      <c r="O647" s="1"/>
      <c r="P647" s="1"/>
      <c r="Q647" s="1"/>
      <c r="R647" s="1"/>
      <c r="S647" s="1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</row>
    <row r="648" spans="1:32" ht="58.5" customHeight="1" x14ac:dyDescent="0.25">
      <c r="A648" s="56"/>
      <c r="B648" s="56"/>
      <c r="C648" s="56"/>
      <c r="D648" s="56"/>
      <c r="E648" s="57"/>
      <c r="F648" s="58"/>
      <c r="G648" s="56"/>
      <c r="H648" s="56"/>
      <c r="I648" s="59"/>
      <c r="J648" s="56"/>
      <c r="K648" s="56"/>
      <c r="L648" s="56"/>
      <c r="M648" s="1"/>
      <c r="N648" s="1"/>
      <c r="O648" s="1"/>
      <c r="P648" s="1"/>
      <c r="Q648" s="1"/>
      <c r="R648" s="1"/>
      <c r="S648" s="1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</row>
    <row r="649" spans="1:32" ht="58.5" customHeight="1" x14ac:dyDescent="0.25">
      <c r="A649" s="56"/>
      <c r="B649" s="56"/>
      <c r="C649" s="56"/>
      <c r="D649" s="56"/>
      <c r="E649" s="57"/>
      <c r="F649" s="58"/>
      <c r="G649" s="56"/>
      <c r="H649" s="56"/>
      <c r="I649" s="59"/>
      <c r="J649" s="56"/>
      <c r="K649" s="56"/>
      <c r="L649" s="56"/>
      <c r="M649" s="1"/>
      <c r="N649" s="1"/>
      <c r="O649" s="1"/>
      <c r="P649" s="1"/>
      <c r="Q649" s="1"/>
      <c r="R649" s="1"/>
      <c r="S649" s="1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</row>
    <row r="650" spans="1:32" ht="58.5" customHeight="1" x14ac:dyDescent="0.25">
      <c r="A650" s="56"/>
      <c r="B650" s="56"/>
      <c r="C650" s="56"/>
      <c r="D650" s="56"/>
      <c r="E650" s="57"/>
      <c r="F650" s="58"/>
      <c r="G650" s="56"/>
      <c r="H650" s="56"/>
      <c r="I650" s="59"/>
      <c r="J650" s="56"/>
      <c r="K650" s="56"/>
      <c r="L650" s="56"/>
      <c r="M650" s="1"/>
      <c r="N650" s="1"/>
      <c r="O650" s="1"/>
      <c r="P650" s="1"/>
      <c r="Q650" s="1"/>
      <c r="R650" s="1"/>
      <c r="S650" s="1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</row>
    <row r="651" spans="1:32" ht="58.5" customHeight="1" x14ac:dyDescent="0.25">
      <c r="A651" s="56"/>
      <c r="B651" s="56"/>
      <c r="C651" s="56"/>
      <c r="D651" s="56"/>
      <c r="E651" s="57"/>
      <c r="F651" s="58"/>
      <c r="G651" s="56"/>
      <c r="H651" s="56"/>
      <c r="I651" s="59"/>
      <c r="J651" s="56"/>
      <c r="K651" s="56"/>
      <c r="L651" s="56"/>
      <c r="M651" s="1"/>
      <c r="N651" s="1"/>
      <c r="O651" s="1"/>
      <c r="P651" s="1"/>
      <c r="Q651" s="1"/>
      <c r="R651" s="1"/>
      <c r="S651" s="1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</row>
    <row r="652" spans="1:32" ht="58.5" customHeight="1" x14ac:dyDescent="0.25">
      <c r="A652" s="56"/>
      <c r="B652" s="56"/>
      <c r="C652" s="56"/>
      <c r="D652" s="56"/>
      <c r="E652" s="57"/>
      <c r="F652" s="58"/>
      <c r="G652" s="56"/>
      <c r="H652" s="56"/>
      <c r="I652" s="59"/>
      <c r="J652" s="56"/>
      <c r="K652" s="56"/>
      <c r="L652" s="56"/>
      <c r="M652" s="1"/>
      <c r="N652" s="1"/>
      <c r="O652" s="1"/>
      <c r="P652" s="1"/>
      <c r="Q652" s="1"/>
      <c r="R652" s="1"/>
      <c r="S652" s="1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</row>
    <row r="653" spans="1:32" ht="58.5" customHeight="1" x14ac:dyDescent="0.25">
      <c r="A653" s="56"/>
      <c r="B653" s="56"/>
      <c r="C653" s="56"/>
      <c r="D653" s="56"/>
      <c r="E653" s="57"/>
      <c r="F653" s="58"/>
      <c r="G653" s="56"/>
      <c r="H653" s="56"/>
      <c r="I653" s="59"/>
      <c r="J653" s="56"/>
      <c r="K653" s="56"/>
      <c r="L653" s="56"/>
      <c r="M653" s="1"/>
      <c r="N653" s="1"/>
      <c r="O653" s="1"/>
      <c r="P653" s="1"/>
      <c r="Q653" s="1"/>
      <c r="R653" s="1"/>
      <c r="S653" s="1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</row>
    <row r="654" spans="1:32" ht="58.5" customHeight="1" x14ac:dyDescent="0.25">
      <c r="A654" s="56"/>
      <c r="B654" s="56"/>
      <c r="C654" s="56"/>
      <c r="D654" s="56"/>
      <c r="E654" s="57"/>
      <c r="F654" s="58"/>
      <c r="G654" s="56"/>
      <c r="H654" s="56"/>
      <c r="I654" s="59"/>
      <c r="J654" s="56"/>
      <c r="K654" s="56"/>
      <c r="L654" s="56"/>
      <c r="M654" s="1"/>
      <c r="N654" s="1"/>
      <c r="O654" s="1"/>
      <c r="P654" s="1"/>
      <c r="Q654" s="1"/>
      <c r="R654" s="1"/>
      <c r="S654" s="1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</row>
    <row r="655" spans="1:32" ht="58.5" customHeight="1" x14ac:dyDescent="0.25">
      <c r="A655" s="56"/>
      <c r="B655" s="56"/>
      <c r="C655" s="56"/>
      <c r="D655" s="56"/>
      <c r="E655" s="57"/>
      <c r="F655" s="58"/>
      <c r="G655" s="56"/>
      <c r="H655" s="56"/>
      <c r="I655" s="59"/>
      <c r="J655" s="56"/>
      <c r="K655" s="56"/>
      <c r="L655" s="56"/>
      <c r="M655" s="1"/>
      <c r="N655" s="1"/>
      <c r="O655" s="1"/>
      <c r="P655" s="1"/>
      <c r="Q655" s="1"/>
      <c r="R655" s="1"/>
      <c r="S655" s="1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</row>
    <row r="656" spans="1:32" ht="58.5" customHeight="1" x14ac:dyDescent="0.25">
      <c r="A656" s="56"/>
      <c r="B656" s="56"/>
      <c r="C656" s="56"/>
      <c r="D656" s="56"/>
      <c r="E656" s="57"/>
      <c r="F656" s="58"/>
      <c r="G656" s="56"/>
      <c r="H656" s="56"/>
      <c r="I656" s="59"/>
      <c r="J656" s="56"/>
      <c r="K656" s="56"/>
      <c r="L656" s="56"/>
      <c r="M656" s="1"/>
      <c r="N656" s="1"/>
      <c r="O656" s="1"/>
      <c r="P656" s="1"/>
      <c r="Q656" s="1"/>
      <c r="R656" s="1"/>
      <c r="S656" s="1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</row>
    <row r="657" spans="1:32" ht="58.5" customHeight="1" x14ac:dyDescent="0.25">
      <c r="A657" s="56"/>
      <c r="B657" s="56"/>
      <c r="C657" s="56"/>
      <c r="D657" s="56"/>
      <c r="E657" s="57"/>
      <c r="F657" s="58"/>
      <c r="G657" s="56"/>
      <c r="H657" s="56"/>
      <c r="I657" s="59"/>
      <c r="J657" s="56"/>
      <c r="K657" s="56"/>
      <c r="L657" s="56"/>
      <c r="M657" s="1"/>
      <c r="N657" s="1"/>
      <c r="O657" s="1"/>
      <c r="P657" s="1"/>
      <c r="Q657" s="1"/>
      <c r="R657" s="1"/>
      <c r="S657" s="1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</row>
    <row r="658" spans="1:32" ht="58.5" customHeight="1" x14ac:dyDescent="0.25">
      <c r="A658" s="56"/>
      <c r="B658" s="56"/>
      <c r="C658" s="56"/>
      <c r="D658" s="56"/>
      <c r="E658" s="57"/>
      <c r="F658" s="58"/>
      <c r="G658" s="56"/>
      <c r="H658" s="56"/>
      <c r="I658" s="59"/>
      <c r="J658" s="56"/>
      <c r="K658" s="56"/>
      <c r="L658" s="56"/>
      <c r="M658" s="1"/>
      <c r="N658" s="1"/>
      <c r="O658" s="1"/>
      <c r="P658" s="1"/>
      <c r="Q658" s="1"/>
      <c r="R658" s="1"/>
      <c r="S658" s="1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</row>
    <row r="659" spans="1:32" ht="58.5" customHeight="1" x14ac:dyDescent="0.25">
      <c r="A659" s="56"/>
      <c r="B659" s="56"/>
      <c r="C659" s="56"/>
      <c r="D659" s="56"/>
      <c r="E659" s="57"/>
      <c r="F659" s="58"/>
      <c r="G659" s="56"/>
      <c r="H659" s="56"/>
      <c r="I659" s="59"/>
      <c r="J659" s="56"/>
      <c r="K659" s="56"/>
      <c r="L659" s="56"/>
      <c r="M659" s="1"/>
      <c r="N659" s="1"/>
      <c r="O659" s="1"/>
      <c r="P659" s="1"/>
      <c r="Q659" s="1"/>
      <c r="R659" s="1"/>
      <c r="S659" s="1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</row>
    <row r="660" spans="1:32" ht="58.5" customHeight="1" x14ac:dyDescent="0.25">
      <c r="A660" s="56"/>
      <c r="B660" s="56"/>
      <c r="C660" s="56"/>
      <c r="D660" s="56"/>
      <c r="E660" s="57"/>
      <c r="F660" s="58"/>
      <c r="G660" s="56"/>
      <c r="H660" s="56"/>
      <c r="I660" s="59"/>
      <c r="J660" s="56"/>
      <c r="K660" s="56"/>
      <c r="L660" s="56"/>
      <c r="M660" s="1"/>
      <c r="N660" s="1"/>
      <c r="O660" s="1"/>
      <c r="P660" s="1"/>
      <c r="Q660" s="1"/>
      <c r="R660" s="1"/>
      <c r="S660" s="1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</row>
    <row r="661" spans="1:32" ht="58.5" customHeight="1" x14ac:dyDescent="0.25">
      <c r="A661" s="56"/>
      <c r="B661" s="56"/>
      <c r="C661" s="56"/>
      <c r="D661" s="56"/>
      <c r="E661" s="57"/>
      <c r="F661" s="58"/>
      <c r="G661" s="56"/>
      <c r="H661" s="56"/>
      <c r="I661" s="59"/>
      <c r="J661" s="56"/>
      <c r="K661" s="56"/>
      <c r="L661" s="56"/>
      <c r="M661" s="1"/>
      <c r="N661" s="1"/>
      <c r="O661" s="1"/>
      <c r="P661" s="1"/>
      <c r="Q661" s="1"/>
      <c r="R661" s="1"/>
      <c r="S661" s="1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</row>
    <row r="662" spans="1:32" ht="58.5" customHeight="1" x14ac:dyDescent="0.25">
      <c r="A662" s="56"/>
      <c r="B662" s="56"/>
      <c r="C662" s="56"/>
      <c r="D662" s="56"/>
      <c r="E662" s="57"/>
      <c r="F662" s="58"/>
      <c r="G662" s="56"/>
      <c r="H662" s="56"/>
      <c r="I662" s="59"/>
      <c r="J662" s="56"/>
      <c r="K662" s="56"/>
      <c r="L662" s="56"/>
      <c r="M662" s="1"/>
      <c r="N662" s="1"/>
      <c r="O662" s="1"/>
      <c r="P662" s="1"/>
      <c r="Q662" s="1"/>
      <c r="R662" s="1"/>
      <c r="S662" s="1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</row>
    <row r="663" spans="1:32" ht="58.5" customHeight="1" x14ac:dyDescent="0.25">
      <c r="A663" s="56"/>
      <c r="B663" s="56"/>
      <c r="C663" s="56"/>
      <c r="D663" s="56"/>
      <c r="E663" s="57"/>
      <c r="F663" s="58"/>
      <c r="G663" s="56"/>
      <c r="H663" s="56"/>
      <c r="I663" s="59"/>
      <c r="J663" s="56"/>
      <c r="K663" s="56"/>
      <c r="L663" s="56"/>
      <c r="M663" s="1"/>
      <c r="N663" s="1"/>
      <c r="O663" s="1"/>
      <c r="P663" s="1"/>
      <c r="Q663" s="1"/>
      <c r="R663" s="1"/>
      <c r="S663" s="1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</row>
    <row r="664" spans="1:32" ht="58.5" customHeight="1" x14ac:dyDescent="0.25">
      <c r="A664" s="56"/>
      <c r="B664" s="56"/>
      <c r="C664" s="56"/>
      <c r="D664" s="56"/>
      <c r="E664" s="57"/>
      <c r="F664" s="58"/>
      <c r="G664" s="56"/>
      <c r="H664" s="56"/>
      <c r="I664" s="59"/>
      <c r="J664" s="56"/>
      <c r="K664" s="56"/>
      <c r="L664" s="56"/>
      <c r="M664" s="1"/>
      <c r="N664" s="1"/>
      <c r="O664" s="1"/>
      <c r="P664" s="1"/>
      <c r="Q664" s="1"/>
      <c r="R664" s="1"/>
      <c r="S664" s="1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</row>
    <row r="665" spans="1:32" ht="58.5" customHeight="1" x14ac:dyDescent="0.25">
      <c r="A665" s="56"/>
      <c r="B665" s="56"/>
      <c r="C665" s="56"/>
      <c r="D665" s="56"/>
      <c r="E665" s="57"/>
      <c r="F665" s="58"/>
      <c r="G665" s="56"/>
      <c r="H665" s="56"/>
      <c r="I665" s="59"/>
      <c r="J665" s="56"/>
      <c r="K665" s="56"/>
      <c r="L665" s="56"/>
      <c r="M665" s="1"/>
      <c r="N665" s="1"/>
      <c r="O665" s="1"/>
      <c r="P665" s="1"/>
      <c r="Q665" s="1"/>
      <c r="R665" s="1"/>
      <c r="S665" s="1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</row>
    <row r="666" spans="1:32" ht="58.5" customHeight="1" x14ac:dyDescent="0.25">
      <c r="A666" s="56"/>
      <c r="B666" s="56"/>
      <c r="C666" s="56"/>
      <c r="D666" s="56"/>
      <c r="E666" s="57"/>
      <c r="F666" s="58"/>
      <c r="G666" s="56"/>
      <c r="H666" s="56"/>
      <c r="I666" s="59"/>
      <c r="J666" s="56"/>
      <c r="K666" s="56"/>
      <c r="L666" s="56"/>
      <c r="M666" s="1"/>
      <c r="N666" s="1"/>
      <c r="O666" s="1"/>
      <c r="P666" s="1"/>
      <c r="Q666" s="1"/>
      <c r="R666" s="1"/>
      <c r="S666" s="1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</row>
    <row r="667" spans="1:32" ht="58.5" customHeight="1" x14ac:dyDescent="0.25">
      <c r="A667" s="56"/>
      <c r="B667" s="56"/>
      <c r="C667" s="56"/>
      <c r="D667" s="56"/>
      <c r="E667" s="57"/>
      <c r="F667" s="58"/>
      <c r="G667" s="56"/>
      <c r="H667" s="56"/>
      <c r="I667" s="59"/>
      <c r="J667" s="56"/>
      <c r="K667" s="56"/>
      <c r="L667" s="56"/>
      <c r="M667" s="1"/>
      <c r="N667" s="1"/>
      <c r="O667" s="1"/>
      <c r="P667" s="1"/>
      <c r="Q667" s="1"/>
      <c r="R667" s="1"/>
      <c r="S667" s="1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</row>
    <row r="668" spans="1:32" ht="58.5" customHeight="1" x14ac:dyDescent="0.25">
      <c r="A668" s="56"/>
      <c r="B668" s="56"/>
      <c r="C668" s="56"/>
      <c r="D668" s="56"/>
      <c r="E668" s="57"/>
      <c r="F668" s="58"/>
      <c r="G668" s="56"/>
      <c r="H668" s="56"/>
      <c r="I668" s="59"/>
      <c r="J668" s="56"/>
      <c r="K668" s="56"/>
      <c r="L668" s="56"/>
      <c r="M668" s="1"/>
      <c r="N668" s="1"/>
      <c r="O668" s="1"/>
      <c r="P668" s="1"/>
      <c r="Q668" s="1"/>
      <c r="R668" s="1"/>
      <c r="S668" s="1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</row>
    <row r="669" spans="1:32" ht="58.5" customHeight="1" x14ac:dyDescent="0.25">
      <c r="A669" s="56"/>
      <c r="B669" s="56"/>
      <c r="C669" s="56"/>
      <c r="D669" s="56"/>
      <c r="E669" s="57"/>
      <c r="F669" s="58"/>
      <c r="G669" s="56"/>
      <c r="H669" s="56"/>
      <c r="I669" s="59"/>
      <c r="J669" s="56"/>
      <c r="K669" s="56"/>
      <c r="L669" s="56"/>
      <c r="M669" s="1"/>
      <c r="N669" s="1"/>
      <c r="O669" s="1"/>
      <c r="P669" s="1"/>
      <c r="Q669" s="1"/>
      <c r="R669" s="1"/>
      <c r="S669" s="1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</row>
    <row r="670" spans="1:32" ht="58.5" customHeight="1" x14ac:dyDescent="0.25">
      <c r="A670" s="56"/>
      <c r="B670" s="56"/>
      <c r="C670" s="56"/>
      <c r="D670" s="56"/>
      <c r="E670" s="57"/>
      <c r="F670" s="58"/>
      <c r="G670" s="56"/>
      <c r="H670" s="56"/>
      <c r="I670" s="59"/>
      <c r="J670" s="56"/>
      <c r="K670" s="56"/>
      <c r="L670" s="56"/>
      <c r="M670" s="1"/>
      <c r="N670" s="1"/>
      <c r="O670" s="1"/>
      <c r="P670" s="1"/>
      <c r="Q670" s="1"/>
      <c r="R670" s="1"/>
      <c r="S670" s="1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</row>
    <row r="671" spans="1:32" ht="58.5" customHeight="1" x14ac:dyDescent="0.25">
      <c r="A671" s="56"/>
      <c r="B671" s="56"/>
      <c r="C671" s="56"/>
      <c r="D671" s="56"/>
      <c r="E671" s="57"/>
      <c r="F671" s="58"/>
      <c r="G671" s="56"/>
      <c r="H671" s="56"/>
      <c r="I671" s="59"/>
      <c r="J671" s="56"/>
      <c r="K671" s="56"/>
      <c r="L671" s="56"/>
      <c r="M671" s="1"/>
      <c r="N671" s="1"/>
      <c r="O671" s="1"/>
      <c r="P671" s="1"/>
      <c r="Q671" s="1"/>
      <c r="R671" s="1"/>
      <c r="S671" s="1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</row>
    <row r="672" spans="1:32" ht="58.5" customHeight="1" x14ac:dyDescent="0.25">
      <c r="A672" s="56"/>
      <c r="B672" s="56"/>
      <c r="C672" s="56"/>
      <c r="D672" s="56"/>
      <c r="E672" s="57"/>
      <c r="F672" s="58"/>
      <c r="G672" s="56"/>
      <c r="H672" s="56"/>
      <c r="I672" s="59"/>
      <c r="J672" s="56"/>
      <c r="K672" s="56"/>
      <c r="L672" s="56"/>
      <c r="M672" s="1"/>
      <c r="N672" s="1"/>
      <c r="O672" s="1"/>
      <c r="P672" s="1"/>
      <c r="Q672" s="1"/>
      <c r="R672" s="1"/>
      <c r="S672" s="1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</row>
    <row r="673" spans="1:32" ht="58.5" customHeight="1" x14ac:dyDescent="0.25">
      <c r="A673" s="56"/>
      <c r="B673" s="56"/>
      <c r="C673" s="56"/>
      <c r="D673" s="56"/>
      <c r="E673" s="57"/>
      <c r="F673" s="58"/>
      <c r="G673" s="56"/>
      <c r="H673" s="56"/>
      <c r="I673" s="59"/>
      <c r="J673" s="56"/>
      <c r="K673" s="56"/>
      <c r="L673" s="56"/>
      <c r="M673" s="1"/>
      <c r="N673" s="1"/>
      <c r="O673" s="1"/>
      <c r="P673" s="1"/>
      <c r="Q673" s="1"/>
      <c r="R673" s="1"/>
      <c r="S673" s="1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</row>
    <row r="674" spans="1:32" ht="58.5" customHeight="1" x14ac:dyDescent="0.25">
      <c r="A674" s="56"/>
      <c r="B674" s="56"/>
      <c r="C674" s="56"/>
      <c r="D674" s="56"/>
      <c r="E674" s="57"/>
      <c r="F674" s="58"/>
      <c r="G674" s="56"/>
      <c r="H674" s="56"/>
      <c r="I674" s="59"/>
      <c r="J674" s="56"/>
      <c r="K674" s="56"/>
      <c r="L674" s="56"/>
      <c r="M674" s="1"/>
      <c r="N674" s="1"/>
      <c r="O674" s="1"/>
      <c r="P674" s="1"/>
      <c r="Q674" s="1"/>
      <c r="R674" s="1"/>
      <c r="S674" s="1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</row>
    <row r="675" spans="1:32" ht="58.5" customHeight="1" x14ac:dyDescent="0.25">
      <c r="A675" s="56"/>
      <c r="B675" s="56"/>
      <c r="C675" s="56"/>
      <c r="D675" s="56"/>
      <c r="E675" s="57"/>
      <c r="F675" s="58"/>
      <c r="G675" s="56"/>
      <c r="H675" s="56"/>
      <c r="I675" s="59"/>
      <c r="J675" s="56"/>
      <c r="K675" s="56"/>
      <c r="L675" s="56"/>
      <c r="M675" s="1"/>
      <c r="N675" s="1"/>
      <c r="O675" s="1"/>
      <c r="P675" s="1"/>
      <c r="Q675" s="1"/>
      <c r="R675" s="1"/>
      <c r="S675" s="1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</row>
    <row r="676" spans="1:32" ht="58.5" customHeight="1" x14ac:dyDescent="0.25">
      <c r="A676" s="56"/>
      <c r="B676" s="56"/>
      <c r="C676" s="56"/>
      <c r="D676" s="56"/>
      <c r="E676" s="57"/>
      <c r="F676" s="58"/>
      <c r="G676" s="56"/>
      <c r="H676" s="56"/>
      <c r="I676" s="59"/>
      <c r="J676" s="56"/>
      <c r="K676" s="56"/>
      <c r="L676" s="56"/>
      <c r="M676" s="1"/>
      <c r="N676" s="1"/>
      <c r="O676" s="1"/>
      <c r="P676" s="1"/>
      <c r="Q676" s="1"/>
      <c r="R676" s="1"/>
      <c r="S676" s="1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</row>
    <row r="677" spans="1:32" ht="58.5" customHeight="1" x14ac:dyDescent="0.25">
      <c r="A677" s="56"/>
      <c r="B677" s="56"/>
      <c r="C677" s="56"/>
      <c r="D677" s="56"/>
      <c r="E677" s="57"/>
      <c r="F677" s="58"/>
      <c r="G677" s="56"/>
      <c r="H677" s="56"/>
      <c r="I677" s="59"/>
      <c r="J677" s="56"/>
      <c r="K677" s="56"/>
      <c r="L677" s="56"/>
      <c r="M677" s="1"/>
      <c r="N677" s="1"/>
      <c r="O677" s="1"/>
      <c r="P677" s="1"/>
      <c r="Q677" s="1"/>
      <c r="R677" s="1"/>
      <c r="S677" s="1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</row>
    <row r="678" spans="1:32" ht="58.5" customHeight="1" x14ac:dyDescent="0.25">
      <c r="A678" s="56"/>
      <c r="B678" s="56"/>
      <c r="C678" s="56"/>
      <c r="D678" s="56"/>
      <c r="E678" s="57"/>
      <c r="F678" s="58"/>
      <c r="G678" s="56"/>
      <c r="H678" s="56"/>
      <c r="I678" s="59"/>
      <c r="J678" s="56"/>
      <c r="K678" s="56"/>
      <c r="L678" s="56"/>
      <c r="M678" s="1"/>
      <c r="N678" s="1"/>
      <c r="O678" s="1"/>
      <c r="P678" s="1"/>
      <c r="Q678" s="1"/>
      <c r="R678" s="1"/>
      <c r="S678" s="1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</row>
    <row r="679" spans="1:32" ht="58.5" customHeight="1" x14ac:dyDescent="0.25">
      <c r="A679" s="56"/>
      <c r="B679" s="56"/>
      <c r="C679" s="56"/>
      <c r="D679" s="56"/>
      <c r="E679" s="57"/>
      <c r="F679" s="58"/>
      <c r="G679" s="56"/>
      <c r="H679" s="56"/>
      <c r="I679" s="59"/>
      <c r="J679" s="56"/>
      <c r="K679" s="56"/>
      <c r="L679" s="56"/>
      <c r="M679" s="1"/>
      <c r="N679" s="1"/>
      <c r="O679" s="1"/>
      <c r="P679" s="1"/>
      <c r="Q679" s="1"/>
      <c r="R679" s="1"/>
      <c r="S679" s="1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</row>
    <row r="680" spans="1:32" ht="58.5" customHeight="1" x14ac:dyDescent="0.25">
      <c r="A680" s="56"/>
      <c r="B680" s="56"/>
      <c r="C680" s="56"/>
      <c r="D680" s="56"/>
      <c r="E680" s="57"/>
      <c r="F680" s="58"/>
      <c r="G680" s="56"/>
      <c r="H680" s="56"/>
      <c r="I680" s="59"/>
      <c r="J680" s="56"/>
      <c r="K680" s="56"/>
      <c r="L680" s="56"/>
      <c r="M680" s="1"/>
      <c r="N680" s="1"/>
      <c r="O680" s="1"/>
      <c r="P680" s="1"/>
      <c r="Q680" s="1"/>
      <c r="R680" s="1"/>
      <c r="S680" s="1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</row>
    <row r="681" spans="1:32" ht="58.5" customHeight="1" x14ac:dyDescent="0.25">
      <c r="A681" s="56"/>
      <c r="B681" s="56"/>
      <c r="C681" s="56"/>
      <c r="D681" s="56"/>
      <c r="E681" s="57"/>
      <c r="F681" s="58"/>
      <c r="G681" s="56"/>
      <c r="H681" s="56"/>
      <c r="I681" s="59"/>
      <c r="J681" s="56"/>
      <c r="K681" s="56"/>
      <c r="L681" s="56"/>
      <c r="M681" s="1"/>
      <c r="N681" s="1"/>
      <c r="O681" s="1"/>
      <c r="P681" s="1"/>
      <c r="Q681" s="1"/>
      <c r="R681" s="1"/>
      <c r="S681" s="1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</row>
    <row r="682" spans="1:32" ht="58.5" customHeight="1" x14ac:dyDescent="0.25">
      <c r="A682" s="56"/>
      <c r="B682" s="56"/>
      <c r="C682" s="56"/>
      <c r="D682" s="56"/>
      <c r="E682" s="57"/>
      <c r="F682" s="58"/>
      <c r="G682" s="56"/>
      <c r="H682" s="56"/>
      <c r="I682" s="59"/>
      <c r="J682" s="56"/>
      <c r="K682" s="56"/>
      <c r="L682" s="56"/>
      <c r="M682" s="1"/>
      <c r="N682" s="1"/>
      <c r="O682" s="1"/>
      <c r="P682" s="1"/>
      <c r="Q682" s="1"/>
      <c r="R682" s="1"/>
      <c r="S682" s="1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</row>
    <row r="683" spans="1:32" ht="58.5" customHeight="1" x14ac:dyDescent="0.25">
      <c r="A683" s="56"/>
      <c r="B683" s="56"/>
      <c r="C683" s="56"/>
      <c r="D683" s="56"/>
      <c r="E683" s="57"/>
      <c r="F683" s="58"/>
      <c r="G683" s="56"/>
      <c r="H683" s="56"/>
      <c r="I683" s="59"/>
      <c r="J683" s="56"/>
      <c r="K683" s="56"/>
      <c r="L683" s="56"/>
      <c r="M683" s="1"/>
      <c r="N683" s="1"/>
      <c r="O683" s="1"/>
      <c r="P683" s="1"/>
      <c r="Q683" s="1"/>
      <c r="R683" s="1"/>
      <c r="S683" s="1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</row>
    <row r="684" spans="1:32" ht="58.5" customHeight="1" x14ac:dyDescent="0.25">
      <c r="A684" s="56"/>
      <c r="B684" s="56"/>
      <c r="C684" s="56"/>
      <c r="D684" s="56"/>
      <c r="E684" s="57"/>
      <c r="F684" s="58"/>
      <c r="G684" s="56"/>
      <c r="H684" s="56"/>
      <c r="I684" s="59"/>
      <c r="J684" s="56"/>
      <c r="K684" s="56"/>
      <c r="L684" s="56"/>
      <c r="M684" s="1"/>
      <c r="N684" s="1"/>
      <c r="O684" s="1"/>
      <c r="P684" s="1"/>
      <c r="Q684" s="1"/>
      <c r="R684" s="1"/>
      <c r="S684" s="1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</row>
    <row r="685" spans="1:32" ht="58.5" customHeight="1" x14ac:dyDescent="0.25">
      <c r="A685" s="56"/>
      <c r="B685" s="56"/>
      <c r="C685" s="56"/>
      <c r="D685" s="56"/>
      <c r="E685" s="57"/>
      <c r="F685" s="58"/>
      <c r="G685" s="56"/>
      <c r="H685" s="56"/>
      <c r="I685" s="59"/>
      <c r="J685" s="56"/>
      <c r="K685" s="56"/>
      <c r="L685" s="56"/>
      <c r="M685" s="1"/>
      <c r="N685" s="1"/>
      <c r="O685" s="1"/>
      <c r="P685" s="1"/>
      <c r="Q685" s="1"/>
      <c r="R685" s="1"/>
      <c r="S685" s="1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</row>
    <row r="686" spans="1:32" ht="58.5" customHeight="1" x14ac:dyDescent="0.25">
      <c r="A686" s="56"/>
      <c r="B686" s="56"/>
      <c r="C686" s="56"/>
      <c r="D686" s="56"/>
      <c r="E686" s="57"/>
      <c r="F686" s="58"/>
      <c r="G686" s="56"/>
      <c r="H686" s="56"/>
      <c r="I686" s="59"/>
      <c r="J686" s="56"/>
      <c r="K686" s="56"/>
      <c r="L686" s="56"/>
      <c r="M686" s="1"/>
      <c r="N686" s="1"/>
      <c r="O686" s="1"/>
      <c r="P686" s="1"/>
      <c r="Q686" s="1"/>
      <c r="R686" s="1"/>
      <c r="S686" s="1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</row>
    <row r="687" spans="1:32" ht="58.5" customHeight="1" x14ac:dyDescent="0.25">
      <c r="A687" s="56"/>
      <c r="B687" s="56"/>
      <c r="C687" s="56"/>
      <c r="D687" s="56"/>
      <c r="E687" s="57"/>
      <c r="F687" s="58"/>
      <c r="G687" s="56"/>
      <c r="H687" s="56"/>
      <c r="I687" s="59"/>
      <c r="J687" s="56"/>
      <c r="K687" s="56"/>
      <c r="L687" s="56"/>
      <c r="M687" s="1"/>
      <c r="N687" s="1"/>
      <c r="O687" s="1"/>
      <c r="P687" s="1"/>
      <c r="Q687" s="1"/>
      <c r="R687" s="1"/>
      <c r="S687" s="1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</row>
    <row r="688" spans="1:32" ht="58.5" customHeight="1" x14ac:dyDescent="0.25">
      <c r="A688" s="56"/>
      <c r="B688" s="56"/>
      <c r="C688" s="56"/>
      <c r="D688" s="56"/>
      <c r="E688" s="57"/>
      <c r="F688" s="58"/>
      <c r="G688" s="56"/>
      <c r="H688" s="56"/>
      <c r="I688" s="59"/>
      <c r="J688" s="56"/>
      <c r="K688" s="56"/>
      <c r="L688" s="56"/>
      <c r="M688" s="1"/>
      <c r="N688" s="1"/>
      <c r="O688" s="1"/>
      <c r="P688" s="1"/>
      <c r="Q688" s="1"/>
      <c r="R688" s="1"/>
      <c r="S688" s="1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</row>
    <row r="689" spans="1:32" ht="58.5" customHeight="1" x14ac:dyDescent="0.25">
      <c r="A689" s="56"/>
      <c r="B689" s="56"/>
      <c r="C689" s="56"/>
      <c r="D689" s="56"/>
      <c r="E689" s="57"/>
      <c r="F689" s="58"/>
      <c r="G689" s="56"/>
      <c r="H689" s="56"/>
      <c r="I689" s="59"/>
      <c r="J689" s="56"/>
      <c r="K689" s="56"/>
      <c r="L689" s="56"/>
      <c r="M689" s="1"/>
      <c r="N689" s="1"/>
      <c r="O689" s="1"/>
      <c r="P689" s="1"/>
      <c r="Q689" s="1"/>
      <c r="R689" s="1"/>
      <c r="S689" s="1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</row>
    <row r="690" spans="1:32" ht="58.5" customHeight="1" x14ac:dyDescent="0.25">
      <c r="A690" s="56"/>
      <c r="B690" s="56"/>
      <c r="C690" s="56"/>
      <c r="D690" s="56"/>
      <c r="E690" s="57"/>
      <c r="F690" s="58"/>
      <c r="G690" s="56"/>
      <c r="H690" s="56"/>
      <c r="I690" s="59"/>
      <c r="J690" s="56"/>
      <c r="K690" s="56"/>
      <c r="L690" s="56"/>
      <c r="M690" s="1"/>
      <c r="N690" s="1"/>
      <c r="O690" s="1"/>
      <c r="P690" s="1"/>
      <c r="Q690" s="1"/>
      <c r="R690" s="1"/>
      <c r="S690" s="1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</row>
    <row r="691" spans="1:32" ht="58.5" customHeight="1" x14ac:dyDescent="0.25">
      <c r="A691" s="56"/>
      <c r="B691" s="56"/>
      <c r="C691" s="56"/>
      <c r="D691" s="56"/>
      <c r="E691" s="57"/>
      <c r="F691" s="58"/>
      <c r="G691" s="56"/>
      <c r="H691" s="56"/>
      <c r="I691" s="59"/>
      <c r="J691" s="56"/>
      <c r="K691" s="56"/>
      <c r="L691" s="56"/>
      <c r="M691" s="1"/>
      <c r="N691" s="1"/>
      <c r="O691" s="1"/>
      <c r="P691" s="1"/>
      <c r="Q691" s="1"/>
      <c r="R691" s="1"/>
      <c r="S691" s="1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</row>
    <row r="692" spans="1:32" ht="58.5" customHeight="1" x14ac:dyDescent="0.25">
      <c r="A692" s="56"/>
      <c r="B692" s="56"/>
      <c r="C692" s="56"/>
      <c r="D692" s="56"/>
      <c r="E692" s="57"/>
      <c r="F692" s="58"/>
      <c r="G692" s="56"/>
      <c r="H692" s="56"/>
      <c r="I692" s="59"/>
      <c r="J692" s="56"/>
      <c r="K692" s="56"/>
      <c r="L692" s="56"/>
      <c r="M692" s="1"/>
      <c r="N692" s="1"/>
      <c r="O692" s="1"/>
      <c r="P692" s="1"/>
      <c r="Q692" s="1"/>
      <c r="R692" s="1"/>
      <c r="S692" s="1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</row>
    <row r="693" spans="1:32" ht="58.5" customHeight="1" x14ac:dyDescent="0.25">
      <c r="A693" s="56"/>
      <c r="B693" s="56"/>
      <c r="C693" s="56"/>
      <c r="D693" s="56"/>
      <c r="E693" s="57"/>
      <c r="F693" s="58"/>
      <c r="G693" s="56"/>
      <c r="H693" s="56"/>
      <c r="I693" s="59"/>
      <c r="J693" s="56"/>
      <c r="K693" s="56"/>
      <c r="L693" s="56"/>
      <c r="M693" s="1"/>
      <c r="N693" s="1"/>
      <c r="O693" s="1"/>
      <c r="P693" s="1"/>
      <c r="Q693" s="1"/>
      <c r="R693" s="1"/>
      <c r="S693" s="1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</row>
    <row r="694" spans="1:32" ht="58.5" customHeight="1" x14ac:dyDescent="0.25">
      <c r="A694" s="56"/>
      <c r="B694" s="56"/>
      <c r="C694" s="56"/>
      <c r="D694" s="56"/>
      <c r="E694" s="57"/>
      <c r="F694" s="58"/>
      <c r="G694" s="56"/>
      <c r="H694" s="56"/>
      <c r="I694" s="59"/>
      <c r="J694" s="56"/>
      <c r="K694" s="56"/>
      <c r="L694" s="56"/>
      <c r="M694" s="1"/>
      <c r="N694" s="1"/>
      <c r="O694" s="1"/>
      <c r="P694" s="1"/>
      <c r="Q694" s="1"/>
      <c r="R694" s="1"/>
      <c r="S694" s="1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</row>
    <row r="695" spans="1:32" ht="58.5" customHeight="1" x14ac:dyDescent="0.25">
      <c r="A695" s="56"/>
      <c r="B695" s="56"/>
      <c r="C695" s="56"/>
      <c r="D695" s="56"/>
      <c r="E695" s="57"/>
      <c r="F695" s="58"/>
      <c r="G695" s="56"/>
      <c r="H695" s="56"/>
      <c r="I695" s="59"/>
      <c r="J695" s="56"/>
      <c r="K695" s="56"/>
      <c r="L695" s="56"/>
      <c r="M695" s="1"/>
      <c r="N695" s="1"/>
      <c r="O695" s="1"/>
      <c r="P695" s="1"/>
      <c r="Q695" s="1"/>
      <c r="R695" s="1"/>
      <c r="S695" s="1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</row>
    <row r="696" spans="1:32" ht="58.5" customHeight="1" x14ac:dyDescent="0.25">
      <c r="A696" s="56"/>
      <c r="B696" s="56"/>
      <c r="C696" s="56"/>
      <c r="D696" s="56"/>
      <c r="E696" s="57"/>
      <c r="F696" s="58"/>
      <c r="G696" s="56"/>
      <c r="H696" s="56"/>
      <c r="I696" s="59"/>
      <c r="J696" s="56"/>
      <c r="K696" s="56"/>
      <c r="L696" s="56"/>
      <c r="M696" s="1"/>
      <c r="N696" s="1"/>
      <c r="O696" s="1"/>
      <c r="P696" s="1"/>
      <c r="Q696" s="1"/>
      <c r="R696" s="1"/>
      <c r="S696" s="1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</row>
    <row r="697" spans="1:32" ht="58.5" customHeight="1" x14ac:dyDescent="0.25">
      <c r="A697" s="56"/>
      <c r="B697" s="56"/>
      <c r="C697" s="56"/>
      <c r="D697" s="56"/>
      <c r="E697" s="57"/>
      <c r="F697" s="58"/>
      <c r="G697" s="56"/>
      <c r="H697" s="56"/>
      <c r="I697" s="59"/>
      <c r="J697" s="56"/>
      <c r="K697" s="56"/>
      <c r="L697" s="56"/>
      <c r="M697" s="1"/>
      <c r="N697" s="1"/>
      <c r="O697" s="1"/>
      <c r="P697" s="1"/>
      <c r="Q697" s="1"/>
      <c r="R697" s="1"/>
      <c r="S697" s="1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</row>
    <row r="698" spans="1:32" ht="58.5" customHeight="1" x14ac:dyDescent="0.25">
      <c r="A698" s="56"/>
      <c r="B698" s="56"/>
      <c r="C698" s="56"/>
      <c r="D698" s="56"/>
      <c r="E698" s="57"/>
      <c r="F698" s="58"/>
      <c r="G698" s="56"/>
      <c r="H698" s="56"/>
      <c r="I698" s="59"/>
      <c r="J698" s="56"/>
      <c r="K698" s="56"/>
      <c r="L698" s="56"/>
      <c r="M698" s="1"/>
      <c r="N698" s="1"/>
      <c r="O698" s="1"/>
      <c r="P698" s="1"/>
      <c r="Q698" s="1"/>
      <c r="R698" s="1"/>
      <c r="S698" s="1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</row>
    <row r="699" spans="1:32" ht="58.5" customHeight="1" x14ac:dyDescent="0.25">
      <c r="A699" s="56"/>
      <c r="B699" s="56"/>
      <c r="C699" s="56"/>
      <c r="D699" s="56"/>
      <c r="E699" s="57"/>
      <c r="F699" s="58"/>
      <c r="G699" s="56"/>
      <c r="H699" s="56"/>
      <c r="I699" s="59"/>
      <c r="J699" s="56"/>
      <c r="K699" s="56"/>
      <c r="L699" s="56"/>
      <c r="M699" s="1"/>
      <c r="N699" s="1"/>
      <c r="O699" s="1"/>
      <c r="P699" s="1"/>
      <c r="Q699" s="1"/>
      <c r="R699" s="1"/>
      <c r="S699" s="1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</row>
    <row r="700" spans="1:32" ht="58.5" customHeight="1" x14ac:dyDescent="0.25">
      <c r="A700" s="56"/>
      <c r="B700" s="56"/>
      <c r="C700" s="56"/>
      <c r="D700" s="56"/>
      <c r="E700" s="57"/>
      <c r="F700" s="58"/>
      <c r="G700" s="56"/>
      <c r="H700" s="56"/>
      <c r="I700" s="59"/>
      <c r="J700" s="56"/>
      <c r="K700" s="56"/>
      <c r="L700" s="56"/>
      <c r="M700" s="1"/>
      <c r="N700" s="1"/>
      <c r="O700" s="1"/>
      <c r="P700" s="1"/>
      <c r="Q700" s="1"/>
      <c r="R700" s="1"/>
      <c r="S700" s="1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</row>
    <row r="701" spans="1:32" ht="58.5" customHeight="1" x14ac:dyDescent="0.25">
      <c r="A701" s="56"/>
      <c r="B701" s="56"/>
      <c r="C701" s="56"/>
      <c r="D701" s="56"/>
      <c r="E701" s="57"/>
      <c r="F701" s="58"/>
      <c r="G701" s="56"/>
      <c r="H701" s="56"/>
      <c r="I701" s="59"/>
      <c r="J701" s="56"/>
      <c r="K701" s="56"/>
      <c r="L701" s="56"/>
      <c r="M701" s="1"/>
      <c r="N701" s="1"/>
      <c r="O701" s="1"/>
      <c r="P701" s="1"/>
      <c r="Q701" s="1"/>
      <c r="R701" s="1"/>
      <c r="S701" s="1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</row>
    <row r="702" spans="1:32" ht="58.5" customHeight="1" x14ac:dyDescent="0.25">
      <c r="A702" s="56"/>
      <c r="B702" s="56"/>
      <c r="C702" s="56"/>
      <c r="D702" s="56"/>
      <c r="E702" s="57"/>
      <c r="F702" s="58"/>
      <c r="G702" s="56"/>
      <c r="H702" s="56"/>
      <c r="I702" s="59"/>
      <c r="J702" s="56"/>
      <c r="K702" s="56"/>
      <c r="L702" s="56"/>
      <c r="M702" s="1"/>
      <c r="N702" s="1"/>
      <c r="O702" s="1"/>
      <c r="P702" s="1"/>
      <c r="Q702" s="1"/>
      <c r="R702" s="1"/>
      <c r="S702" s="1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</row>
    <row r="703" spans="1:32" ht="58.5" customHeight="1" x14ac:dyDescent="0.25">
      <c r="A703" s="56"/>
      <c r="B703" s="56"/>
      <c r="C703" s="56"/>
      <c r="D703" s="56"/>
      <c r="E703" s="57"/>
      <c r="F703" s="58"/>
      <c r="G703" s="56"/>
      <c r="H703" s="56"/>
      <c r="I703" s="59"/>
      <c r="J703" s="56"/>
      <c r="K703" s="56"/>
      <c r="L703" s="56"/>
      <c r="M703" s="1"/>
      <c r="N703" s="1"/>
      <c r="O703" s="1"/>
      <c r="P703" s="1"/>
      <c r="Q703" s="1"/>
      <c r="R703" s="1"/>
      <c r="S703" s="1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</row>
    <row r="704" spans="1:32" ht="58.5" customHeight="1" x14ac:dyDescent="0.25">
      <c r="A704" s="56"/>
      <c r="B704" s="56"/>
      <c r="C704" s="56"/>
      <c r="D704" s="56"/>
      <c r="E704" s="57"/>
      <c r="F704" s="58"/>
      <c r="G704" s="56"/>
      <c r="H704" s="56"/>
      <c r="I704" s="59"/>
      <c r="J704" s="56"/>
      <c r="K704" s="56"/>
      <c r="L704" s="56"/>
      <c r="M704" s="1"/>
      <c r="N704" s="1"/>
      <c r="O704" s="1"/>
      <c r="P704" s="1"/>
      <c r="Q704" s="1"/>
      <c r="R704" s="1"/>
      <c r="S704" s="1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</row>
    <row r="705" spans="1:32" ht="58.5" customHeight="1" x14ac:dyDescent="0.25">
      <c r="A705" s="56"/>
      <c r="B705" s="56"/>
      <c r="C705" s="56"/>
      <c r="D705" s="56"/>
      <c r="E705" s="57"/>
      <c r="F705" s="58"/>
      <c r="G705" s="56"/>
      <c r="H705" s="56"/>
      <c r="I705" s="59"/>
      <c r="J705" s="56"/>
      <c r="K705" s="56"/>
      <c r="L705" s="56"/>
      <c r="M705" s="1"/>
      <c r="N705" s="1"/>
      <c r="O705" s="1"/>
      <c r="P705" s="1"/>
      <c r="Q705" s="1"/>
      <c r="R705" s="1"/>
      <c r="S705" s="1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</row>
    <row r="706" spans="1:32" ht="58.5" customHeight="1" x14ac:dyDescent="0.25">
      <c r="A706" s="56"/>
      <c r="B706" s="56"/>
      <c r="C706" s="56"/>
      <c r="D706" s="56"/>
      <c r="E706" s="57"/>
      <c r="F706" s="58"/>
      <c r="G706" s="56"/>
      <c r="H706" s="56"/>
      <c r="I706" s="59"/>
      <c r="J706" s="56"/>
      <c r="K706" s="56"/>
      <c r="L706" s="56"/>
      <c r="M706" s="1"/>
      <c r="N706" s="1"/>
      <c r="O706" s="1"/>
      <c r="P706" s="1"/>
      <c r="Q706" s="1"/>
      <c r="R706" s="1"/>
      <c r="S706" s="1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</row>
    <row r="707" spans="1:32" ht="58.5" customHeight="1" x14ac:dyDescent="0.25">
      <c r="A707" s="56"/>
      <c r="B707" s="56"/>
      <c r="C707" s="56"/>
      <c r="D707" s="56"/>
      <c r="E707" s="57"/>
      <c r="F707" s="58"/>
      <c r="G707" s="56"/>
      <c r="H707" s="56"/>
      <c r="I707" s="59"/>
      <c r="J707" s="56"/>
      <c r="K707" s="56"/>
      <c r="L707" s="56"/>
      <c r="M707" s="1"/>
      <c r="N707" s="1"/>
      <c r="O707" s="1"/>
      <c r="P707" s="1"/>
      <c r="Q707" s="1"/>
      <c r="R707" s="1"/>
      <c r="S707" s="1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</row>
    <row r="708" spans="1:32" ht="58.5" customHeight="1" x14ac:dyDescent="0.25">
      <c r="A708" s="56"/>
      <c r="B708" s="56"/>
      <c r="C708" s="56"/>
      <c r="D708" s="56"/>
      <c r="E708" s="57"/>
      <c r="F708" s="58"/>
      <c r="G708" s="56"/>
      <c r="H708" s="56"/>
      <c r="I708" s="59"/>
      <c r="J708" s="56"/>
      <c r="K708" s="56"/>
      <c r="L708" s="56"/>
      <c r="M708" s="1"/>
      <c r="N708" s="1"/>
      <c r="O708" s="1"/>
      <c r="P708" s="1"/>
      <c r="Q708" s="1"/>
      <c r="R708" s="1"/>
      <c r="S708" s="1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</row>
    <row r="709" spans="1:32" ht="58.5" customHeight="1" x14ac:dyDescent="0.25">
      <c r="A709" s="56"/>
      <c r="B709" s="56"/>
      <c r="C709" s="56"/>
      <c r="D709" s="56"/>
      <c r="E709" s="57"/>
      <c r="F709" s="58"/>
      <c r="G709" s="56"/>
      <c r="H709" s="56"/>
      <c r="I709" s="59"/>
      <c r="J709" s="56"/>
      <c r="K709" s="56"/>
      <c r="L709" s="56"/>
      <c r="M709" s="1"/>
      <c r="N709" s="1"/>
      <c r="O709" s="1"/>
      <c r="P709" s="1"/>
      <c r="Q709" s="1"/>
      <c r="R709" s="1"/>
      <c r="S709" s="1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</row>
    <row r="710" spans="1:32" ht="58.5" customHeight="1" x14ac:dyDescent="0.25">
      <c r="A710" s="56"/>
      <c r="B710" s="56"/>
      <c r="C710" s="56"/>
      <c r="D710" s="56"/>
      <c r="E710" s="57"/>
      <c r="F710" s="58"/>
      <c r="G710" s="56"/>
      <c r="H710" s="56"/>
      <c r="I710" s="59"/>
      <c r="J710" s="56"/>
      <c r="K710" s="56"/>
      <c r="L710" s="56"/>
      <c r="M710" s="1"/>
      <c r="N710" s="1"/>
      <c r="O710" s="1"/>
      <c r="P710" s="1"/>
      <c r="Q710" s="1"/>
      <c r="R710" s="1"/>
      <c r="S710" s="1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</row>
    <row r="711" spans="1:32" ht="58.5" customHeight="1" x14ac:dyDescent="0.25">
      <c r="A711" s="56"/>
      <c r="B711" s="56"/>
      <c r="C711" s="56"/>
      <c r="D711" s="56"/>
      <c r="E711" s="57"/>
      <c r="F711" s="58"/>
      <c r="G711" s="56"/>
      <c r="H711" s="56"/>
      <c r="I711" s="59"/>
      <c r="J711" s="56"/>
      <c r="K711" s="56"/>
      <c r="L711" s="56"/>
      <c r="M711" s="1"/>
      <c r="N711" s="1"/>
      <c r="O711" s="1"/>
      <c r="P711" s="1"/>
      <c r="Q711" s="1"/>
      <c r="R711" s="1"/>
      <c r="S711" s="1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</row>
    <row r="712" spans="1:32" ht="58.5" customHeight="1" x14ac:dyDescent="0.25">
      <c r="A712" s="56"/>
      <c r="B712" s="56"/>
      <c r="C712" s="56"/>
      <c r="D712" s="56"/>
      <c r="E712" s="57"/>
      <c r="F712" s="58"/>
      <c r="G712" s="56"/>
      <c r="H712" s="56"/>
      <c r="I712" s="59"/>
      <c r="J712" s="56"/>
      <c r="K712" s="56"/>
      <c r="L712" s="56"/>
      <c r="M712" s="1"/>
      <c r="N712" s="1"/>
      <c r="O712" s="1"/>
      <c r="P712" s="1"/>
      <c r="Q712" s="1"/>
      <c r="R712" s="1"/>
      <c r="S712" s="1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</row>
    <row r="713" spans="1:32" ht="58.5" customHeight="1" x14ac:dyDescent="0.25">
      <c r="A713" s="56"/>
      <c r="B713" s="56"/>
      <c r="C713" s="56"/>
      <c r="D713" s="56"/>
      <c r="E713" s="57"/>
      <c r="F713" s="58"/>
      <c r="G713" s="56"/>
      <c r="H713" s="56"/>
      <c r="I713" s="59"/>
      <c r="J713" s="56"/>
      <c r="K713" s="56"/>
      <c r="L713" s="56"/>
      <c r="M713" s="1"/>
      <c r="N713" s="1"/>
      <c r="O713" s="1"/>
      <c r="P713" s="1"/>
      <c r="Q713" s="1"/>
      <c r="R713" s="1"/>
      <c r="S713" s="1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</row>
    <row r="714" spans="1:32" ht="58.5" customHeight="1" x14ac:dyDescent="0.25">
      <c r="A714" s="56"/>
      <c r="B714" s="56"/>
      <c r="C714" s="56"/>
      <c r="D714" s="56"/>
      <c r="E714" s="57"/>
      <c r="F714" s="58"/>
      <c r="G714" s="56"/>
      <c r="H714" s="56"/>
      <c r="I714" s="59"/>
      <c r="J714" s="56"/>
      <c r="K714" s="56"/>
      <c r="L714" s="56"/>
      <c r="M714" s="1"/>
      <c r="N714" s="1"/>
      <c r="O714" s="1"/>
      <c r="P714" s="1"/>
      <c r="Q714" s="1"/>
      <c r="R714" s="1"/>
      <c r="S714" s="1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</row>
    <row r="715" spans="1:32" ht="58.5" customHeight="1" x14ac:dyDescent="0.25">
      <c r="A715" s="56"/>
      <c r="B715" s="56"/>
      <c r="C715" s="56"/>
      <c r="D715" s="56"/>
      <c r="E715" s="57"/>
      <c r="F715" s="58"/>
      <c r="G715" s="56"/>
      <c r="H715" s="56"/>
      <c r="I715" s="59"/>
      <c r="J715" s="56"/>
      <c r="K715" s="56"/>
      <c r="L715" s="56"/>
      <c r="M715" s="1"/>
      <c r="N715" s="1"/>
      <c r="O715" s="1"/>
      <c r="P715" s="1"/>
      <c r="Q715" s="1"/>
      <c r="R715" s="1"/>
      <c r="S715" s="1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</row>
    <row r="716" spans="1:32" ht="58.5" customHeight="1" x14ac:dyDescent="0.25">
      <c r="A716" s="56"/>
      <c r="B716" s="56"/>
      <c r="C716" s="56"/>
      <c r="D716" s="56"/>
      <c r="E716" s="57"/>
      <c r="F716" s="58"/>
      <c r="G716" s="56"/>
      <c r="H716" s="56"/>
      <c r="I716" s="59"/>
      <c r="J716" s="56"/>
      <c r="K716" s="56"/>
      <c r="L716" s="56"/>
      <c r="M716" s="1"/>
      <c r="N716" s="1"/>
      <c r="O716" s="1"/>
      <c r="P716" s="1"/>
      <c r="Q716" s="1"/>
      <c r="R716" s="1"/>
      <c r="S716" s="1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</row>
    <row r="717" spans="1:32" ht="58.5" customHeight="1" x14ac:dyDescent="0.25">
      <c r="A717" s="56"/>
      <c r="B717" s="56"/>
      <c r="C717" s="56"/>
      <c r="D717" s="56"/>
      <c r="E717" s="57"/>
      <c r="F717" s="58"/>
      <c r="G717" s="56"/>
      <c r="H717" s="56"/>
      <c r="I717" s="59"/>
      <c r="J717" s="56"/>
      <c r="K717" s="56"/>
      <c r="L717" s="56"/>
      <c r="M717" s="1"/>
      <c r="N717" s="1"/>
      <c r="O717" s="1"/>
      <c r="P717" s="1"/>
      <c r="Q717" s="1"/>
      <c r="R717" s="1"/>
      <c r="S717" s="1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</row>
    <row r="718" spans="1:32" ht="58.5" customHeight="1" x14ac:dyDescent="0.25">
      <c r="A718" s="56"/>
      <c r="B718" s="56"/>
      <c r="C718" s="56"/>
      <c r="D718" s="56"/>
      <c r="E718" s="57"/>
      <c r="F718" s="58"/>
      <c r="G718" s="56"/>
      <c r="H718" s="56"/>
      <c r="I718" s="59"/>
      <c r="J718" s="56"/>
      <c r="K718" s="56"/>
      <c r="L718" s="56"/>
      <c r="M718" s="1"/>
      <c r="N718" s="1"/>
      <c r="O718" s="1"/>
      <c r="P718" s="1"/>
      <c r="Q718" s="1"/>
      <c r="R718" s="1"/>
      <c r="S718" s="1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</row>
    <row r="719" spans="1:32" ht="58.5" customHeight="1" x14ac:dyDescent="0.25">
      <c r="A719" s="56"/>
      <c r="B719" s="56"/>
      <c r="C719" s="56"/>
      <c r="D719" s="56"/>
      <c r="E719" s="57"/>
      <c r="F719" s="58"/>
      <c r="G719" s="56"/>
      <c r="H719" s="56"/>
      <c r="I719" s="59"/>
      <c r="J719" s="56"/>
      <c r="K719" s="56"/>
      <c r="L719" s="56"/>
      <c r="M719" s="1"/>
      <c r="N719" s="1"/>
      <c r="O719" s="1"/>
      <c r="P719" s="1"/>
      <c r="Q719" s="1"/>
      <c r="R719" s="1"/>
      <c r="S719" s="1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</row>
    <row r="720" spans="1:32" ht="58.5" customHeight="1" x14ac:dyDescent="0.25">
      <c r="A720" s="56"/>
      <c r="B720" s="56"/>
      <c r="C720" s="56"/>
      <c r="D720" s="56"/>
      <c r="E720" s="57"/>
      <c r="F720" s="58"/>
      <c r="G720" s="56"/>
      <c r="H720" s="56"/>
      <c r="I720" s="59"/>
      <c r="J720" s="56"/>
      <c r="K720" s="56"/>
      <c r="L720" s="56"/>
      <c r="M720" s="1"/>
      <c r="N720" s="1"/>
      <c r="O720" s="1"/>
      <c r="P720" s="1"/>
      <c r="Q720" s="1"/>
      <c r="R720" s="1"/>
      <c r="S720" s="1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</row>
    <row r="721" spans="1:32" ht="58.5" customHeight="1" x14ac:dyDescent="0.25">
      <c r="A721" s="56"/>
      <c r="B721" s="56"/>
      <c r="C721" s="56"/>
      <c r="D721" s="56"/>
      <c r="E721" s="57"/>
      <c r="F721" s="58"/>
      <c r="G721" s="56"/>
      <c r="H721" s="56"/>
      <c r="I721" s="59"/>
      <c r="J721" s="56"/>
      <c r="K721" s="56"/>
      <c r="L721" s="56"/>
      <c r="M721" s="1"/>
      <c r="N721" s="1"/>
      <c r="O721" s="1"/>
      <c r="P721" s="1"/>
      <c r="Q721" s="1"/>
      <c r="R721" s="1"/>
      <c r="S721" s="1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</row>
    <row r="722" spans="1:32" ht="58.5" customHeight="1" x14ac:dyDescent="0.25">
      <c r="A722" s="56"/>
      <c r="B722" s="56"/>
      <c r="C722" s="56"/>
      <c r="D722" s="56"/>
      <c r="E722" s="57"/>
      <c r="F722" s="58"/>
      <c r="G722" s="56"/>
      <c r="H722" s="56"/>
      <c r="I722" s="59"/>
      <c r="J722" s="56"/>
      <c r="K722" s="56"/>
      <c r="L722" s="56"/>
      <c r="M722" s="1"/>
      <c r="N722" s="1"/>
      <c r="O722" s="1"/>
      <c r="P722" s="1"/>
      <c r="Q722" s="1"/>
      <c r="R722" s="1"/>
      <c r="S722" s="1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</row>
    <row r="723" spans="1:32" ht="58.5" customHeight="1" x14ac:dyDescent="0.25">
      <c r="A723" s="56"/>
      <c r="B723" s="56"/>
      <c r="C723" s="56"/>
      <c r="D723" s="56"/>
      <c r="E723" s="57"/>
      <c r="F723" s="58"/>
      <c r="G723" s="56"/>
      <c r="H723" s="56"/>
      <c r="I723" s="59"/>
      <c r="J723" s="56"/>
      <c r="K723" s="56"/>
      <c r="L723" s="56"/>
      <c r="M723" s="1"/>
      <c r="N723" s="1"/>
      <c r="O723" s="1"/>
      <c r="P723" s="1"/>
      <c r="Q723" s="1"/>
      <c r="R723" s="1"/>
      <c r="S723" s="1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</row>
    <row r="724" spans="1:32" ht="58.5" customHeight="1" x14ac:dyDescent="0.25">
      <c r="A724" s="56"/>
      <c r="B724" s="56"/>
      <c r="C724" s="56"/>
      <c r="D724" s="56"/>
      <c r="E724" s="57"/>
      <c r="F724" s="58"/>
      <c r="G724" s="56"/>
      <c r="H724" s="56"/>
      <c r="I724" s="59"/>
      <c r="J724" s="56"/>
      <c r="K724" s="56"/>
      <c r="L724" s="56"/>
      <c r="M724" s="1"/>
      <c r="N724" s="1"/>
      <c r="O724" s="1"/>
      <c r="P724" s="1"/>
      <c r="Q724" s="1"/>
      <c r="R724" s="1"/>
      <c r="S724" s="1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</row>
    <row r="725" spans="1:32" ht="58.5" customHeight="1" x14ac:dyDescent="0.25">
      <c r="A725" s="56"/>
      <c r="B725" s="56"/>
      <c r="C725" s="56"/>
      <c r="D725" s="56"/>
      <c r="E725" s="57"/>
      <c r="F725" s="58"/>
      <c r="G725" s="56"/>
      <c r="H725" s="56"/>
      <c r="I725" s="59"/>
      <c r="J725" s="56"/>
      <c r="K725" s="56"/>
      <c r="L725" s="56"/>
      <c r="M725" s="1"/>
      <c r="N725" s="1"/>
      <c r="O725" s="1"/>
      <c r="P725" s="1"/>
      <c r="Q725" s="1"/>
      <c r="R725" s="1"/>
      <c r="S725" s="1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</row>
    <row r="726" spans="1:32" ht="58.5" customHeight="1" x14ac:dyDescent="0.25">
      <c r="A726" s="56"/>
      <c r="B726" s="56"/>
      <c r="C726" s="56"/>
      <c r="D726" s="56"/>
      <c r="E726" s="57"/>
      <c r="F726" s="58"/>
      <c r="G726" s="56"/>
      <c r="H726" s="56"/>
      <c r="I726" s="59"/>
      <c r="J726" s="56"/>
      <c r="K726" s="56"/>
      <c r="L726" s="56"/>
      <c r="M726" s="1"/>
      <c r="N726" s="1"/>
      <c r="O726" s="1"/>
      <c r="P726" s="1"/>
      <c r="Q726" s="1"/>
      <c r="R726" s="1"/>
      <c r="S726" s="1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</row>
    <row r="727" spans="1:32" ht="58.5" customHeight="1" x14ac:dyDescent="0.25">
      <c r="A727" s="56"/>
      <c r="B727" s="56"/>
      <c r="C727" s="56"/>
      <c r="D727" s="56"/>
      <c r="E727" s="57"/>
      <c r="F727" s="58"/>
      <c r="G727" s="56"/>
      <c r="H727" s="56"/>
      <c r="I727" s="59"/>
      <c r="J727" s="56"/>
      <c r="K727" s="56"/>
      <c r="L727" s="56"/>
      <c r="M727" s="1"/>
      <c r="N727" s="1"/>
      <c r="O727" s="1"/>
      <c r="P727" s="1"/>
      <c r="Q727" s="1"/>
      <c r="R727" s="1"/>
      <c r="S727" s="1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</row>
    <row r="728" spans="1:32" ht="58.5" customHeight="1" x14ac:dyDescent="0.25">
      <c r="A728" s="56"/>
      <c r="B728" s="56"/>
      <c r="C728" s="56"/>
      <c r="D728" s="56"/>
      <c r="E728" s="57"/>
      <c r="F728" s="58"/>
      <c r="G728" s="56"/>
      <c r="H728" s="56"/>
      <c r="I728" s="59"/>
      <c r="J728" s="56"/>
      <c r="K728" s="56"/>
      <c r="L728" s="56"/>
      <c r="M728" s="1"/>
      <c r="N728" s="1"/>
      <c r="O728" s="1"/>
      <c r="P728" s="1"/>
      <c r="Q728" s="1"/>
      <c r="R728" s="1"/>
      <c r="S728" s="1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</row>
    <row r="729" spans="1:32" ht="58.5" customHeight="1" x14ac:dyDescent="0.25">
      <c r="A729" s="56"/>
      <c r="B729" s="56"/>
      <c r="C729" s="56"/>
      <c r="D729" s="56"/>
      <c r="E729" s="57"/>
      <c r="F729" s="58"/>
      <c r="G729" s="56"/>
      <c r="H729" s="56"/>
      <c r="I729" s="59"/>
      <c r="J729" s="56"/>
      <c r="K729" s="56"/>
      <c r="L729" s="56"/>
      <c r="M729" s="1"/>
      <c r="N729" s="1"/>
      <c r="O729" s="1"/>
      <c r="P729" s="1"/>
      <c r="Q729" s="1"/>
      <c r="R729" s="1"/>
      <c r="S729" s="1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</row>
    <row r="730" spans="1:32" ht="58.5" customHeight="1" x14ac:dyDescent="0.25">
      <c r="A730" s="56"/>
      <c r="B730" s="56"/>
      <c r="C730" s="56"/>
      <c r="D730" s="56"/>
      <c r="E730" s="57"/>
      <c r="F730" s="58"/>
      <c r="G730" s="56"/>
      <c r="H730" s="56"/>
      <c r="I730" s="59"/>
      <c r="J730" s="56"/>
      <c r="K730" s="56"/>
      <c r="L730" s="56"/>
      <c r="M730" s="1"/>
      <c r="N730" s="1"/>
      <c r="O730" s="1"/>
      <c r="P730" s="1"/>
      <c r="Q730" s="1"/>
      <c r="R730" s="1"/>
      <c r="S730" s="1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</row>
    <row r="731" spans="1:32" ht="58.5" customHeight="1" x14ac:dyDescent="0.25">
      <c r="A731" s="56"/>
      <c r="B731" s="56"/>
      <c r="C731" s="56"/>
      <c r="D731" s="56"/>
      <c r="E731" s="57"/>
      <c r="F731" s="58"/>
      <c r="G731" s="56"/>
      <c r="H731" s="56"/>
      <c r="I731" s="59"/>
      <c r="J731" s="56"/>
      <c r="K731" s="56"/>
      <c r="L731" s="56"/>
      <c r="M731" s="1"/>
      <c r="N731" s="1"/>
      <c r="O731" s="1"/>
      <c r="P731" s="1"/>
      <c r="Q731" s="1"/>
      <c r="R731" s="1"/>
      <c r="S731" s="1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</row>
    <row r="732" spans="1:32" ht="58.5" customHeight="1" x14ac:dyDescent="0.25">
      <c r="A732" s="56"/>
      <c r="B732" s="56"/>
      <c r="C732" s="56"/>
      <c r="D732" s="56"/>
      <c r="E732" s="57"/>
      <c r="F732" s="58"/>
      <c r="G732" s="56"/>
      <c r="H732" s="56"/>
      <c r="I732" s="59"/>
      <c r="J732" s="56"/>
      <c r="K732" s="56"/>
      <c r="L732" s="56"/>
      <c r="M732" s="1"/>
      <c r="N732" s="1"/>
      <c r="O732" s="1"/>
      <c r="P732" s="1"/>
      <c r="Q732" s="1"/>
      <c r="R732" s="1"/>
      <c r="S732" s="1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</row>
    <row r="733" spans="1:32" ht="58.5" customHeight="1" x14ac:dyDescent="0.25">
      <c r="A733" s="56"/>
      <c r="B733" s="56"/>
      <c r="C733" s="56"/>
      <c r="D733" s="56"/>
      <c r="E733" s="57"/>
      <c r="F733" s="58"/>
      <c r="G733" s="56"/>
      <c r="H733" s="56"/>
      <c r="I733" s="59"/>
      <c r="J733" s="56"/>
      <c r="K733" s="56"/>
      <c r="L733" s="56"/>
      <c r="M733" s="1"/>
      <c r="N733" s="1"/>
      <c r="O733" s="1"/>
      <c r="P733" s="1"/>
      <c r="Q733" s="1"/>
      <c r="R733" s="1"/>
      <c r="S733" s="1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</row>
    <row r="734" spans="1:32" ht="58.5" customHeight="1" x14ac:dyDescent="0.25">
      <c r="A734" s="56"/>
      <c r="B734" s="56"/>
      <c r="C734" s="56"/>
      <c r="D734" s="56"/>
      <c r="E734" s="57"/>
      <c r="F734" s="58"/>
      <c r="G734" s="56"/>
      <c r="H734" s="56"/>
      <c r="I734" s="59"/>
      <c r="J734" s="56"/>
      <c r="K734" s="56"/>
      <c r="L734" s="56"/>
      <c r="M734" s="1"/>
      <c r="N734" s="1"/>
      <c r="O734" s="1"/>
      <c r="P734" s="1"/>
      <c r="Q734" s="1"/>
      <c r="R734" s="1"/>
      <c r="S734" s="1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</row>
    <row r="735" spans="1:32" ht="58.5" customHeight="1" x14ac:dyDescent="0.25">
      <c r="A735" s="56"/>
      <c r="B735" s="56"/>
      <c r="C735" s="56"/>
      <c r="D735" s="56"/>
      <c r="E735" s="57"/>
      <c r="F735" s="58"/>
      <c r="G735" s="56"/>
      <c r="H735" s="56"/>
      <c r="I735" s="59"/>
      <c r="J735" s="56"/>
      <c r="K735" s="56"/>
      <c r="L735" s="56"/>
      <c r="M735" s="1"/>
      <c r="N735" s="1"/>
      <c r="O735" s="1"/>
      <c r="P735" s="1"/>
      <c r="Q735" s="1"/>
      <c r="R735" s="1"/>
      <c r="S735" s="1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</row>
    <row r="736" spans="1:32" ht="58.5" customHeight="1" x14ac:dyDescent="0.25">
      <c r="A736" s="56"/>
      <c r="B736" s="56"/>
      <c r="C736" s="56"/>
      <c r="D736" s="56"/>
      <c r="E736" s="57"/>
      <c r="F736" s="58"/>
      <c r="G736" s="56"/>
      <c r="H736" s="56"/>
      <c r="I736" s="59"/>
      <c r="J736" s="56"/>
      <c r="K736" s="56"/>
      <c r="L736" s="56"/>
      <c r="M736" s="1"/>
      <c r="N736" s="1"/>
      <c r="O736" s="1"/>
      <c r="P736" s="1"/>
      <c r="Q736" s="1"/>
      <c r="R736" s="1"/>
      <c r="S736" s="1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</row>
    <row r="737" spans="1:32" ht="58.5" customHeight="1" x14ac:dyDescent="0.25">
      <c r="A737" s="56"/>
      <c r="B737" s="56"/>
      <c r="C737" s="56"/>
      <c r="D737" s="56"/>
      <c r="E737" s="57"/>
      <c r="F737" s="58"/>
      <c r="G737" s="56"/>
      <c r="H737" s="56"/>
      <c r="I737" s="59"/>
      <c r="J737" s="56"/>
      <c r="K737" s="56"/>
      <c r="L737" s="56"/>
      <c r="M737" s="1"/>
      <c r="N737" s="1"/>
      <c r="O737" s="1"/>
      <c r="P737" s="1"/>
      <c r="Q737" s="1"/>
      <c r="R737" s="1"/>
      <c r="S737" s="1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</row>
    <row r="738" spans="1:32" ht="58.5" customHeight="1" x14ac:dyDescent="0.25">
      <c r="A738" s="56"/>
      <c r="B738" s="56"/>
      <c r="C738" s="56"/>
      <c r="D738" s="56"/>
      <c r="E738" s="57"/>
      <c r="F738" s="58"/>
      <c r="G738" s="56"/>
      <c r="H738" s="56"/>
      <c r="I738" s="59"/>
      <c r="J738" s="56"/>
      <c r="K738" s="56"/>
      <c r="L738" s="56"/>
      <c r="M738" s="1"/>
      <c r="N738" s="1"/>
      <c r="O738" s="1"/>
      <c r="P738" s="1"/>
      <c r="Q738" s="1"/>
      <c r="R738" s="1"/>
      <c r="S738" s="1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</row>
    <row r="739" spans="1:32" ht="58.5" customHeight="1" x14ac:dyDescent="0.25">
      <c r="A739" s="56"/>
      <c r="B739" s="56"/>
      <c r="C739" s="56"/>
      <c r="D739" s="56"/>
      <c r="E739" s="57"/>
      <c r="F739" s="58"/>
      <c r="G739" s="56"/>
      <c r="H739" s="56"/>
      <c r="I739" s="59"/>
      <c r="J739" s="56"/>
      <c r="K739" s="56"/>
      <c r="L739" s="56"/>
      <c r="M739" s="1"/>
      <c r="N739" s="1"/>
      <c r="O739" s="1"/>
      <c r="P739" s="1"/>
      <c r="Q739" s="1"/>
      <c r="R739" s="1"/>
      <c r="S739" s="1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</row>
    <row r="740" spans="1:32" ht="58.5" customHeight="1" x14ac:dyDescent="0.25">
      <c r="A740" s="56"/>
      <c r="B740" s="56"/>
      <c r="C740" s="56"/>
      <c r="D740" s="56"/>
      <c r="E740" s="57"/>
      <c r="F740" s="58"/>
      <c r="G740" s="56"/>
      <c r="H740" s="56"/>
      <c r="I740" s="59"/>
      <c r="J740" s="56"/>
      <c r="K740" s="56"/>
      <c r="L740" s="56"/>
      <c r="M740" s="1"/>
      <c r="N740" s="1"/>
      <c r="O740" s="1"/>
      <c r="P740" s="1"/>
      <c r="Q740" s="1"/>
      <c r="R740" s="1"/>
      <c r="S740" s="1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</row>
    <row r="741" spans="1:32" ht="58.5" customHeight="1" x14ac:dyDescent="0.25">
      <c r="A741" s="56"/>
      <c r="B741" s="56"/>
      <c r="C741" s="56"/>
      <c r="D741" s="56"/>
      <c r="E741" s="57"/>
      <c r="F741" s="58"/>
      <c r="G741" s="56"/>
      <c r="H741" s="56"/>
      <c r="I741" s="59"/>
      <c r="J741" s="56"/>
      <c r="K741" s="56"/>
      <c r="L741" s="56"/>
      <c r="M741" s="1"/>
      <c r="N741" s="1"/>
      <c r="O741" s="1"/>
      <c r="P741" s="1"/>
      <c r="Q741" s="1"/>
      <c r="R741" s="1"/>
      <c r="S741" s="1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</row>
    <row r="742" spans="1:32" ht="58.5" customHeight="1" x14ac:dyDescent="0.25">
      <c r="A742" s="56"/>
      <c r="B742" s="56"/>
      <c r="C742" s="56"/>
      <c r="D742" s="56"/>
      <c r="E742" s="57"/>
      <c r="F742" s="58"/>
      <c r="G742" s="56"/>
      <c r="H742" s="56"/>
      <c r="I742" s="59"/>
      <c r="J742" s="56"/>
      <c r="K742" s="56"/>
      <c r="L742" s="56"/>
      <c r="M742" s="1"/>
      <c r="N742" s="1"/>
      <c r="O742" s="1"/>
      <c r="P742" s="1"/>
      <c r="Q742" s="1"/>
      <c r="R742" s="1"/>
      <c r="S742" s="1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</row>
    <row r="743" spans="1:32" ht="58.5" customHeight="1" x14ac:dyDescent="0.25">
      <c r="A743" s="56"/>
      <c r="B743" s="56"/>
      <c r="C743" s="56"/>
      <c r="D743" s="56"/>
      <c r="E743" s="57"/>
      <c r="F743" s="58"/>
      <c r="G743" s="56"/>
      <c r="H743" s="56"/>
      <c r="I743" s="59"/>
      <c r="J743" s="56"/>
      <c r="K743" s="56"/>
      <c r="L743" s="56"/>
      <c r="M743" s="1"/>
      <c r="N743" s="1"/>
      <c r="O743" s="1"/>
      <c r="P743" s="1"/>
      <c r="Q743" s="1"/>
      <c r="R743" s="1"/>
      <c r="S743" s="1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</row>
    <row r="744" spans="1:32" ht="58.5" customHeight="1" x14ac:dyDescent="0.25">
      <c r="A744" s="56"/>
      <c r="B744" s="56"/>
      <c r="C744" s="56"/>
      <c r="D744" s="56"/>
      <c r="E744" s="57"/>
      <c r="F744" s="58"/>
      <c r="G744" s="56"/>
      <c r="H744" s="56"/>
      <c r="I744" s="59"/>
      <c r="J744" s="56"/>
      <c r="K744" s="56"/>
      <c r="L744" s="56"/>
      <c r="M744" s="1"/>
      <c r="N744" s="1"/>
      <c r="O744" s="1"/>
      <c r="P744" s="1"/>
      <c r="Q744" s="1"/>
      <c r="R744" s="1"/>
      <c r="S744" s="1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</row>
    <row r="745" spans="1:32" ht="58.5" customHeight="1" x14ac:dyDescent="0.25">
      <c r="A745" s="56"/>
      <c r="B745" s="56"/>
      <c r="C745" s="56"/>
      <c r="D745" s="56"/>
      <c r="E745" s="57"/>
      <c r="F745" s="58"/>
      <c r="G745" s="56"/>
      <c r="H745" s="56"/>
      <c r="I745" s="59"/>
      <c r="J745" s="56"/>
      <c r="K745" s="56"/>
      <c r="L745" s="56"/>
      <c r="M745" s="1"/>
      <c r="N745" s="1"/>
      <c r="O745" s="1"/>
      <c r="P745" s="1"/>
      <c r="Q745" s="1"/>
      <c r="R745" s="1"/>
      <c r="S745" s="1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</row>
    <row r="746" spans="1:32" ht="58.5" customHeight="1" x14ac:dyDescent="0.25">
      <c r="A746" s="56"/>
      <c r="B746" s="56"/>
      <c r="C746" s="56"/>
      <c r="D746" s="56"/>
      <c r="E746" s="57"/>
      <c r="F746" s="58"/>
      <c r="G746" s="56"/>
      <c r="H746" s="56"/>
      <c r="I746" s="59"/>
      <c r="J746" s="56"/>
      <c r="K746" s="56"/>
      <c r="L746" s="56"/>
      <c r="M746" s="1"/>
      <c r="N746" s="1"/>
      <c r="O746" s="1"/>
      <c r="P746" s="1"/>
      <c r="Q746" s="1"/>
      <c r="R746" s="1"/>
      <c r="S746" s="1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</row>
    <row r="747" spans="1:32" ht="58.5" customHeight="1" x14ac:dyDescent="0.25">
      <c r="A747" s="56"/>
      <c r="B747" s="56"/>
      <c r="C747" s="56"/>
      <c r="D747" s="56"/>
      <c r="E747" s="57"/>
      <c r="F747" s="58"/>
      <c r="G747" s="56"/>
      <c r="H747" s="56"/>
      <c r="I747" s="59"/>
      <c r="J747" s="56"/>
      <c r="K747" s="56"/>
      <c r="L747" s="56"/>
      <c r="M747" s="1"/>
      <c r="N747" s="1"/>
      <c r="O747" s="1"/>
      <c r="P747" s="1"/>
      <c r="Q747" s="1"/>
      <c r="R747" s="1"/>
      <c r="S747" s="1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</row>
    <row r="748" spans="1:32" ht="58.5" customHeight="1" x14ac:dyDescent="0.25">
      <c r="A748" s="56"/>
      <c r="B748" s="56"/>
      <c r="C748" s="56"/>
      <c r="D748" s="56"/>
      <c r="E748" s="57"/>
      <c r="F748" s="58"/>
      <c r="G748" s="56"/>
      <c r="H748" s="56"/>
      <c r="I748" s="59"/>
      <c r="J748" s="56"/>
      <c r="K748" s="56"/>
      <c r="L748" s="56"/>
      <c r="M748" s="1"/>
      <c r="N748" s="1"/>
      <c r="O748" s="1"/>
      <c r="P748" s="1"/>
      <c r="Q748" s="1"/>
      <c r="R748" s="1"/>
      <c r="S748" s="1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</row>
    <row r="749" spans="1:32" ht="58.5" customHeight="1" x14ac:dyDescent="0.25">
      <c r="A749" s="56"/>
      <c r="B749" s="56"/>
      <c r="C749" s="56"/>
      <c r="D749" s="56"/>
      <c r="E749" s="57"/>
      <c r="F749" s="58"/>
      <c r="G749" s="56"/>
      <c r="H749" s="56"/>
      <c r="I749" s="59"/>
      <c r="J749" s="56"/>
      <c r="K749" s="56"/>
      <c r="L749" s="56"/>
      <c r="M749" s="1"/>
      <c r="N749" s="1"/>
      <c r="O749" s="1"/>
      <c r="P749" s="1"/>
      <c r="Q749" s="1"/>
      <c r="R749" s="1"/>
      <c r="S749" s="1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</row>
    <row r="750" spans="1:32" ht="58.5" customHeight="1" x14ac:dyDescent="0.25">
      <c r="A750" s="56"/>
      <c r="B750" s="56"/>
      <c r="C750" s="56"/>
      <c r="D750" s="56"/>
      <c r="E750" s="57"/>
      <c r="F750" s="58"/>
      <c r="G750" s="56"/>
      <c r="H750" s="56"/>
      <c r="I750" s="59"/>
      <c r="J750" s="56"/>
      <c r="K750" s="56"/>
      <c r="L750" s="56"/>
      <c r="M750" s="1"/>
      <c r="N750" s="1"/>
      <c r="O750" s="1"/>
      <c r="P750" s="1"/>
      <c r="Q750" s="1"/>
      <c r="R750" s="1"/>
      <c r="S750" s="1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</row>
    <row r="751" spans="1:32" ht="58.5" customHeight="1" x14ac:dyDescent="0.25">
      <c r="A751" s="56"/>
      <c r="B751" s="56"/>
      <c r="C751" s="56"/>
      <c r="D751" s="56"/>
      <c r="E751" s="57"/>
      <c r="F751" s="58"/>
      <c r="G751" s="56"/>
      <c r="H751" s="56"/>
      <c r="I751" s="59"/>
      <c r="J751" s="56"/>
      <c r="K751" s="56"/>
      <c r="L751" s="56"/>
      <c r="M751" s="1"/>
      <c r="N751" s="1"/>
      <c r="O751" s="1"/>
      <c r="P751" s="1"/>
      <c r="Q751" s="1"/>
      <c r="R751" s="1"/>
      <c r="S751" s="1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</row>
    <row r="752" spans="1:32" ht="58.5" customHeight="1" x14ac:dyDescent="0.25">
      <c r="A752" s="56"/>
      <c r="B752" s="56"/>
      <c r="C752" s="56"/>
      <c r="D752" s="56"/>
      <c r="E752" s="57"/>
      <c r="F752" s="58"/>
      <c r="G752" s="56"/>
      <c r="H752" s="56"/>
      <c r="I752" s="59"/>
      <c r="J752" s="56"/>
      <c r="K752" s="56"/>
      <c r="L752" s="56"/>
      <c r="M752" s="1"/>
      <c r="N752" s="1"/>
      <c r="O752" s="1"/>
      <c r="P752" s="1"/>
      <c r="Q752" s="1"/>
      <c r="R752" s="1"/>
      <c r="S752" s="1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</row>
    <row r="753" spans="1:32" ht="58.5" customHeight="1" x14ac:dyDescent="0.25">
      <c r="A753" s="56"/>
      <c r="B753" s="56"/>
      <c r="C753" s="56"/>
      <c r="D753" s="56"/>
      <c r="E753" s="57"/>
      <c r="F753" s="58"/>
      <c r="G753" s="56"/>
      <c r="H753" s="56"/>
      <c r="I753" s="59"/>
      <c r="J753" s="56"/>
      <c r="K753" s="56"/>
      <c r="L753" s="56"/>
      <c r="M753" s="1"/>
      <c r="N753" s="1"/>
      <c r="O753" s="1"/>
      <c r="P753" s="1"/>
      <c r="Q753" s="1"/>
      <c r="R753" s="1"/>
      <c r="S753" s="1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</row>
    <row r="754" spans="1:32" ht="58.5" customHeight="1" x14ac:dyDescent="0.25">
      <c r="A754" s="56"/>
      <c r="B754" s="56"/>
      <c r="C754" s="56"/>
      <c r="D754" s="56"/>
      <c r="E754" s="57"/>
      <c r="F754" s="58"/>
      <c r="G754" s="56"/>
      <c r="H754" s="56"/>
      <c r="I754" s="59"/>
      <c r="J754" s="56"/>
      <c r="K754" s="56"/>
      <c r="L754" s="56"/>
      <c r="M754" s="1"/>
      <c r="N754" s="1"/>
      <c r="O754" s="1"/>
      <c r="P754" s="1"/>
      <c r="Q754" s="1"/>
      <c r="R754" s="1"/>
      <c r="S754" s="1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</row>
    <row r="755" spans="1:32" ht="58.5" customHeight="1" x14ac:dyDescent="0.25">
      <c r="A755" s="56"/>
      <c r="B755" s="56"/>
      <c r="C755" s="56"/>
      <c r="D755" s="56"/>
      <c r="E755" s="57"/>
      <c r="F755" s="58"/>
      <c r="G755" s="56"/>
      <c r="H755" s="56"/>
      <c r="I755" s="59"/>
      <c r="J755" s="56"/>
      <c r="K755" s="56"/>
      <c r="L755" s="56"/>
      <c r="M755" s="1"/>
      <c r="N755" s="1"/>
      <c r="O755" s="1"/>
      <c r="P755" s="1"/>
      <c r="Q755" s="1"/>
      <c r="R755" s="1"/>
      <c r="S755" s="1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</row>
    <row r="756" spans="1:32" ht="58.5" customHeight="1" x14ac:dyDescent="0.25">
      <c r="A756" s="56"/>
      <c r="B756" s="56"/>
      <c r="C756" s="56"/>
      <c r="D756" s="56"/>
      <c r="E756" s="57"/>
      <c r="F756" s="58"/>
      <c r="G756" s="56"/>
      <c r="H756" s="56"/>
      <c r="I756" s="59"/>
      <c r="J756" s="56"/>
      <c r="K756" s="56"/>
      <c r="L756" s="56"/>
      <c r="M756" s="1"/>
      <c r="N756" s="1"/>
      <c r="O756" s="1"/>
      <c r="P756" s="1"/>
      <c r="Q756" s="1"/>
      <c r="R756" s="1"/>
      <c r="S756" s="1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</row>
    <row r="757" spans="1:32" ht="58.5" customHeight="1" x14ac:dyDescent="0.25">
      <c r="A757" s="56"/>
      <c r="B757" s="56"/>
      <c r="C757" s="56"/>
      <c r="D757" s="56"/>
      <c r="E757" s="57"/>
      <c r="F757" s="58"/>
      <c r="G757" s="56"/>
      <c r="H757" s="56"/>
      <c r="I757" s="59"/>
      <c r="J757" s="56"/>
      <c r="K757" s="56"/>
      <c r="L757" s="56"/>
      <c r="M757" s="1"/>
      <c r="N757" s="1"/>
      <c r="O757" s="1"/>
      <c r="P757" s="1"/>
      <c r="Q757" s="1"/>
      <c r="R757" s="1"/>
      <c r="S757" s="1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</row>
    <row r="758" spans="1:32" ht="58.5" customHeight="1" x14ac:dyDescent="0.25">
      <c r="A758" s="56"/>
      <c r="B758" s="56"/>
      <c r="C758" s="56"/>
      <c r="D758" s="56"/>
      <c r="E758" s="57"/>
      <c r="F758" s="58"/>
      <c r="G758" s="56"/>
      <c r="H758" s="56"/>
      <c r="I758" s="59"/>
      <c r="J758" s="56"/>
      <c r="K758" s="56"/>
      <c r="L758" s="56"/>
      <c r="M758" s="1"/>
      <c r="N758" s="1"/>
      <c r="O758" s="1"/>
      <c r="P758" s="1"/>
      <c r="Q758" s="1"/>
      <c r="R758" s="1"/>
      <c r="S758" s="1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</row>
    <row r="759" spans="1:32" ht="58.5" customHeight="1" x14ac:dyDescent="0.25">
      <c r="A759" s="56"/>
      <c r="B759" s="56"/>
      <c r="C759" s="56"/>
      <c r="D759" s="56"/>
      <c r="E759" s="57"/>
      <c r="F759" s="58"/>
      <c r="G759" s="56"/>
      <c r="H759" s="56"/>
      <c r="I759" s="59"/>
      <c r="J759" s="56"/>
      <c r="K759" s="56"/>
      <c r="L759" s="56"/>
      <c r="M759" s="1"/>
      <c r="N759" s="1"/>
      <c r="O759" s="1"/>
      <c r="P759" s="1"/>
      <c r="Q759" s="1"/>
      <c r="R759" s="1"/>
      <c r="S759" s="1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</row>
    <row r="760" spans="1:32" ht="58.5" customHeight="1" x14ac:dyDescent="0.25">
      <c r="A760" s="56"/>
      <c r="B760" s="56"/>
      <c r="C760" s="56"/>
      <c r="D760" s="56"/>
      <c r="E760" s="57"/>
      <c r="F760" s="58"/>
      <c r="G760" s="56"/>
      <c r="H760" s="56"/>
      <c r="I760" s="59"/>
      <c r="J760" s="56"/>
      <c r="K760" s="56"/>
      <c r="L760" s="56"/>
      <c r="M760" s="1"/>
      <c r="N760" s="1"/>
      <c r="O760" s="1"/>
      <c r="P760" s="1"/>
      <c r="Q760" s="1"/>
      <c r="R760" s="1"/>
      <c r="S760" s="1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</row>
    <row r="761" spans="1:32" ht="58.5" customHeight="1" x14ac:dyDescent="0.25">
      <c r="A761" s="56"/>
      <c r="B761" s="56"/>
      <c r="C761" s="56"/>
      <c r="D761" s="56"/>
      <c r="E761" s="57"/>
      <c r="F761" s="58"/>
      <c r="G761" s="56"/>
      <c r="H761" s="56"/>
      <c r="I761" s="59"/>
      <c r="J761" s="56"/>
      <c r="K761" s="56"/>
      <c r="L761" s="56"/>
      <c r="M761" s="1"/>
      <c r="N761" s="1"/>
      <c r="O761" s="1"/>
      <c r="P761" s="1"/>
      <c r="Q761" s="1"/>
      <c r="R761" s="1"/>
      <c r="S761" s="1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</row>
    <row r="762" spans="1:32" ht="58.5" customHeight="1" x14ac:dyDescent="0.25">
      <c r="A762" s="56"/>
      <c r="B762" s="56"/>
      <c r="C762" s="56"/>
      <c r="D762" s="56"/>
      <c r="E762" s="57"/>
      <c r="F762" s="58"/>
      <c r="G762" s="56"/>
      <c r="H762" s="56"/>
      <c r="I762" s="59"/>
      <c r="J762" s="56"/>
      <c r="K762" s="56"/>
      <c r="L762" s="56"/>
      <c r="M762" s="1"/>
      <c r="N762" s="1"/>
      <c r="O762" s="1"/>
      <c r="P762" s="1"/>
      <c r="Q762" s="1"/>
      <c r="R762" s="1"/>
      <c r="S762" s="1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</row>
    <row r="763" spans="1:32" ht="58.5" customHeight="1" x14ac:dyDescent="0.25">
      <c r="A763" s="56"/>
      <c r="B763" s="56"/>
      <c r="C763" s="56"/>
      <c r="D763" s="56"/>
      <c r="E763" s="57"/>
      <c r="F763" s="58"/>
      <c r="G763" s="56"/>
      <c r="H763" s="56"/>
      <c r="I763" s="59"/>
      <c r="J763" s="56"/>
      <c r="K763" s="56"/>
      <c r="L763" s="56"/>
      <c r="M763" s="1"/>
      <c r="N763" s="1"/>
      <c r="O763" s="1"/>
      <c r="P763" s="1"/>
      <c r="Q763" s="1"/>
      <c r="R763" s="1"/>
      <c r="S763" s="1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</row>
    <row r="764" spans="1:32" ht="58.5" customHeight="1" x14ac:dyDescent="0.25">
      <c r="A764" s="56"/>
      <c r="B764" s="56"/>
      <c r="C764" s="56"/>
      <c r="D764" s="56"/>
      <c r="E764" s="57"/>
      <c r="F764" s="58"/>
      <c r="G764" s="56"/>
      <c r="H764" s="56"/>
      <c r="I764" s="59"/>
      <c r="J764" s="56"/>
      <c r="K764" s="56"/>
      <c r="L764" s="56"/>
      <c r="M764" s="1"/>
      <c r="N764" s="1"/>
      <c r="O764" s="1"/>
      <c r="P764" s="1"/>
      <c r="Q764" s="1"/>
      <c r="R764" s="1"/>
      <c r="S764" s="1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</row>
    <row r="765" spans="1:32" ht="58.5" customHeight="1" x14ac:dyDescent="0.25">
      <c r="A765" s="56"/>
      <c r="B765" s="56"/>
      <c r="C765" s="56"/>
      <c r="D765" s="56"/>
      <c r="E765" s="57"/>
      <c r="F765" s="58"/>
      <c r="G765" s="56"/>
      <c r="H765" s="56"/>
      <c r="I765" s="59"/>
      <c r="J765" s="56"/>
      <c r="K765" s="56"/>
      <c r="L765" s="56"/>
      <c r="M765" s="1"/>
      <c r="N765" s="1"/>
      <c r="O765" s="1"/>
      <c r="P765" s="1"/>
      <c r="Q765" s="1"/>
      <c r="R765" s="1"/>
      <c r="S765" s="1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</row>
    <row r="766" spans="1:32" ht="58.5" customHeight="1" x14ac:dyDescent="0.25">
      <c r="A766" s="56"/>
      <c r="B766" s="56"/>
      <c r="C766" s="56"/>
      <c r="D766" s="56"/>
      <c r="E766" s="57"/>
      <c r="F766" s="58"/>
      <c r="G766" s="56"/>
      <c r="H766" s="56"/>
      <c r="I766" s="59"/>
      <c r="J766" s="56"/>
      <c r="K766" s="56"/>
      <c r="L766" s="56"/>
      <c r="M766" s="1"/>
      <c r="N766" s="1"/>
      <c r="O766" s="1"/>
      <c r="P766" s="1"/>
      <c r="Q766" s="1"/>
      <c r="R766" s="1"/>
      <c r="S766" s="1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</row>
    <row r="767" spans="1:32" ht="58.5" customHeight="1" x14ac:dyDescent="0.25">
      <c r="A767" s="56"/>
      <c r="B767" s="56"/>
      <c r="C767" s="56"/>
      <c r="D767" s="56"/>
      <c r="E767" s="57"/>
      <c r="F767" s="58"/>
      <c r="G767" s="56"/>
      <c r="H767" s="56"/>
      <c r="I767" s="59"/>
      <c r="J767" s="56"/>
      <c r="K767" s="56"/>
      <c r="L767" s="56"/>
      <c r="M767" s="1"/>
      <c r="N767" s="1"/>
      <c r="O767" s="1"/>
      <c r="P767" s="1"/>
      <c r="Q767" s="1"/>
      <c r="R767" s="1"/>
      <c r="S767" s="1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</row>
    <row r="768" spans="1:32" ht="58.5" customHeight="1" x14ac:dyDescent="0.25">
      <c r="A768" s="56"/>
      <c r="B768" s="56"/>
      <c r="C768" s="56"/>
      <c r="D768" s="56"/>
      <c r="E768" s="57"/>
      <c r="F768" s="58"/>
      <c r="G768" s="56"/>
      <c r="H768" s="56"/>
      <c r="I768" s="59"/>
      <c r="J768" s="56"/>
      <c r="K768" s="56"/>
      <c r="L768" s="56"/>
      <c r="M768" s="1"/>
      <c r="N768" s="1"/>
      <c r="O768" s="1"/>
      <c r="P768" s="1"/>
      <c r="Q768" s="1"/>
      <c r="R768" s="1"/>
      <c r="S768" s="1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</row>
    <row r="769" spans="1:32" ht="58.5" customHeight="1" x14ac:dyDescent="0.25">
      <c r="A769" s="56"/>
      <c r="B769" s="56"/>
      <c r="C769" s="56"/>
      <c r="D769" s="56"/>
      <c r="E769" s="57"/>
      <c r="F769" s="58"/>
      <c r="G769" s="56"/>
      <c r="H769" s="56"/>
      <c r="I769" s="59"/>
      <c r="J769" s="56"/>
      <c r="K769" s="56"/>
      <c r="L769" s="56"/>
      <c r="M769" s="1"/>
      <c r="N769" s="1"/>
      <c r="O769" s="1"/>
      <c r="P769" s="1"/>
      <c r="Q769" s="1"/>
      <c r="R769" s="1"/>
      <c r="S769" s="1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</row>
    <row r="770" spans="1:32" ht="58.5" customHeight="1" x14ac:dyDescent="0.25">
      <c r="A770" s="56"/>
      <c r="B770" s="56"/>
      <c r="C770" s="56"/>
      <c r="D770" s="56"/>
      <c r="E770" s="57"/>
      <c r="F770" s="58"/>
      <c r="G770" s="56"/>
      <c r="H770" s="56"/>
      <c r="I770" s="59"/>
      <c r="J770" s="56"/>
      <c r="K770" s="56"/>
      <c r="L770" s="56"/>
      <c r="M770" s="1"/>
      <c r="N770" s="1"/>
      <c r="O770" s="1"/>
      <c r="P770" s="1"/>
      <c r="Q770" s="1"/>
      <c r="R770" s="1"/>
      <c r="S770" s="1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</row>
    <row r="771" spans="1:32" ht="58.5" customHeight="1" x14ac:dyDescent="0.25">
      <c r="A771" s="56"/>
      <c r="B771" s="56"/>
      <c r="C771" s="56"/>
      <c r="D771" s="56"/>
      <c r="E771" s="57"/>
      <c r="F771" s="58"/>
      <c r="G771" s="56"/>
      <c r="H771" s="56"/>
      <c r="I771" s="59"/>
      <c r="J771" s="56"/>
      <c r="K771" s="56"/>
      <c r="L771" s="56"/>
      <c r="M771" s="1"/>
      <c r="N771" s="1"/>
      <c r="O771" s="1"/>
      <c r="P771" s="1"/>
      <c r="Q771" s="1"/>
      <c r="R771" s="1"/>
      <c r="S771" s="1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</row>
    <row r="772" spans="1:32" ht="58.5" customHeight="1" x14ac:dyDescent="0.25">
      <c r="A772" s="56"/>
      <c r="B772" s="56"/>
      <c r="C772" s="56"/>
      <c r="D772" s="56"/>
      <c r="E772" s="57"/>
      <c r="F772" s="58"/>
      <c r="G772" s="56"/>
      <c r="H772" s="56"/>
      <c r="I772" s="59"/>
      <c r="J772" s="56"/>
      <c r="K772" s="56"/>
      <c r="L772" s="56"/>
      <c r="M772" s="1"/>
      <c r="N772" s="1"/>
      <c r="O772" s="1"/>
      <c r="P772" s="1"/>
      <c r="Q772" s="1"/>
      <c r="R772" s="1"/>
      <c r="S772" s="1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</row>
    <row r="773" spans="1:32" ht="58.5" customHeight="1" x14ac:dyDescent="0.25">
      <c r="A773" s="56"/>
      <c r="B773" s="56"/>
      <c r="C773" s="56"/>
      <c r="D773" s="56"/>
      <c r="E773" s="57"/>
      <c r="F773" s="58"/>
      <c r="G773" s="56"/>
      <c r="H773" s="56"/>
      <c r="I773" s="59"/>
      <c r="J773" s="56"/>
      <c r="K773" s="56"/>
      <c r="L773" s="56"/>
      <c r="M773" s="1"/>
      <c r="N773" s="1"/>
      <c r="O773" s="1"/>
      <c r="P773" s="1"/>
      <c r="Q773" s="1"/>
      <c r="R773" s="1"/>
      <c r="S773" s="1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</row>
    <row r="774" spans="1:32" ht="58.5" customHeight="1" x14ac:dyDescent="0.25">
      <c r="A774" s="56"/>
      <c r="B774" s="56"/>
      <c r="C774" s="56"/>
      <c r="D774" s="56"/>
      <c r="E774" s="57"/>
      <c r="F774" s="58"/>
      <c r="G774" s="56"/>
      <c r="H774" s="56"/>
      <c r="I774" s="59"/>
      <c r="J774" s="56"/>
      <c r="K774" s="56"/>
      <c r="L774" s="56"/>
      <c r="M774" s="1"/>
      <c r="N774" s="1"/>
      <c r="O774" s="1"/>
      <c r="P774" s="1"/>
      <c r="Q774" s="1"/>
      <c r="R774" s="1"/>
      <c r="S774" s="1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</row>
    <row r="775" spans="1:32" ht="58.5" customHeight="1" x14ac:dyDescent="0.25">
      <c r="A775" s="56"/>
      <c r="B775" s="56"/>
      <c r="C775" s="56"/>
      <c r="D775" s="56"/>
      <c r="E775" s="57"/>
      <c r="F775" s="58"/>
      <c r="G775" s="56"/>
      <c r="H775" s="56"/>
      <c r="I775" s="59"/>
      <c r="J775" s="56"/>
      <c r="K775" s="56"/>
      <c r="L775" s="56"/>
      <c r="M775" s="1"/>
      <c r="N775" s="1"/>
      <c r="O775" s="1"/>
      <c r="P775" s="1"/>
      <c r="Q775" s="1"/>
      <c r="R775" s="1"/>
      <c r="S775" s="1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</row>
    <row r="776" spans="1:32" ht="58.5" customHeight="1" x14ac:dyDescent="0.25">
      <c r="A776" s="56"/>
      <c r="B776" s="56"/>
      <c r="C776" s="56"/>
      <c r="D776" s="56"/>
      <c r="E776" s="57"/>
      <c r="F776" s="58"/>
      <c r="G776" s="56"/>
      <c r="H776" s="56"/>
      <c r="I776" s="59"/>
      <c r="J776" s="56"/>
      <c r="K776" s="56"/>
      <c r="L776" s="56"/>
      <c r="M776" s="1"/>
      <c r="N776" s="1"/>
      <c r="O776" s="1"/>
      <c r="P776" s="1"/>
      <c r="Q776" s="1"/>
      <c r="R776" s="1"/>
      <c r="S776" s="1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</row>
    <row r="777" spans="1:32" ht="58.5" customHeight="1" x14ac:dyDescent="0.25">
      <c r="A777" s="56"/>
      <c r="B777" s="56"/>
      <c r="C777" s="56"/>
      <c r="D777" s="56"/>
      <c r="E777" s="57"/>
      <c r="F777" s="58"/>
      <c r="G777" s="56"/>
      <c r="H777" s="56"/>
      <c r="I777" s="59"/>
      <c r="J777" s="56"/>
      <c r="K777" s="56"/>
      <c r="L777" s="56"/>
      <c r="M777" s="1"/>
      <c r="N777" s="1"/>
      <c r="O777" s="1"/>
      <c r="P777" s="1"/>
      <c r="Q777" s="1"/>
      <c r="R777" s="1"/>
      <c r="S777" s="1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</row>
    <row r="778" spans="1:32" ht="58.5" customHeight="1" x14ac:dyDescent="0.25">
      <c r="A778" s="56"/>
      <c r="B778" s="56"/>
      <c r="C778" s="56"/>
      <c r="D778" s="56"/>
      <c r="E778" s="57"/>
      <c r="F778" s="58"/>
      <c r="G778" s="56"/>
      <c r="H778" s="56"/>
      <c r="I778" s="59"/>
      <c r="J778" s="56"/>
      <c r="K778" s="56"/>
      <c r="L778" s="56"/>
      <c r="M778" s="1"/>
      <c r="N778" s="1"/>
      <c r="O778" s="1"/>
      <c r="P778" s="1"/>
      <c r="Q778" s="1"/>
      <c r="R778" s="1"/>
      <c r="S778" s="1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</row>
    <row r="779" spans="1:32" ht="58.5" customHeight="1" x14ac:dyDescent="0.25">
      <c r="A779" s="56"/>
      <c r="B779" s="56"/>
      <c r="C779" s="56"/>
      <c r="D779" s="56"/>
      <c r="E779" s="57"/>
      <c r="F779" s="58"/>
      <c r="G779" s="56"/>
      <c r="H779" s="56"/>
      <c r="I779" s="59"/>
      <c r="J779" s="56"/>
      <c r="K779" s="56"/>
      <c r="L779" s="56"/>
      <c r="M779" s="1"/>
      <c r="N779" s="1"/>
      <c r="O779" s="1"/>
      <c r="P779" s="1"/>
      <c r="Q779" s="1"/>
      <c r="R779" s="1"/>
      <c r="S779" s="1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</row>
    <row r="780" spans="1:32" ht="58.5" customHeight="1" x14ac:dyDescent="0.25">
      <c r="A780" s="56"/>
      <c r="B780" s="56"/>
      <c r="C780" s="56"/>
      <c r="D780" s="56"/>
      <c r="E780" s="57"/>
      <c r="F780" s="58"/>
      <c r="G780" s="56"/>
      <c r="H780" s="56"/>
      <c r="I780" s="59"/>
      <c r="J780" s="56"/>
      <c r="K780" s="56"/>
      <c r="L780" s="56"/>
      <c r="M780" s="1"/>
      <c r="N780" s="1"/>
      <c r="O780" s="1"/>
      <c r="P780" s="1"/>
      <c r="Q780" s="1"/>
      <c r="R780" s="1"/>
      <c r="S780" s="1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</row>
    <row r="781" spans="1:32" ht="58.5" customHeight="1" x14ac:dyDescent="0.25">
      <c r="A781" s="56"/>
      <c r="B781" s="56"/>
      <c r="C781" s="56"/>
      <c r="D781" s="56"/>
      <c r="E781" s="57"/>
      <c r="F781" s="58"/>
      <c r="G781" s="56"/>
      <c r="H781" s="56"/>
      <c r="I781" s="59"/>
      <c r="J781" s="56"/>
      <c r="K781" s="56"/>
      <c r="L781" s="56"/>
      <c r="M781" s="1"/>
      <c r="N781" s="1"/>
      <c r="O781" s="1"/>
      <c r="P781" s="1"/>
      <c r="Q781" s="1"/>
      <c r="R781" s="1"/>
      <c r="S781" s="1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</row>
    <row r="782" spans="1:32" ht="58.5" customHeight="1" x14ac:dyDescent="0.25">
      <c r="A782" s="56"/>
      <c r="B782" s="56"/>
      <c r="C782" s="56"/>
      <c r="D782" s="56"/>
      <c r="E782" s="57"/>
      <c r="F782" s="58"/>
      <c r="G782" s="56"/>
      <c r="H782" s="56"/>
      <c r="I782" s="59"/>
      <c r="J782" s="56"/>
      <c r="K782" s="56"/>
      <c r="L782" s="56"/>
      <c r="M782" s="1"/>
      <c r="N782" s="1"/>
      <c r="O782" s="1"/>
      <c r="P782" s="1"/>
      <c r="Q782" s="1"/>
      <c r="R782" s="1"/>
      <c r="S782" s="1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</row>
    <row r="783" spans="1:32" ht="58.5" customHeight="1" x14ac:dyDescent="0.25">
      <c r="A783" s="56"/>
      <c r="B783" s="56"/>
      <c r="C783" s="56"/>
      <c r="D783" s="56"/>
      <c r="E783" s="57"/>
      <c r="F783" s="58"/>
      <c r="G783" s="56"/>
      <c r="H783" s="56"/>
      <c r="I783" s="59"/>
      <c r="J783" s="56"/>
      <c r="K783" s="56"/>
      <c r="L783" s="56"/>
      <c r="M783" s="1"/>
      <c r="N783" s="1"/>
      <c r="O783" s="1"/>
      <c r="P783" s="1"/>
      <c r="Q783" s="1"/>
      <c r="R783" s="1"/>
      <c r="S783" s="1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</row>
    <row r="784" spans="1:32" ht="58.5" customHeight="1" x14ac:dyDescent="0.25">
      <c r="A784" s="56"/>
      <c r="B784" s="56"/>
      <c r="C784" s="56"/>
      <c r="D784" s="56"/>
      <c r="E784" s="57"/>
      <c r="F784" s="58"/>
      <c r="G784" s="56"/>
      <c r="H784" s="56"/>
      <c r="I784" s="59"/>
      <c r="J784" s="56"/>
      <c r="K784" s="56"/>
      <c r="L784" s="56"/>
      <c r="M784" s="1"/>
      <c r="N784" s="1"/>
      <c r="O784" s="1"/>
      <c r="P784" s="1"/>
      <c r="Q784" s="1"/>
      <c r="R784" s="1"/>
      <c r="S784" s="1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</row>
    <row r="785" spans="1:32" ht="58.5" customHeight="1" x14ac:dyDescent="0.25">
      <c r="A785" s="56"/>
      <c r="B785" s="56"/>
      <c r="C785" s="56"/>
      <c r="D785" s="56"/>
      <c r="E785" s="57"/>
      <c r="F785" s="58"/>
      <c r="G785" s="56"/>
      <c r="H785" s="56"/>
      <c r="I785" s="59"/>
      <c r="J785" s="56"/>
      <c r="K785" s="56"/>
      <c r="L785" s="56"/>
      <c r="M785" s="1"/>
      <c r="N785" s="1"/>
      <c r="O785" s="1"/>
      <c r="P785" s="1"/>
      <c r="Q785" s="1"/>
      <c r="R785" s="1"/>
      <c r="S785" s="1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</row>
    <row r="786" spans="1:32" ht="58.5" customHeight="1" x14ac:dyDescent="0.25">
      <c r="A786" s="56"/>
      <c r="B786" s="56"/>
      <c r="C786" s="56"/>
      <c r="D786" s="56"/>
      <c r="E786" s="57"/>
      <c r="F786" s="58"/>
      <c r="G786" s="56"/>
      <c r="H786" s="56"/>
      <c r="I786" s="59"/>
      <c r="J786" s="56"/>
      <c r="K786" s="56"/>
      <c r="L786" s="56"/>
      <c r="M786" s="1"/>
      <c r="N786" s="1"/>
      <c r="O786" s="1"/>
      <c r="P786" s="1"/>
      <c r="Q786" s="1"/>
      <c r="R786" s="1"/>
      <c r="S786" s="1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</row>
    <row r="787" spans="1:32" ht="58.5" customHeight="1" x14ac:dyDescent="0.25">
      <c r="A787" s="56"/>
      <c r="B787" s="56"/>
      <c r="C787" s="56"/>
      <c r="D787" s="56"/>
      <c r="E787" s="57"/>
      <c r="F787" s="58"/>
      <c r="G787" s="56"/>
      <c r="H787" s="56"/>
      <c r="I787" s="59"/>
      <c r="J787" s="56"/>
      <c r="K787" s="56"/>
      <c r="L787" s="56"/>
      <c r="M787" s="1"/>
      <c r="N787" s="1"/>
      <c r="O787" s="1"/>
      <c r="P787" s="1"/>
      <c r="Q787" s="1"/>
      <c r="R787" s="1"/>
      <c r="S787" s="1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</row>
    <row r="788" spans="1:32" ht="58.5" customHeight="1" x14ac:dyDescent="0.25">
      <c r="A788" s="56"/>
      <c r="B788" s="56"/>
      <c r="C788" s="56"/>
      <c r="D788" s="56"/>
      <c r="E788" s="57"/>
      <c r="F788" s="58"/>
      <c r="G788" s="56"/>
      <c r="H788" s="56"/>
      <c r="I788" s="59"/>
      <c r="J788" s="56"/>
      <c r="K788" s="56"/>
      <c r="L788" s="56"/>
      <c r="M788" s="1"/>
      <c r="N788" s="1"/>
      <c r="O788" s="1"/>
      <c r="P788" s="1"/>
      <c r="Q788" s="1"/>
      <c r="R788" s="1"/>
      <c r="S788" s="1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</row>
    <row r="789" spans="1:32" ht="58.5" customHeight="1" x14ac:dyDescent="0.25">
      <c r="A789" s="56"/>
      <c r="B789" s="56"/>
      <c r="C789" s="56"/>
      <c r="D789" s="56"/>
      <c r="E789" s="57"/>
      <c r="F789" s="58"/>
      <c r="G789" s="56"/>
      <c r="H789" s="56"/>
      <c r="I789" s="59"/>
      <c r="J789" s="56"/>
      <c r="K789" s="56"/>
      <c r="L789" s="56"/>
      <c r="M789" s="1"/>
      <c r="N789" s="1"/>
      <c r="O789" s="1"/>
      <c r="P789" s="1"/>
      <c r="Q789" s="1"/>
      <c r="R789" s="1"/>
      <c r="S789" s="1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</row>
    <row r="790" spans="1:32" ht="58.5" customHeight="1" x14ac:dyDescent="0.25">
      <c r="A790" s="56"/>
      <c r="B790" s="56"/>
      <c r="C790" s="56"/>
      <c r="D790" s="56"/>
      <c r="E790" s="57"/>
      <c r="F790" s="58"/>
      <c r="G790" s="56"/>
      <c r="H790" s="56"/>
      <c r="I790" s="59"/>
      <c r="J790" s="56"/>
      <c r="K790" s="56"/>
      <c r="L790" s="56"/>
      <c r="M790" s="1"/>
      <c r="N790" s="1"/>
      <c r="O790" s="1"/>
      <c r="P790" s="1"/>
      <c r="Q790" s="1"/>
      <c r="R790" s="1"/>
      <c r="S790" s="1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</row>
    <row r="791" spans="1:32" ht="58.5" customHeight="1" x14ac:dyDescent="0.25">
      <c r="A791" s="56"/>
      <c r="B791" s="56"/>
      <c r="C791" s="56"/>
      <c r="D791" s="56"/>
      <c r="E791" s="57"/>
      <c r="F791" s="58"/>
      <c r="G791" s="56"/>
      <c r="H791" s="56"/>
      <c r="I791" s="59"/>
      <c r="J791" s="56"/>
      <c r="K791" s="56"/>
      <c r="L791" s="56"/>
      <c r="M791" s="1"/>
      <c r="N791" s="1"/>
      <c r="O791" s="1"/>
      <c r="P791" s="1"/>
      <c r="Q791" s="1"/>
      <c r="R791" s="1"/>
      <c r="S791" s="1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</row>
    <row r="792" spans="1:32" ht="58.5" customHeight="1" x14ac:dyDescent="0.25">
      <c r="A792" s="56"/>
      <c r="B792" s="56"/>
      <c r="C792" s="56"/>
      <c r="D792" s="56"/>
      <c r="E792" s="57"/>
      <c r="F792" s="58"/>
      <c r="G792" s="56"/>
      <c r="H792" s="56"/>
      <c r="I792" s="59"/>
      <c r="J792" s="56"/>
      <c r="K792" s="56"/>
      <c r="L792" s="56"/>
      <c r="M792" s="1"/>
      <c r="N792" s="1"/>
      <c r="O792" s="1"/>
      <c r="P792" s="1"/>
      <c r="Q792" s="1"/>
      <c r="R792" s="1"/>
      <c r="S792" s="1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</row>
    <row r="793" spans="1:32" ht="58.5" customHeight="1" x14ac:dyDescent="0.25">
      <c r="A793" s="56"/>
      <c r="B793" s="56"/>
      <c r="C793" s="56"/>
      <c r="D793" s="56"/>
      <c r="E793" s="57"/>
      <c r="F793" s="58"/>
      <c r="G793" s="56"/>
      <c r="H793" s="56"/>
      <c r="I793" s="59"/>
      <c r="J793" s="56"/>
      <c r="K793" s="56"/>
      <c r="L793" s="56"/>
      <c r="M793" s="1"/>
      <c r="N793" s="1"/>
      <c r="O793" s="1"/>
      <c r="P793" s="1"/>
      <c r="Q793" s="1"/>
      <c r="R793" s="1"/>
      <c r="S793" s="1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</row>
    <row r="794" spans="1:32" ht="58.5" customHeight="1" x14ac:dyDescent="0.25">
      <c r="A794" s="56"/>
      <c r="B794" s="56"/>
      <c r="C794" s="56"/>
      <c r="D794" s="56"/>
      <c r="E794" s="57"/>
      <c r="F794" s="58"/>
      <c r="G794" s="56"/>
      <c r="H794" s="56"/>
      <c r="I794" s="59"/>
      <c r="J794" s="56"/>
      <c r="K794" s="56"/>
      <c r="L794" s="56"/>
      <c r="M794" s="1"/>
      <c r="N794" s="1"/>
      <c r="O794" s="1"/>
      <c r="P794" s="1"/>
      <c r="Q794" s="1"/>
      <c r="R794" s="1"/>
      <c r="S794" s="1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</row>
    <row r="795" spans="1:32" ht="58.5" customHeight="1" x14ac:dyDescent="0.25">
      <c r="A795" s="56"/>
      <c r="B795" s="56"/>
      <c r="C795" s="56"/>
      <c r="D795" s="56"/>
      <c r="E795" s="57"/>
      <c r="F795" s="58"/>
      <c r="G795" s="56"/>
      <c r="H795" s="56"/>
      <c r="I795" s="59"/>
      <c r="J795" s="56"/>
      <c r="K795" s="56"/>
      <c r="L795" s="56"/>
      <c r="M795" s="1"/>
      <c r="N795" s="1"/>
      <c r="O795" s="1"/>
      <c r="P795" s="1"/>
      <c r="Q795" s="1"/>
      <c r="R795" s="1"/>
      <c r="S795" s="1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</row>
    <row r="796" spans="1:32" ht="58.5" customHeight="1" x14ac:dyDescent="0.25">
      <c r="A796" s="56"/>
      <c r="B796" s="56"/>
      <c r="C796" s="56"/>
      <c r="D796" s="56"/>
      <c r="E796" s="57"/>
      <c r="F796" s="58"/>
      <c r="G796" s="56"/>
      <c r="H796" s="56"/>
      <c r="I796" s="59"/>
      <c r="J796" s="56"/>
      <c r="K796" s="56"/>
      <c r="L796" s="56"/>
      <c r="M796" s="1"/>
      <c r="N796" s="1"/>
      <c r="O796" s="1"/>
      <c r="P796" s="1"/>
      <c r="Q796" s="1"/>
      <c r="R796" s="1"/>
      <c r="S796" s="1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</row>
    <row r="797" spans="1:32" ht="58.5" customHeight="1" x14ac:dyDescent="0.25">
      <c r="A797" s="56"/>
      <c r="B797" s="56"/>
      <c r="C797" s="56"/>
      <c r="D797" s="56"/>
      <c r="E797" s="57"/>
      <c r="F797" s="58"/>
      <c r="G797" s="56"/>
      <c r="H797" s="56"/>
      <c r="I797" s="59"/>
      <c r="J797" s="56"/>
      <c r="K797" s="56"/>
      <c r="L797" s="56"/>
      <c r="M797" s="1"/>
      <c r="N797" s="1"/>
      <c r="O797" s="1"/>
      <c r="P797" s="1"/>
      <c r="Q797" s="1"/>
      <c r="R797" s="1"/>
      <c r="S797" s="1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</row>
    <row r="798" spans="1:32" ht="58.5" customHeight="1" x14ac:dyDescent="0.25">
      <c r="A798" s="56"/>
      <c r="B798" s="56"/>
      <c r="C798" s="56"/>
      <c r="D798" s="56"/>
      <c r="E798" s="57"/>
      <c r="F798" s="58"/>
      <c r="G798" s="56"/>
      <c r="H798" s="56"/>
      <c r="I798" s="59"/>
      <c r="J798" s="56"/>
      <c r="K798" s="56"/>
      <c r="L798" s="56"/>
      <c r="M798" s="1"/>
      <c r="N798" s="1"/>
      <c r="O798" s="1"/>
      <c r="P798" s="1"/>
      <c r="Q798" s="1"/>
      <c r="R798" s="1"/>
      <c r="S798" s="1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</row>
    <row r="799" spans="1:32" ht="58.5" customHeight="1" x14ac:dyDescent="0.25">
      <c r="A799" s="56"/>
      <c r="B799" s="56"/>
      <c r="C799" s="56"/>
      <c r="D799" s="56"/>
      <c r="E799" s="57"/>
      <c r="F799" s="58"/>
      <c r="G799" s="56"/>
      <c r="H799" s="56"/>
      <c r="I799" s="59"/>
      <c r="J799" s="56"/>
      <c r="K799" s="56"/>
      <c r="L799" s="56"/>
      <c r="M799" s="1"/>
      <c r="N799" s="1"/>
      <c r="O799" s="1"/>
      <c r="P799" s="1"/>
      <c r="Q799" s="1"/>
      <c r="R799" s="1"/>
      <c r="S799" s="1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</row>
    <row r="800" spans="1:32" ht="58.5" customHeight="1" x14ac:dyDescent="0.25">
      <c r="A800" s="56"/>
      <c r="B800" s="56"/>
      <c r="C800" s="56"/>
      <c r="D800" s="56"/>
      <c r="E800" s="57"/>
      <c r="F800" s="58"/>
      <c r="G800" s="56"/>
      <c r="H800" s="56"/>
      <c r="I800" s="59"/>
      <c r="J800" s="56"/>
      <c r="K800" s="56"/>
      <c r="L800" s="56"/>
      <c r="M800" s="1"/>
      <c r="N800" s="1"/>
      <c r="O800" s="1"/>
      <c r="P800" s="1"/>
      <c r="Q800" s="1"/>
      <c r="R800" s="1"/>
      <c r="S800" s="1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</row>
    <row r="801" spans="1:32" ht="58.5" customHeight="1" x14ac:dyDescent="0.25">
      <c r="A801" s="56"/>
      <c r="B801" s="56"/>
      <c r="C801" s="56"/>
      <c r="D801" s="56"/>
      <c r="E801" s="57"/>
      <c r="F801" s="58"/>
      <c r="G801" s="56"/>
      <c r="H801" s="56"/>
      <c r="I801" s="59"/>
      <c r="J801" s="56"/>
      <c r="K801" s="56"/>
      <c r="L801" s="56"/>
      <c r="M801" s="1"/>
      <c r="N801" s="1"/>
      <c r="O801" s="1"/>
      <c r="P801" s="1"/>
      <c r="Q801" s="1"/>
      <c r="R801" s="1"/>
      <c r="S801" s="1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</row>
    <row r="802" spans="1:32" ht="58.5" customHeight="1" x14ac:dyDescent="0.25">
      <c r="A802" s="56"/>
      <c r="B802" s="56"/>
      <c r="C802" s="56"/>
      <c r="D802" s="56"/>
      <c r="E802" s="57"/>
      <c r="F802" s="58"/>
      <c r="G802" s="56"/>
      <c r="H802" s="56"/>
      <c r="I802" s="59"/>
      <c r="J802" s="56"/>
      <c r="K802" s="56"/>
      <c r="L802" s="56"/>
      <c r="M802" s="1"/>
      <c r="N802" s="1"/>
      <c r="O802" s="1"/>
      <c r="P802" s="1"/>
      <c r="Q802" s="1"/>
      <c r="R802" s="1"/>
      <c r="S802" s="1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</row>
    <row r="803" spans="1:32" ht="58.5" customHeight="1" x14ac:dyDescent="0.25">
      <c r="A803" s="56"/>
      <c r="B803" s="56"/>
      <c r="C803" s="56"/>
      <c r="D803" s="56"/>
      <c r="E803" s="57"/>
      <c r="F803" s="58"/>
      <c r="G803" s="56"/>
      <c r="H803" s="56"/>
      <c r="I803" s="59"/>
      <c r="J803" s="56"/>
      <c r="K803" s="56"/>
      <c r="L803" s="56"/>
      <c r="M803" s="1"/>
      <c r="N803" s="1"/>
      <c r="O803" s="1"/>
      <c r="P803" s="1"/>
      <c r="Q803" s="1"/>
      <c r="R803" s="1"/>
      <c r="S803" s="1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</row>
    <row r="804" spans="1:32" ht="58.5" customHeight="1" x14ac:dyDescent="0.25">
      <c r="A804" s="56"/>
      <c r="B804" s="56"/>
      <c r="C804" s="56"/>
      <c r="D804" s="56"/>
      <c r="E804" s="57"/>
      <c r="F804" s="58"/>
      <c r="G804" s="56"/>
      <c r="H804" s="56"/>
      <c r="I804" s="59"/>
      <c r="J804" s="56"/>
      <c r="K804" s="56"/>
      <c r="L804" s="56"/>
      <c r="M804" s="1"/>
      <c r="N804" s="1"/>
      <c r="O804" s="1"/>
      <c r="P804" s="1"/>
      <c r="Q804" s="1"/>
      <c r="R804" s="1"/>
      <c r="S804" s="1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</row>
    <row r="805" spans="1:32" ht="58.5" customHeight="1" x14ac:dyDescent="0.25">
      <c r="A805" s="56"/>
      <c r="B805" s="56"/>
      <c r="C805" s="56"/>
      <c r="D805" s="56"/>
      <c r="E805" s="57"/>
      <c r="F805" s="58"/>
      <c r="G805" s="56"/>
      <c r="H805" s="56"/>
      <c r="I805" s="59"/>
      <c r="J805" s="56"/>
      <c r="K805" s="56"/>
      <c r="L805" s="56"/>
      <c r="M805" s="1"/>
      <c r="N805" s="1"/>
      <c r="O805" s="1"/>
      <c r="P805" s="1"/>
      <c r="Q805" s="1"/>
      <c r="R805" s="1"/>
      <c r="S805" s="1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</row>
    <row r="806" spans="1:32" ht="58.5" customHeight="1" x14ac:dyDescent="0.25">
      <c r="A806" s="56"/>
      <c r="B806" s="56"/>
      <c r="C806" s="56"/>
      <c r="D806" s="56"/>
      <c r="E806" s="57"/>
      <c r="F806" s="58"/>
      <c r="G806" s="56"/>
      <c r="H806" s="56"/>
      <c r="I806" s="59"/>
      <c r="J806" s="56"/>
      <c r="K806" s="56"/>
      <c r="L806" s="56"/>
      <c r="M806" s="1"/>
      <c r="N806" s="1"/>
      <c r="O806" s="1"/>
      <c r="P806" s="1"/>
      <c r="Q806" s="1"/>
      <c r="R806" s="1"/>
      <c r="S806" s="1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</row>
    <row r="807" spans="1:32" ht="58.5" customHeight="1" x14ac:dyDescent="0.25">
      <c r="A807" s="56"/>
      <c r="B807" s="56"/>
      <c r="C807" s="56"/>
      <c r="D807" s="56"/>
      <c r="E807" s="57"/>
      <c r="F807" s="58"/>
      <c r="G807" s="56"/>
      <c r="H807" s="56"/>
      <c r="I807" s="59"/>
      <c r="J807" s="56"/>
      <c r="K807" s="56"/>
      <c r="L807" s="56"/>
      <c r="M807" s="1"/>
      <c r="N807" s="1"/>
      <c r="O807" s="1"/>
      <c r="P807" s="1"/>
      <c r="Q807" s="1"/>
      <c r="R807" s="1"/>
      <c r="S807" s="1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</row>
    <row r="808" spans="1:32" ht="58.5" customHeight="1" x14ac:dyDescent="0.25">
      <c r="A808" s="56"/>
      <c r="B808" s="56"/>
      <c r="C808" s="56"/>
      <c r="D808" s="56"/>
      <c r="E808" s="57"/>
      <c r="F808" s="58"/>
      <c r="G808" s="56"/>
      <c r="H808" s="56"/>
      <c r="I808" s="59"/>
      <c r="J808" s="56"/>
      <c r="K808" s="56"/>
      <c r="L808" s="56"/>
      <c r="M808" s="1"/>
      <c r="N808" s="1"/>
      <c r="O808" s="1"/>
      <c r="P808" s="1"/>
      <c r="Q808" s="1"/>
      <c r="R808" s="1"/>
      <c r="S808" s="1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</row>
    <row r="809" spans="1:32" ht="58.5" customHeight="1" x14ac:dyDescent="0.25">
      <c r="A809" s="56"/>
      <c r="B809" s="56"/>
      <c r="C809" s="56"/>
      <c r="D809" s="56"/>
      <c r="E809" s="57"/>
      <c r="F809" s="58"/>
      <c r="G809" s="56"/>
      <c r="H809" s="56"/>
      <c r="I809" s="59"/>
      <c r="J809" s="56"/>
      <c r="K809" s="56"/>
      <c r="L809" s="56"/>
      <c r="M809" s="1"/>
      <c r="N809" s="1"/>
      <c r="O809" s="1"/>
      <c r="P809" s="1"/>
      <c r="Q809" s="1"/>
      <c r="R809" s="1"/>
      <c r="S809" s="1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</row>
    <row r="810" spans="1:32" ht="58.5" customHeight="1" x14ac:dyDescent="0.25">
      <c r="A810" s="56"/>
      <c r="B810" s="56"/>
      <c r="C810" s="56"/>
      <c r="D810" s="56"/>
      <c r="E810" s="57"/>
      <c r="F810" s="58"/>
      <c r="G810" s="56"/>
      <c r="H810" s="56"/>
      <c r="I810" s="59"/>
      <c r="J810" s="56"/>
      <c r="K810" s="56"/>
      <c r="L810" s="56"/>
      <c r="M810" s="1"/>
      <c r="N810" s="1"/>
      <c r="O810" s="1"/>
      <c r="P810" s="1"/>
      <c r="Q810" s="1"/>
      <c r="R810" s="1"/>
      <c r="S810" s="1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</row>
    <row r="811" spans="1:32" ht="58.5" customHeight="1" x14ac:dyDescent="0.25">
      <c r="A811" s="56"/>
      <c r="B811" s="56"/>
      <c r="C811" s="56"/>
      <c r="D811" s="56"/>
      <c r="E811" s="57"/>
      <c r="F811" s="58"/>
      <c r="G811" s="56"/>
      <c r="H811" s="56"/>
      <c r="I811" s="59"/>
      <c r="J811" s="56"/>
      <c r="K811" s="56"/>
      <c r="L811" s="56"/>
      <c r="M811" s="1"/>
      <c r="N811" s="1"/>
      <c r="O811" s="1"/>
      <c r="P811" s="1"/>
      <c r="Q811" s="1"/>
      <c r="R811" s="1"/>
      <c r="S811" s="1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</row>
    <row r="812" spans="1:32" ht="58.5" customHeight="1" x14ac:dyDescent="0.25">
      <c r="A812" s="56"/>
      <c r="B812" s="56"/>
      <c r="C812" s="56"/>
      <c r="D812" s="56"/>
      <c r="E812" s="57"/>
      <c r="F812" s="58"/>
      <c r="G812" s="56"/>
      <c r="H812" s="56"/>
      <c r="I812" s="59"/>
      <c r="J812" s="56"/>
      <c r="K812" s="56"/>
      <c r="L812" s="56"/>
      <c r="M812" s="1"/>
      <c r="N812" s="1"/>
      <c r="O812" s="1"/>
      <c r="P812" s="1"/>
      <c r="Q812" s="1"/>
      <c r="R812" s="1"/>
      <c r="S812" s="1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</row>
    <row r="813" spans="1:32" ht="58.5" customHeight="1" x14ac:dyDescent="0.25">
      <c r="A813" s="56"/>
      <c r="B813" s="56"/>
      <c r="C813" s="56"/>
      <c r="D813" s="56"/>
      <c r="E813" s="57"/>
      <c r="F813" s="58"/>
      <c r="G813" s="56"/>
      <c r="H813" s="56"/>
      <c r="I813" s="59"/>
      <c r="J813" s="56"/>
      <c r="K813" s="56"/>
      <c r="L813" s="56"/>
      <c r="M813" s="1"/>
      <c r="N813" s="1"/>
      <c r="O813" s="1"/>
      <c r="P813" s="1"/>
      <c r="Q813" s="1"/>
      <c r="R813" s="1"/>
      <c r="S813" s="1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</row>
    <row r="814" spans="1:32" ht="58.5" customHeight="1" x14ac:dyDescent="0.25">
      <c r="A814" s="56"/>
      <c r="B814" s="56"/>
      <c r="C814" s="56"/>
      <c r="D814" s="56"/>
      <c r="E814" s="57"/>
      <c r="F814" s="58"/>
      <c r="G814" s="56"/>
      <c r="H814" s="56"/>
      <c r="I814" s="59"/>
      <c r="J814" s="56"/>
      <c r="K814" s="56"/>
      <c r="L814" s="56"/>
      <c r="M814" s="1"/>
      <c r="N814" s="1"/>
      <c r="O814" s="1"/>
      <c r="P814" s="1"/>
      <c r="Q814" s="1"/>
      <c r="R814" s="1"/>
      <c r="S814" s="1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</row>
    <row r="815" spans="1:32" ht="58.5" customHeight="1" x14ac:dyDescent="0.25">
      <c r="A815" s="56"/>
      <c r="B815" s="56"/>
      <c r="C815" s="56"/>
      <c r="D815" s="56"/>
      <c r="E815" s="57"/>
      <c r="F815" s="58"/>
      <c r="G815" s="56"/>
      <c r="H815" s="56"/>
      <c r="I815" s="59"/>
      <c r="J815" s="56"/>
      <c r="K815" s="56"/>
      <c r="L815" s="56"/>
      <c r="M815" s="1"/>
      <c r="N815" s="1"/>
      <c r="O815" s="1"/>
      <c r="P815" s="1"/>
      <c r="Q815" s="1"/>
      <c r="R815" s="1"/>
      <c r="S815" s="1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</row>
    <row r="816" spans="1:32" ht="58.5" customHeight="1" x14ac:dyDescent="0.25">
      <c r="A816" s="56"/>
      <c r="B816" s="56"/>
      <c r="C816" s="56"/>
      <c r="D816" s="56"/>
      <c r="E816" s="57"/>
      <c r="F816" s="58"/>
      <c r="G816" s="56"/>
      <c r="H816" s="56"/>
      <c r="I816" s="59"/>
      <c r="J816" s="56"/>
      <c r="K816" s="56"/>
      <c r="L816" s="56"/>
      <c r="M816" s="1"/>
      <c r="N816" s="1"/>
      <c r="O816" s="1"/>
      <c r="P816" s="1"/>
      <c r="Q816" s="1"/>
      <c r="R816" s="1"/>
      <c r="S816" s="1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</row>
    <row r="817" spans="1:32" ht="58.5" customHeight="1" x14ac:dyDescent="0.25">
      <c r="A817" s="56"/>
      <c r="B817" s="56"/>
      <c r="C817" s="56"/>
      <c r="D817" s="56"/>
      <c r="E817" s="57"/>
      <c r="F817" s="58"/>
      <c r="G817" s="56"/>
      <c r="H817" s="56"/>
      <c r="I817" s="59"/>
      <c r="J817" s="56"/>
      <c r="K817" s="56"/>
      <c r="L817" s="56"/>
      <c r="M817" s="1"/>
      <c r="N817" s="1"/>
      <c r="O817" s="1"/>
      <c r="P817" s="1"/>
      <c r="Q817" s="1"/>
      <c r="R817" s="1"/>
      <c r="S817" s="1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</row>
    <row r="818" spans="1:32" ht="58.5" customHeight="1" x14ac:dyDescent="0.25">
      <c r="A818" s="56"/>
      <c r="B818" s="56"/>
      <c r="C818" s="56"/>
      <c r="D818" s="56"/>
      <c r="E818" s="57"/>
      <c r="F818" s="58"/>
      <c r="G818" s="56"/>
      <c r="H818" s="56"/>
      <c r="I818" s="59"/>
      <c r="J818" s="56"/>
      <c r="K818" s="56"/>
      <c r="L818" s="56"/>
      <c r="M818" s="1"/>
      <c r="N818" s="1"/>
      <c r="O818" s="1"/>
      <c r="P818" s="1"/>
      <c r="Q818" s="1"/>
      <c r="R818" s="1"/>
      <c r="S818" s="1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</row>
    <row r="819" spans="1:32" ht="58.5" customHeight="1" x14ac:dyDescent="0.25">
      <c r="A819" s="56"/>
      <c r="B819" s="56"/>
      <c r="C819" s="56"/>
      <c r="D819" s="56"/>
      <c r="E819" s="57"/>
      <c r="F819" s="58"/>
      <c r="G819" s="56"/>
      <c r="H819" s="56"/>
      <c r="I819" s="59"/>
      <c r="J819" s="56"/>
      <c r="K819" s="56"/>
      <c r="L819" s="56"/>
      <c r="M819" s="1"/>
      <c r="N819" s="1"/>
      <c r="O819" s="1"/>
      <c r="P819" s="1"/>
      <c r="Q819" s="1"/>
      <c r="R819" s="1"/>
      <c r="S819" s="1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</row>
    <row r="820" spans="1:32" ht="58.5" customHeight="1" x14ac:dyDescent="0.25">
      <c r="A820" s="56"/>
      <c r="B820" s="56"/>
      <c r="C820" s="56"/>
      <c r="D820" s="56"/>
      <c r="E820" s="57"/>
      <c r="F820" s="58"/>
      <c r="G820" s="56"/>
      <c r="H820" s="56"/>
      <c r="I820" s="59"/>
      <c r="J820" s="56"/>
      <c r="K820" s="56"/>
      <c r="L820" s="56"/>
      <c r="M820" s="1"/>
      <c r="N820" s="1"/>
      <c r="O820" s="1"/>
      <c r="P820" s="1"/>
      <c r="Q820" s="1"/>
      <c r="R820" s="1"/>
      <c r="S820" s="1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</row>
    <row r="821" spans="1:32" ht="58.5" customHeight="1" x14ac:dyDescent="0.25">
      <c r="A821" s="56"/>
      <c r="B821" s="56"/>
      <c r="C821" s="56"/>
      <c r="D821" s="56"/>
      <c r="E821" s="57"/>
      <c r="F821" s="58"/>
      <c r="G821" s="56"/>
      <c r="H821" s="56"/>
      <c r="I821" s="59"/>
      <c r="J821" s="56"/>
      <c r="K821" s="56"/>
      <c r="L821" s="56"/>
      <c r="M821" s="1"/>
      <c r="N821" s="1"/>
      <c r="O821" s="1"/>
      <c r="P821" s="1"/>
      <c r="Q821" s="1"/>
      <c r="R821" s="1"/>
      <c r="S821" s="1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</row>
    <row r="822" spans="1:32" ht="58.5" customHeight="1" x14ac:dyDescent="0.25">
      <c r="A822" s="56"/>
      <c r="B822" s="56"/>
      <c r="C822" s="56"/>
      <c r="D822" s="56"/>
      <c r="E822" s="57"/>
      <c r="F822" s="58"/>
      <c r="G822" s="56"/>
      <c r="H822" s="56"/>
      <c r="I822" s="59"/>
      <c r="J822" s="56"/>
      <c r="K822" s="56"/>
      <c r="L822" s="56"/>
      <c r="M822" s="1"/>
      <c r="N822" s="1"/>
      <c r="O822" s="1"/>
      <c r="P822" s="1"/>
      <c r="Q822" s="1"/>
      <c r="R822" s="1"/>
      <c r="S822" s="1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</row>
    <row r="823" spans="1:32" ht="58.5" customHeight="1" x14ac:dyDescent="0.25">
      <c r="A823" s="56"/>
      <c r="B823" s="56"/>
      <c r="C823" s="56"/>
      <c r="D823" s="56"/>
      <c r="E823" s="57"/>
      <c r="F823" s="58"/>
      <c r="G823" s="56"/>
      <c r="H823" s="56"/>
      <c r="I823" s="59"/>
      <c r="J823" s="56"/>
      <c r="K823" s="56"/>
      <c r="L823" s="56"/>
      <c r="M823" s="1"/>
      <c r="N823" s="1"/>
      <c r="O823" s="1"/>
      <c r="P823" s="1"/>
      <c r="Q823" s="1"/>
      <c r="R823" s="1"/>
      <c r="S823" s="1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</row>
    <row r="824" spans="1:32" ht="58.5" customHeight="1" x14ac:dyDescent="0.25">
      <c r="A824" s="56"/>
      <c r="B824" s="56"/>
      <c r="C824" s="56"/>
      <c r="D824" s="56"/>
      <c r="E824" s="57"/>
      <c r="F824" s="58"/>
      <c r="G824" s="56"/>
      <c r="H824" s="56"/>
      <c r="I824" s="59"/>
      <c r="J824" s="56"/>
      <c r="K824" s="56"/>
      <c r="L824" s="56"/>
      <c r="M824" s="1"/>
      <c r="N824" s="1"/>
      <c r="O824" s="1"/>
      <c r="P824" s="1"/>
      <c r="Q824" s="1"/>
      <c r="R824" s="1"/>
      <c r="S824" s="1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</row>
    <row r="825" spans="1:32" ht="58.5" customHeight="1" x14ac:dyDescent="0.25">
      <c r="A825" s="56"/>
      <c r="B825" s="56"/>
      <c r="C825" s="56"/>
      <c r="D825" s="56"/>
      <c r="E825" s="57"/>
      <c r="F825" s="58"/>
      <c r="G825" s="56"/>
      <c r="H825" s="56"/>
      <c r="I825" s="59"/>
      <c r="J825" s="56"/>
      <c r="K825" s="56"/>
      <c r="L825" s="56"/>
      <c r="M825" s="1"/>
      <c r="N825" s="1"/>
      <c r="O825" s="1"/>
      <c r="P825" s="1"/>
      <c r="Q825" s="1"/>
      <c r="R825" s="1"/>
      <c r="S825" s="1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</row>
    <row r="826" spans="1:32" ht="58.5" customHeight="1" x14ac:dyDescent="0.25">
      <c r="A826" s="56"/>
      <c r="B826" s="56"/>
      <c r="C826" s="56"/>
      <c r="D826" s="56"/>
      <c r="E826" s="57"/>
      <c r="F826" s="58"/>
      <c r="G826" s="56"/>
      <c r="H826" s="56"/>
      <c r="I826" s="59"/>
      <c r="J826" s="56"/>
      <c r="K826" s="56"/>
      <c r="L826" s="56"/>
      <c r="M826" s="1"/>
      <c r="N826" s="1"/>
      <c r="O826" s="1"/>
      <c r="P826" s="1"/>
      <c r="Q826" s="1"/>
      <c r="R826" s="1"/>
      <c r="S826" s="1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</row>
    <row r="827" spans="1:32" ht="58.5" customHeight="1" x14ac:dyDescent="0.25">
      <c r="A827" s="56"/>
      <c r="B827" s="56"/>
      <c r="C827" s="56"/>
      <c r="D827" s="56"/>
      <c r="E827" s="57"/>
      <c r="F827" s="58"/>
      <c r="G827" s="56"/>
      <c r="H827" s="56"/>
      <c r="I827" s="59"/>
      <c r="J827" s="56"/>
      <c r="K827" s="56"/>
      <c r="L827" s="56"/>
      <c r="M827" s="1"/>
      <c r="N827" s="1"/>
      <c r="O827" s="1"/>
      <c r="P827" s="1"/>
      <c r="Q827" s="1"/>
      <c r="R827" s="1"/>
      <c r="S827" s="1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</row>
    <row r="828" spans="1:32" ht="58.5" customHeight="1" x14ac:dyDescent="0.25">
      <c r="A828" s="56"/>
      <c r="B828" s="56"/>
      <c r="C828" s="56"/>
      <c r="D828" s="56"/>
      <c r="E828" s="57"/>
      <c r="F828" s="58"/>
      <c r="G828" s="56"/>
      <c r="H828" s="56"/>
      <c r="I828" s="59"/>
      <c r="J828" s="56"/>
      <c r="K828" s="56"/>
      <c r="L828" s="56"/>
      <c r="M828" s="1"/>
      <c r="N828" s="1"/>
      <c r="O828" s="1"/>
      <c r="P828" s="1"/>
      <c r="Q828" s="1"/>
      <c r="R828" s="1"/>
      <c r="S828" s="1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</row>
    <row r="829" spans="1:32" ht="58.5" customHeight="1" x14ac:dyDescent="0.25">
      <c r="A829" s="56"/>
      <c r="B829" s="56"/>
      <c r="C829" s="56"/>
      <c r="D829" s="56"/>
      <c r="E829" s="57"/>
      <c r="F829" s="58"/>
      <c r="G829" s="56"/>
      <c r="H829" s="56"/>
      <c r="I829" s="59"/>
      <c r="J829" s="56"/>
      <c r="K829" s="56"/>
      <c r="L829" s="56"/>
      <c r="M829" s="1"/>
      <c r="N829" s="1"/>
      <c r="O829" s="1"/>
      <c r="P829" s="1"/>
      <c r="Q829" s="1"/>
      <c r="R829" s="1"/>
      <c r="S829" s="1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</row>
    <row r="830" spans="1:32" ht="58.5" customHeight="1" x14ac:dyDescent="0.25">
      <c r="A830" s="56"/>
      <c r="B830" s="56"/>
      <c r="C830" s="56"/>
      <c r="D830" s="56"/>
      <c r="E830" s="57"/>
      <c r="F830" s="58"/>
      <c r="G830" s="56"/>
      <c r="H830" s="56"/>
      <c r="I830" s="59"/>
      <c r="J830" s="56"/>
      <c r="K830" s="56"/>
      <c r="L830" s="56"/>
      <c r="M830" s="1"/>
      <c r="N830" s="1"/>
      <c r="O830" s="1"/>
      <c r="P830" s="1"/>
      <c r="Q830" s="1"/>
      <c r="R830" s="1"/>
      <c r="S830" s="1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</row>
    <row r="831" spans="1:32" ht="58.5" customHeight="1" x14ac:dyDescent="0.25">
      <c r="A831" s="56"/>
      <c r="B831" s="56"/>
      <c r="C831" s="56"/>
      <c r="D831" s="56"/>
      <c r="E831" s="57"/>
      <c r="F831" s="58"/>
      <c r="G831" s="56"/>
      <c r="H831" s="56"/>
      <c r="I831" s="59"/>
      <c r="J831" s="56"/>
      <c r="K831" s="56"/>
      <c r="L831" s="56"/>
      <c r="M831" s="1"/>
      <c r="N831" s="1"/>
      <c r="O831" s="1"/>
      <c r="P831" s="1"/>
      <c r="Q831" s="1"/>
      <c r="R831" s="1"/>
      <c r="S831" s="1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</row>
    <row r="832" spans="1:32" ht="58.5" customHeight="1" x14ac:dyDescent="0.25">
      <c r="A832" s="56"/>
      <c r="B832" s="56"/>
      <c r="C832" s="56"/>
      <c r="D832" s="56"/>
      <c r="E832" s="57"/>
      <c r="F832" s="58"/>
      <c r="G832" s="56"/>
      <c r="H832" s="56"/>
      <c r="I832" s="59"/>
      <c r="J832" s="56"/>
      <c r="K832" s="56"/>
      <c r="L832" s="56"/>
      <c r="M832" s="1"/>
      <c r="N832" s="1"/>
      <c r="O832" s="1"/>
      <c r="P832" s="1"/>
      <c r="Q832" s="1"/>
      <c r="R832" s="1"/>
      <c r="S832" s="1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</row>
    <row r="833" spans="1:32" ht="58.5" customHeight="1" x14ac:dyDescent="0.25">
      <c r="A833" s="56"/>
      <c r="B833" s="56"/>
      <c r="C833" s="56"/>
      <c r="D833" s="56"/>
      <c r="E833" s="57"/>
      <c r="F833" s="58"/>
      <c r="G833" s="56"/>
      <c r="H833" s="56"/>
      <c r="I833" s="59"/>
      <c r="J833" s="56"/>
      <c r="K833" s="56"/>
      <c r="L833" s="56"/>
      <c r="M833" s="1"/>
      <c r="N833" s="1"/>
      <c r="O833" s="1"/>
      <c r="P833" s="1"/>
      <c r="Q833" s="1"/>
      <c r="R833" s="1"/>
      <c r="S833" s="1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</row>
    <row r="834" spans="1:32" ht="58.5" customHeight="1" x14ac:dyDescent="0.25">
      <c r="A834" s="56"/>
      <c r="B834" s="56"/>
      <c r="C834" s="56"/>
      <c r="D834" s="56"/>
      <c r="E834" s="57"/>
      <c r="F834" s="58"/>
      <c r="G834" s="56"/>
      <c r="H834" s="56"/>
      <c r="I834" s="59"/>
      <c r="J834" s="56"/>
      <c r="K834" s="56"/>
      <c r="L834" s="56"/>
      <c r="M834" s="1"/>
      <c r="N834" s="1"/>
      <c r="O834" s="1"/>
      <c r="P834" s="1"/>
      <c r="Q834" s="1"/>
      <c r="R834" s="1"/>
      <c r="S834" s="1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</row>
    <row r="835" spans="1:32" ht="58.5" customHeight="1" x14ac:dyDescent="0.25">
      <c r="A835" s="56"/>
      <c r="B835" s="56"/>
      <c r="C835" s="56"/>
      <c r="D835" s="56"/>
      <c r="E835" s="57"/>
      <c r="F835" s="58"/>
      <c r="G835" s="56"/>
      <c r="H835" s="56"/>
      <c r="I835" s="59"/>
      <c r="J835" s="56"/>
      <c r="K835" s="56"/>
      <c r="L835" s="56"/>
      <c r="M835" s="1"/>
      <c r="N835" s="1"/>
      <c r="O835" s="1"/>
      <c r="P835" s="1"/>
      <c r="Q835" s="1"/>
      <c r="R835" s="1"/>
      <c r="S835" s="1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</row>
    <row r="836" spans="1:32" ht="58.5" customHeight="1" x14ac:dyDescent="0.25">
      <c r="A836" s="56"/>
      <c r="B836" s="56"/>
      <c r="C836" s="56"/>
      <c r="D836" s="56"/>
      <c r="E836" s="57"/>
      <c r="F836" s="58"/>
      <c r="G836" s="56"/>
      <c r="H836" s="56"/>
      <c r="I836" s="59"/>
      <c r="J836" s="56"/>
      <c r="K836" s="56"/>
      <c r="L836" s="56"/>
      <c r="M836" s="1"/>
      <c r="N836" s="1"/>
      <c r="O836" s="1"/>
      <c r="P836" s="1"/>
      <c r="Q836" s="1"/>
      <c r="R836" s="1"/>
      <c r="S836" s="1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</row>
    <row r="837" spans="1:32" ht="58.5" customHeight="1" x14ac:dyDescent="0.25">
      <c r="A837" s="56"/>
      <c r="B837" s="56"/>
      <c r="C837" s="56"/>
      <c r="D837" s="56"/>
      <c r="E837" s="57"/>
      <c r="F837" s="58"/>
      <c r="G837" s="56"/>
      <c r="H837" s="56"/>
      <c r="I837" s="59"/>
      <c r="J837" s="56"/>
      <c r="K837" s="56"/>
      <c r="L837" s="56"/>
      <c r="M837" s="1"/>
      <c r="N837" s="1"/>
      <c r="O837" s="1"/>
      <c r="P837" s="1"/>
      <c r="Q837" s="1"/>
      <c r="R837" s="1"/>
      <c r="S837" s="1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</row>
    <row r="838" spans="1:32" ht="58.5" customHeight="1" x14ac:dyDescent="0.25">
      <c r="A838" s="56"/>
      <c r="B838" s="56"/>
      <c r="C838" s="56"/>
      <c r="D838" s="56"/>
      <c r="E838" s="57"/>
      <c r="F838" s="58"/>
      <c r="G838" s="56"/>
      <c r="H838" s="56"/>
      <c r="I838" s="59"/>
      <c r="J838" s="56"/>
      <c r="K838" s="56"/>
      <c r="L838" s="56"/>
      <c r="M838" s="1"/>
      <c r="N838" s="1"/>
      <c r="O838" s="1"/>
      <c r="P838" s="1"/>
      <c r="Q838" s="1"/>
      <c r="R838" s="1"/>
      <c r="S838" s="1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</row>
    <row r="839" spans="1:32" ht="58.5" customHeight="1" x14ac:dyDescent="0.25">
      <c r="A839" s="56"/>
      <c r="B839" s="56"/>
      <c r="C839" s="56"/>
      <c r="D839" s="56"/>
      <c r="E839" s="57"/>
      <c r="F839" s="58"/>
      <c r="G839" s="56"/>
      <c r="H839" s="56"/>
      <c r="I839" s="59"/>
      <c r="J839" s="56"/>
      <c r="K839" s="56"/>
      <c r="L839" s="56"/>
      <c r="M839" s="1"/>
      <c r="N839" s="1"/>
      <c r="O839" s="1"/>
      <c r="P839" s="1"/>
      <c r="Q839" s="1"/>
      <c r="R839" s="1"/>
      <c r="S839" s="1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</row>
    <row r="840" spans="1:32" ht="58.5" customHeight="1" x14ac:dyDescent="0.25">
      <c r="A840" s="56"/>
      <c r="B840" s="56"/>
      <c r="C840" s="56"/>
      <c r="D840" s="56"/>
      <c r="E840" s="57"/>
      <c r="F840" s="58"/>
      <c r="G840" s="56"/>
      <c r="H840" s="56"/>
      <c r="I840" s="59"/>
      <c r="J840" s="56"/>
      <c r="K840" s="56"/>
      <c r="L840" s="56"/>
      <c r="M840" s="1"/>
      <c r="N840" s="1"/>
      <c r="O840" s="1"/>
      <c r="P840" s="1"/>
      <c r="Q840" s="1"/>
      <c r="R840" s="1"/>
      <c r="S840" s="1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</row>
    <row r="841" spans="1:32" ht="58.5" customHeight="1" x14ac:dyDescent="0.25">
      <c r="A841" s="56"/>
      <c r="B841" s="56"/>
      <c r="C841" s="56"/>
      <c r="D841" s="56"/>
      <c r="E841" s="57"/>
      <c r="F841" s="58"/>
      <c r="G841" s="56"/>
      <c r="H841" s="56"/>
      <c r="I841" s="59"/>
      <c r="J841" s="56"/>
      <c r="K841" s="56"/>
      <c r="L841" s="56"/>
      <c r="M841" s="1"/>
      <c r="N841" s="1"/>
      <c r="O841" s="1"/>
      <c r="P841" s="1"/>
      <c r="Q841" s="1"/>
      <c r="R841" s="1"/>
      <c r="S841" s="1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</row>
    <row r="842" spans="1:32" ht="58.5" customHeight="1" x14ac:dyDescent="0.25">
      <c r="A842" s="56"/>
      <c r="B842" s="56"/>
      <c r="C842" s="56"/>
      <c r="D842" s="56"/>
      <c r="E842" s="57"/>
      <c r="F842" s="58"/>
      <c r="G842" s="56"/>
      <c r="H842" s="56"/>
      <c r="I842" s="59"/>
      <c r="J842" s="56"/>
      <c r="K842" s="56"/>
      <c r="L842" s="56"/>
      <c r="M842" s="1"/>
      <c r="N842" s="1"/>
      <c r="O842" s="1"/>
      <c r="P842" s="1"/>
      <c r="Q842" s="1"/>
      <c r="R842" s="1"/>
      <c r="S842" s="1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</row>
    <row r="843" spans="1:32" ht="58.5" customHeight="1" x14ac:dyDescent="0.25">
      <c r="A843" s="56"/>
      <c r="B843" s="56"/>
      <c r="C843" s="56"/>
      <c r="D843" s="56"/>
      <c r="E843" s="57"/>
      <c r="F843" s="58"/>
      <c r="G843" s="56"/>
      <c r="H843" s="56"/>
      <c r="I843" s="59"/>
      <c r="J843" s="56"/>
      <c r="K843" s="56"/>
      <c r="L843" s="56"/>
      <c r="M843" s="1"/>
      <c r="N843" s="1"/>
      <c r="O843" s="1"/>
      <c r="P843" s="1"/>
      <c r="Q843" s="1"/>
      <c r="R843" s="1"/>
      <c r="S843" s="1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</row>
    <row r="844" spans="1:32" ht="58.5" customHeight="1" x14ac:dyDescent="0.25">
      <c r="A844" s="56"/>
      <c r="B844" s="56"/>
      <c r="C844" s="56"/>
      <c r="D844" s="56"/>
      <c r="E844" s="57"/>
      <c r="F844" s="58"/>
      <c r="G844" s="56"/>
      <c r="H844" s="56"/>
      <c r="I844" s="59"/>
      <c r="J844" s="56"/>
      <c r="K844" s="56"/>
      <c r="L844" s="56"/>
      <c r="M844" s="1"/>
      <c r="N844" s="1"/>
      <c r="O844" s="1"/>
      <c r="P844" s="1"/>
      <c r="Q844" s="1"/>
      <c r="R844" s="1"/>
      <c r="S844" s="1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</row>
    <row r="845" spans="1:32" ht="58.5" customHeight="1" x14ac:dyDescent="0.25">
      <c r="A845" s="56"/>
      <c r="B845" s="56"/>
      <c r="C845" s="56"/>
      <c r="D845" s="56"/>
      <c r="E845" s="57"/>
      <c r="F845" s="58"/>
      <c r="G845" s="56"/>
      <c r="H845" s="56"/>
      <c r="I845" s="59"/>
      <c r="J845" s="56"/>
      <c r="K845" s="56"/>
      <c r="L845" s="56"/>
      <c r="M845" s="1"/>
      <c r="N845" s="1"/>
      <c r="O845" s="1"/>
      <c r="P845" s="1"/>
      <c r="Q845" s="1"/>
      <c r="R845" s="1"/>
      <c r="S845" s="1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</row>
    <row r="846" spans="1:32" ht="58.5" customHeight="1" x14ac:dyDescent="0.25">
      <c r="A846" s="56"/>
      <c r="B846" s="56"/>
      <c r="C846" s="56"/>
      <c r="D846" s="56"/>
      <c r="E846" s="57"/>
      <c r="F846" s="58"/>
      <c r="G846" s="56"/>
      <c r="H846" s="56"/>
      <c r="I846" s="59"/>
      <c r="J846" s="56"/>
      <c r="K846" s="56"/>
      <c r="L846" s="56"/>
      <c r="M846" s="1"/>
      <c r="N846" s="1"/>
      <c r="O846" s="1"/>
      <c r="P846" s="1"/>
      <c r="Q846" s="1"/>
      <c r="R846" s="1"/>
      <c r="S846" s="1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</row>
    <row r="847" spans="1:32" ht="58.5" customHeight="1" x14ac:dyDescent="0.25">
      <c r="A847" s="56"/>
      <c r="B847" s="56"/>
      <c r="C847" s="56"/>
      <c r="D847" s="56"/>
      <c r="E847" s="57"/>
      <c r="F847" s="58"/>
      <c r="G847" s="56"/>
      <c r="H847" s="56"/>
      <c r="I847" s="59"/>
      <c r="J847" s="56"/>
      <c r="K847" s="56"/>
      <c r="L847" s="56"/>
      <c r="M847" s="1"/>
      <c r="N847" s="1"/>
      <c r="O847" s="1"/>
      <c r="P847" s="1"/>
      <c r="Q847" s="1"/>
      <c r="R847" s="1"/>
      <c r="S847" s="1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</row>
    <row r="848" spans="1:32" ht="58.5" customHeight="1" x14ac:dyDescent="0.25">
      <c r="A848" s="56"/>
      <c r="B848" s="56"/>
      <c r="C848" s="56"/>
      <c r="D848" s="56"/>
      <c r="E848" s="57"/>
      <c r="F848" s="58"/>
      <c r="G848" s="56"/>
      <c r="H848" s="56"/>
      <c r="I848" s="59"/>
      <c r="J848" s="56"/>
      <c r="K848" s="56"/>
      <c r="L848" s="56"/>
      <c r="M848" s="1"/>
      <c r="N848" s="1"/>
      <c r="O848" s="1"/>
      <c r="P848" s="1"/>
      <c r="Q848" s="1"/>
      <c r="R848" s="1"/>
      <c r="S848" s="1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</row>
    <row r="849" spans="1:32" ht="58.5" customHeight="1" x14ac:dyDescent="0.25">
      <c r="A849" s="56"/>
      <c r="B849" s="56"/>
      <c r="C849" s="56"/>
      <c r="D849" s="56"/>
      <c r="E849" s="57"/>
      <c r="F849" s="58"/>
      <c r="G849" s="56"/>
      <c r="H849" s="56"/>
      <c r="I849" s="59"/>
      <c r="J849" s="56"/>
      <c r="K849" s="56"/>
      <c r="L849" s="56"/>
      <c r="M849" s="1"/>
      <c r="N849" s="1"/>
      <c r="O849" s="1"/>
      <c r="P849" s="1"/>
      <c r="Q849" s="1"/>
      <c r="R849" s="1"/>
      <c r="S849" s="1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</row>
    <row r="850" spans="1:32" ht="58.5" customHeight="1" x14ac:dyDescent="0.25">
      <c r="A850" s="56"/>
      <c r="B850" s="56"/>
      <c r="C850" s="56"/>
      <c r="D850" s="56"/>
      <c r="E850" s="57"/>
      <c r="F850" s="58"/>
      <c r="G850" s="56"/>
      <c r="H850" s="56"/>
      <c r="I850" s="59"/>
      <c r="J850" s="56"/>
      <c r="K850" s="56"/>
      <c r="L850" s="56"/>
      <c r="M850" s="1"/>
      <c r="N850" s="1"/>
      <c r="O850" s="1"/>
      <c r="P850" s="1"/>
      <c r="Q850" s="1"/>
      <c r="R850" s="1"/>
      <c r="S850" s="1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</row>
    <row r="851" spans="1:32" ht="58.5" customHeight="1" x14ac:dyDescent="0.25">
      <c r="A851" s="56"/>
      <c r="B851" s="56"/>
      <c r="C851" s="56"/>
      <c r="D851" s="56"/>
      <c r="E851" s="57"/>
      <c r="F851" s="58"/>
      <c r="G851" s="56"/>
      <c r="H851" s="56"/>
      <c r="I851" s="59"/>
      <c r="J851" s="56"/>
      <c r="K851" s="56"/>
      <c r="L851" s="56"/>
      <c r="M851" s="1"/>
      <c r="N851" s="1"/>
      <c r="O851" s="1"/>
      <c r="P851" s="1"/>
      <c r="Q851" s="1"/>
      <c r="R851" s="1"/>
      <c r="S851" s="1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</row>
    <row r="852" spans="1:32" ht="58.5" customHeight="1" x14ac:dyDescent="0.25">
      <c r="A852" s="56"/>
      <c r="B852" s="56"/>
      <c r="C852" s="56"/>
      <c r="D852" s="56"/>
      <c r="E852" s="57"/>
      <c r="F852" s="58"/>
      <c r="G852" s="56"/>
      <c r="H852" s="56"/>
      <c r="I852" s="59"/>
      <c r="J852" s="56"/>
      <c r="K852" s="56"/>
      <c r="L852" s="56"/>
      <c r="M852" s="1"/>
      <c r="N852" s="1"/>
      <c r="O852" s="1"/>
      <c r="P852" s="1"/>
      <c r="Q852" s="1"/>
      <c r="R852" s="1"/>
      <c r="S852" s="1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</row>
    <row r="853" spans="1:32" ht="58.5" customHeight="1" x14ac:dyDescent="0.25">
      <c r="A853" s="56"/>
      <c r="B853" s="56"/>
      <c r="C853" s="56"/>
      <c r="D853" s="56"/>
      <c r="E853" s="57"/>
      <c r="F853" s="58"/>
      <c r="G853" s="56"/>
      <c r="H853" s="56"/>
      <c r="I853" s="59"/>
      <c r="J853" s="56"/>
      <c r="K853" s="56"/>
      <c r="L853" s="56"/>
      <c r="M853" s="1"/>
      <c r="N853" s="1"/>
      <c r="O853" s="1"/>
      <c r="P853" s="1"/>
      <c r="Q853" s="1"/>
      <c r="R853" s="1"/>
      <c r="S853" s="1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</row>
    <row r="854" spans="1:32" ht="58.5" customHeight="1" x14ac:dyDescent="0.25">
      <c r="A854" s="56"/>
      <c r="B854" s="56"/>
      <c r="C854" s="56"/>
      <c r="D854" s="56"/>
      <c r="E854" s="57"/>
      <c r="F854" s="58"/>
      <c r="G854" s="56"/>
      <c r="H854" s="56"/>
      <c r="I854" s="59"/>
      <c r="J854" s="56"/>
      <c r="K854" s="56"/>
      <c r="L854" s="56"/>
      <c r="M854" s="1"/>
      <c r="N854" s="1"/>
      <c r="O854" s="1"/>
      <c r="P854" s="1"/>
      <c r="Q854" s="1"/>
      <c r="R854" s="1"/>
      <c r="S854" s="1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</row>
    <row r="855" spans="1:32" ht="58.5" customHeight="1" x14ac:dyDescent="0.25">
      <c r="A855" s="56"/>
      <c r="B855" s="56"/>
      <c r="C855" s="56"/>
      <c r="D855" s="56"/>
      <c r="E855" s="57"/>
      <c r="F855" s="58"/>
      <c r="G855" s="56"/>
      <c r="H855" s="56"/>
      <c r="I855" s="59"/>
      <c r="J855" s="56"/>
      <c r="K855" s="56"/>
      <c r="L855" s="56"/>
      <c r="M855" s="1"/>
      <c r="N855" s="1"/>
      <c r="O855" s="1"/>
      <c r="P855" s="1"/>
      <c r="Q855" s="1"/>
      <c r="R855" s="1"/>
      <c r="S855" s="1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</row>
    <row r="856" spans="1:32" ht="58.5" customHeight="1" x14ac:dyDescent="0.25">
      <c r="A856" s="56"/>
      <c r="B856" s="56"/>
      <c r="C856" s="56"/>
      <c r="D856" s="56"/>
      <c r="E856" s="57"/>
      <c r="F856" s="58"/>
      <c r="G856" s="56"/>
      <c r="H856" s="56"/>
      <c r="I856" s="59"/>
      <c r="J856" s="56"/>
      <c r="K856" s="56"/>
      <c r="L856" s="56"/>
      <c r="M856" s="1"/>
      <c r="N856" s="1"/>
      <c r="O856" s="1"/>
      <c r="P856" s="1"/>
      <c r="Q856" s="1"/>
      <c r="R856" s="1"/>
      <c r="S856" s="1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</row>
    <row r="857" spans="1:32" ht="58.5" customHeight="1" x14ac:dyDescent="0.25">
      <c r="A857" s="56"/>
      <c r="B857" s="56"/>
      <c r="C857" s="56"/>
      <c r="D857" s="56"/>
      <c r="E857" s="57"/>
      <c r="F857" s="58"/>
      <c r="G857" s="56"/>
      <c r="H857" s="56"/>
      <c r="I857" s="59"/>
      <c r="J857" s="56"/>
      <c r="K857" s="56"/>
      <c r="L857" s="56"/>
      <c r="M857" s="1"/>
      <c r="N857" s="1"/>
      <c r="O857" s="1"/>
      <c r="P857" s="1"/>
      <c r="Q857" s="1"/>
      <c r="R857" s="1"/>
      <c r="S857" s="1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</row>
    <row r="858" spans="1:32" ht="58.5" customHeight="1" x14ac:dyDescent="0.25">
      <c r="A858" s="56"/>
      <c r="B858" s="56"/>
      <c r="C858" s="56"/>
      <c r="D858" s="56"/>
      <c r="E858" s="57"/>
      <c r="F858" s="58"/>
      <c r="G858" s="56"/>
      <c r="H858" s="56"/>
      <c r="I858" s="59"/>
      <c r="J858" s="56"/>
      <c r="K858" s="56"/>
      <c r="L858" s="56"/>
      <c r="M858" s="1"/>
      <c r="N858" s="1"/>
      <c r="O858" s="1"/>
      <c r="P858" s="1"/>
      <c r="Q858" s="1"/>
      <c r="R858" s="1"/>
      <c r="S858" s="1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</row>
    <row r="859" spans="1:32" ht="58.5" customHeight="1" x14ac:dyDescent="0.25">
      <c r="A859" s="56"/>
      <c r="B859" s="56"/>
      <c r="C859" s="56"/>
      <c r="D859" s="56"/>
      <c r="E859" s="57"/>
      <c r="F859" s="58"/>
      <c r="G859" s="56"/>
      <c r="H859" s="56"/>
      <c r="I859" s="59"/>
      <c r="J859" s="56"/>
      <c r="K859" s="56"/>
      <c r="L859" s="56"/>
      <c r="M859" s="1"/>
      <c r="N859" s="1"/>
      <c r="O859" s="1"/>
      <c r="P859" s="1"/>
      <c r="Q859" s="1"/>
      <c r="R859" s="1"/>
      <c r="S859" s="1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</row>
    <row r="860" spans="1:32" ht="58.5" customHeight="1" x14ac:dyDescent="0.25">
      <c r="A860" s="56"/>
      <c r="B860" s="56"/>
      <c r="C860" s="56"/>
      <c r="D860" s="56"/>
      <c r="E860" s="57"/>
      <c r="F860" s="58"/>
      <c r="G860" s="56"/>
      <c r="H860" s="56"/>
      <c r="I860" s="59"/>
      <c r="J860" s="56"/>
      <c r="K860" s="56"/>
      <c r="L860" s="56"/>
      <c r="M860" s="1"/>
      <c r="N860" s="1"/>
      <c r="O860" s="1"/>
      <c r="P860" s="1"/>
      <c r="Q860" s="1"/>
      <c r="R860" s="1"/>
      <c r="S860" s="1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</row>
    <row r="861" spans="1:32" ht="58.5" customHeight="1" x14ac:dyDescent="0.25">
      <c r="A861" s="56"/>
      <c r="B861" s="56"/>
      <c r="C861" s="56"/>
      <c r="D861" s="56"/>
      <c r="E861" s="57"/>
      <c r="F861" s="58"/>
      <c r="G861" s="56"/>
      <c r="H861" s="56"/>
      <c r="I861" s="59"/>
      <c r="J861" s="56"/>
      <c r="K861" s="56"/>
      <c r="L861" s="56"/>
      <c r="M861" s="1"/>
      <c r="N861" s="1"/>
      <c r="O861" s="1"/>
      <c r="P861" s="1"/>
      <c r="Q861" s="1"/>
      <c r="R861" s="1"/>
      <c r="S861" s="1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</row>
    <row r="862" spans="1:32" ht="58.5" customHeight="1" x14ac:dyDescent="0.25">
      <c r="A862" s="56"/>
      <c r="B862" s="56"/>
      <c r="C862" s="56"/>
      <c r="D862" s="56"/>
      <c r="E862" s="57"/>
      <c r="F862" s="58"/>
      <c r="G862" s="56"/>
      <c r="H862" s="56"/>
      <c r="I862" s="59"/>
      <c r="J862" s="56"/>
      <c r="K862" s="56"/>
      <c r="L862" s="56"/>
      <c r="M862" s="1"/>
      <c r="N862" s="1"/>
      <c r="O862" s="1"/>
      <c r="P862" s="1"/>
      <c r="Q862" s="1"/>
      <c r="R862" s="1"/>
      <c r="S862" s="1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</row>
    <row r="863" spans="1:32" ht="58.5" customHeight="1" x14ac:dyDescent="0.25">
      <c r="A863" s="56"/>
      <c r="B863" s="56"/>
      <c r="C863" s="56"/>
      <c r="D863" s="56"/>
      <c r="E863" s="57"/>
      <c r="F863" s="58"/>
      <c r="G863" s="56"/>
      <c r="H863" s="56"/>
      <c r="I863" s="59"/>
      <c r="J863" s="56"/>
      <c r="K863" s="56"/>
      <c r="L863" s="56"/>
      <c r="M863" s="1"/>
      <c r="N863" s="1"/>
      <c r="O863" s="1"/>
      <c r="P863" s="1"/>
      <c r="Q863" s="1"/>
      <c r="R863" s="1"/>
      <c r="S863" s="1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</row>
    <row r="864" spans="1:32" ht="58.5" customHeight="1" x14ac:dyDescent="0.25">
      <c r="A864" s="56"/>
      <c r="B864" s="56"/>
      <c r="C864" s="56"/>
      <c r="D864" s="56"/>
      <c r="E864" s="57"/>
      <c r="F864" s="58"/>
      <c r="G864" s="56"/>
      <c r="H864" s="56"/>
      <c r="I864" s="59"/>
      <c r="J864" s="56"/>
      <c r="K864" s="56"/>
      <c r="L864" s="56"/>
      <c r="M864" s="1"/>
      <c r="N864" s="1"/>
      <c r="O864" s="1"/>
      <c r="P864" s="1"/>
      <c r="Q864" s="1"/>
      <c r="R864" s="1"/>
      <c r="S864" s="1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</row>
    <row r="865" spans="1:32" ht="58.5" customHeight="1" x14ac:dyDescent="0.25">
      <c r="A865" s="56"/>
      <c r="B865" s="56"/>
      <c r="C865" s="56"/>
      <c r="D865" s="56"/>
      <c r="E865" s="57"/>
      <c r="F865" s="58"/>
      <c r="G865" s="56"/>
      <c r="H865" s="56"/>
      <c r="I865" s="59"/>
      <c r="J865" s="56"/>
      <c r="K865" s="56"/>
      <c r="L865" s="56"/>
      <c r="M865" s="1"/>
      <c r="N865" s="1"/>
      <c r="O865" s="1"/>
      <c r="P865" s="1"/>
      <c r="Q865" s="1"/>
      <c r="R865" s="1"/>
      <c r="S865" s="1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</row>
    <row r="866" spans="1:32" ht="58.5" customHeight="1" x14ac:dyDescent="0.25">
      <c r="A866" s="56"/>
      <c r="B866" s="56"/>
      <c r="C866" s="56"/>
      <c r="D866" s="56"/>
      <c r="E866" s="57"/>
      <c r="F866" s="58"/>
      <c r="G866" s="56"/>
      <c r="H866" s="56"/>
      <c r="I866" s="59"/>
      <c r="J866" s="56"/>
      <c r="K866" s="56"/>
      <c r="L866" s="56"/>
      <c r="M866" s="1"/>
      <c r="N866" s="1"/>
      <c r="O866" s="1"/>
      <c r="P866" s="1"/>
      <c r="Q866" s="1"/>
      <c r="R866" s="1"/>
      <c r="S866" s="1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</row>
    <row r="867" spans="1:32" ht="58.5" customHeight="1" x14ac:dyDescent="0.25">
      <c r="A867" s="56"/>
      <c r="B867" s="56"/>
      <c r="C867" s="56"/>
      <c r="D867" s="56"/>
      <c r="E867" s="57"/>
      <c r="F867" s="58"/>
      <c r="G867" s="56"/>
      <c r="H867" s="56"/>
      <c r="I867" s="59"/>
      <c r="J867" s="56"/>
      <c r="K867" s="56"/>
      <c r="L867" s="56"/>
      <c r="M867" s="1"/>
      <c r="N867" s="1"/>
      <c r="O867" s="1"/>
      <c r="P867" s="1"/>
      <c r="Q867" s="1"/>
      <c r="R867" s="1"/>
      <c r="S867" s="1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</row>
    <row r="868" spans="1:32" ht="58.5" customHeight="1" x14ac:dyDescent="0.25">
      <c r="A868" s="56"/>
      <c r="B868" s="56"/>
      <c r="C868" s="56"/>
      <c r="D868" s="56"/>
      <c r="E868" s="57"/>
      <c r="F868" s="58"/>
      <c r="G868" s="56"/>
      <c r="H868" s="56"/>
      <c r="I868" s="59"/>
      <c r="J868" s="56"/>
      <c r="K868" s="56"/>
      <c r="L868" s="56"/>
      <c r="M868" s="1"/>
      <c r="N868" s="1"/>
      <c r="O868" s="1"/>
      <c r="P868" s="1"/>
      <c r="Q868" s="1"/>
      <c r="R868" s="1"/>
      <c r="S868" s="1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</row>
    <row r="869" spans="1:32" ht="58.5" customHeight="1" x14ac:dyDescent="0.25">
      <c r="A869" s="56"/>
      <c r="B869" s="56"/>
      <c r="C869" s="56"/>
      <c r="D869" s="56"/>
      <c r="E869" s="57"/>
      <c r="F869" s="58"/>
      <c r="G869" s="56"/>
      <c r="H869" s="56"/>
      <c r="I869" s="59"/>
      <c r="J869" s="56"/>
      <c r="K869" s="56"/>
      <c r="L869" s="56"/>
      <c r="M869" s="1"/>
      <c r="N869" s="1"/>
      <c r="O869" s="1"/>
      <c r="P869" s="1"/>
      <c r="Q869" s="1"/>
      <c r="R869" s="1"/>
      <c r="S869" s="1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</row>
    <row r="870" spans="1:32" ht="58.5" customHeight="1" x14ac:dyDescent="0.25">
      <c r="A870" s="56"/>
      <c r="B870" s="56"/>
      <c r="C870" s="56"/>
      <c r="D870" s="56"/>
      <c r="E870" s="57"/>
      <c r="F870" s="58"/>
      <c r="G870" s="56"/>
      <c r="H870" s="56"/>
      <c r="I870" s="59"/>
      <c r="J870" s="56"/>
      <c r="K870" s="56"/>
      <c r="L870" s="56"/>
      <c r="M870" s="1"/>
      <c r="N870" s="1"/>
      <c r="O870" s="1"/>
      <c r="P870" s="1"/>
      <c r="Q870" s="1"/>
      <c r="R870" s="1"/>
      <c r="S870" s="1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</row>
    <row r="871" spans="1:32" ht="58.5" customHeight="1" x14ac:dyDescent="0.25">
      <c r="A871" s="56"/>
      <c r="B871" s="56"/>
      <c r="C871" s="56"/>
      <c r="D871" s="56"/>
      <c r="E871" s="57"/>
      <c r="F871" s="58"/>
      <c r="G871" s="56"/>
      <c r="H871" s="56"/>
      <c r="I871" s="59"/>
      <c r="J871" s="56"/>
      <c r="K871" s="56"/>
      <c r="L871" s="56"/>
      <c r="M871" s="1"/>
      <c r="N871" s="1"/>
      <c r="O871" s="1"/>
      <c r="P871" s="1"/>
      <c r="Q871" s="1"/>
      <c r="R871" s="1"/>
      <c r="S871" s="1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</row>
    <row r="872" spans="1:32" ht="58.5" customHeight="1" x14ac:dyDescent="0.25">
      <c r="A872" s="56"/>
      <c r="B872" s="56"/>
      <c r="C872" s="56"/>
      <c r="D872" s="56"/>
      <c r="E872" s="57"/>
      <c r="F872" s="58"/>
      <c r="G872" s="56"/>
      <c r="H872" s="56"/>
      <c r="I872" s="59"/>
      <c r="J872" s="56"/>
      <c r="K872" s="56"/>
      <c r="L872" s="56"/>
      <c r="M872" s="1"/>
      <c r="N872" s="1"/>
      <c r="O872" s="1"/>
      <c r="P872" s="1"/>
      <c r="Q872" s="1"/>
      <c r="R872" s="1"/>
      <c r="S872" s="1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</row>
    <row r="873" spans="1:32" ht="58.5" customHeight="1" x14ac:dyDescent="0.25">
      <c r="A873" s="56"/>
      <c r="B873" s="56"/>
      <c r="C873" s="56"/>
      <c r="D873" s="56"/>
      <c r="E873" s="57"/>
      <c r="F873" s="58"/>
      <c r="G873" s="56"/>
      <c r="H873" s="56"/>
      <c r="I873" s="59"/>
      <c r="J873" s="56"/>
      <c r="K873" s="56"/>
      <c r="L873" s="56"/>
      <c r="M873" s="1"/>
      <c r="N873" s="1"/>
      <c r="O873" s="1"/>
      <c r="P873" s="1"/>
      <c r="Q873" s="1"/>
      <c r="R873" s="1"/>
      <c r="S873" s="1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</row>
    <row r="874" spans="1:32" ht="58.5" customHeight="1" x14ac:dyDescent="0.25">
      <c r="A874" s="56"/>
      <c r="B874" s="56"/>
      <c r="C874" s="56"/>
      <c r="D874" s="56"/>
      <c r="E874" s="57"/>
      <c r="F874" s="58"/>
      <c r="G874" s="56"/>
      <c r="H874" s="56"/>
      <c r="I874" s="59"/>
      <c r="J874" s="56"/>
      <c r="K874" s="56"/>
      <c r="L874" s="56"/>
      <c r="M874" s="1"/>
      <c r="N874" s="1"/>
      <c r="O874" s="1"/>
      <c r="P874" s="1"/>
      <c r="Q874" s="1"/>
      <c r="R874" s="1"/>
      <c r="S874" s="1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</row>
    <row r="875" spans="1:32" ht="58.5" customHeight="1" x14ac:dyDescent="0.25">
      <c r="A875" s="56"/>
      <c r="B875" s="56"/>
      <c r="C875" s="56"/>
      <c r="D875" s="56"/>
      <c r="E875" s="57"/>
      <c r="F875" s="58"/>
      <c r="G875" s="56"/>
      <c r="H875" s="56"/>
      <c r="I875" s="59"/>
      <c r="J875" s="56"/>
      <c r="K875" s="56"/>
      <c r="L875" s="56"/>
      <c r="M875" s="1"/>
      <c r="N875" s="1"/>
      <c r="O875" s="1"/>
      <c r="P875" s="1"/>
      <c r="Q875" s="1"/>
      <c r="R875" s="1"/>
      <c r="S875" s="1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</row>
    <row r="876" spans="1:32" ht="58.5" customHeight="1" x14ac:dyDescent="0.25">
      <c r="A876" s="56"/>
      <c r="B876" s="56"/>
      <c r="C876" s="56"/>
      <c r="D876" s="56"/>
      <c r="E876" s="57"/>
      <c r="F876" s="58"/>
      <c r="G876" s="56"/>
      <c r="H876" s="56"/>
      <c r="I876" s="59"/>
      <c r="J876" s="56"/>
      <c r="K876" s="56"/>
      <c r="L876" s="56"/>
      <c r="M876" s="1"/>
      <c r="N876" s="1"/>
      <c r="O876" s="1"/>
      <c r="P876" s="1"/>
      <c r="Q876" s="1"/>
      <c r="R876" s="1"/>
      <c r="S876" s="1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</row>
    <row r="877" spans="1:32" ht="58.5" customHeight="1" x14ac:dyDescent="0.25">
      <c r="A877" s="56"/>
      <c r="B877" s="56"/>
      <c r="C877" s="56"/>
      <c r="D877" s="56"/>
      <c r="E877" s="57"/>
      <c r="F877" s="58"/>
      <c r="G877" s="56"/>
      <c r="H877" s="56"/>
      <c r="I877" s="59"/>
      <c r="J877" s="56"/>
      <c r="K877" s="56"/>
      <c r="L877" s="56"/>
      <c r="M877" s="1"/>
      <c r="N877" s="1"/>
      <c r="O877" s="1"/>
      <c r="P877" s="1"/>
      <c r="Q877" s="1"/>
      <c r="R877" s="1"/>
      <c r="S877" s="1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</row>
    <row r="878" spans="1:32" ht="58.5" customHeight="1" x14ac:dyDescent="0.25">
      <c r="A878" s="56"/>
      <c r="B878" s="56"/>
      <c r="C878" s="56"/>
      <c r="D878" s="56"/>
      <c r="E878" s="57"/>
      <c r="F878" s="58"/>
      <c r="G878" s="56"/>
      <c r="H878" s="56"/>
      <c r="I878" s="59"/>
      <c r="J878" s="56"/>
      <c r="K878" s="56"/>
      <c r="L878" s="56"/>
      <c r="M878" s="1"/>
      <c r="N878" s="1"/>
      <c r="O878" s="1"/>
      <c r="P878" s="1"/>
      <c r="Q878" s="1"/>
      <c r="R878" s="1"/>
      <c r="S878" s="1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</row>
    <row r="879" spans="1:32" ht="58.5" customHeight="1" x14ac:dyDescent="0.25">
      <c r="A879" s="56"/>
      <c r="B879" s="56"/>
      <c r="C879" s="56"/>
      <c r="D879" s="56"/>
      <c r="E879" s="57"/>
      <c r="F879" s="58"/>
      <c r="G879" s="56"/>
      <c r="H879" s="56"/>
      <c r="I879" s="59"/>
      <c r="J879" s="56"/>
      <c r="K879" s="56"/>
      <c r="L879" s="56"/>
      <c r="M879" s="1"/>
      <c r="N879" s="1"/>
      <c r="O879" s="1"/>
      <c r="P879" s="1"/>
      <c r="Q879" s="1"/>
      <c r="R879" s="1"/>
      <c r="S879" s="1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</row>
    <row r="880" spans="1:32" ht="58.5" customHeight="1" x14ac:dyDescent="0.25">
      <c r="A880" s="56"/>
      <c r="B880" s="56"/>
      <c r="C880" s="56"/>
      <c r="D880" s="56"/>
      <c r="E880" s="57"/>
      <c r="F880" s="58"/>
      <c r="G880" s="56"/>
      <c r="H880" s="56"/>
      <c r="I880" s="59"/>
      <c r="J880" s="56"/>
      <c r="K880" s="56"/>
      <c r="L880" s="56"/>
      <c r="M880" s="1"/>
      <c r="N880" s="1"/>
      <c r="O880" s="1"/>
      <c r="P880" s="1"/>
      <c r="Q880" s="1"/>
      <c r="R880" s="1"/>
      <c r="S880" s="1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</row>
    <row r="881" spans="1:32" ht="58.5" customHeight="1" x14ac:dyDescent="0.25">
      <c r="A881" s="56"/>
      <c r="B881" s="56"/>
      <c r="C881" s="56"/>
      <c r="D881" s="56"/>
      <c r="E881" s="57"/>
      <c r="F881" s="58"/>
      <c r="G881" s="56"/>
      <c r="H881" s="56"/>
      <c r="I881" s="59"/>
      <c r="J881" s="56"/>
      <c r="K881" s="56"/>
      <c r="L881" s="56"/>
      <c r="M881" s="1"/>
      <c r="N881" s="1"/>
      <c r="O881" s="1"/>
      <c r="P881" s="1"/>
      <c r="Q881" s="1"/>
      <c r="R881" s="1"/>
      <c r="S881" s="1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</row>
    <row r="882" spans="1:32" ht="58.5" customHeight="1" x14ac:dyDescent="0.25">
      <c r="A882" s="56"/>
      <c r="B882" s="56"/>
      <c r="C882" s="56"/>
      <c r="D882" s="56"/>
      <c r="E882" s="57"/>
      <c r="F882" s="58"/>
      <c r="G882" s="56"/>
      <c r="H882" s="56"/>
      <c r="I882" s="59"/>
      <c r="J882" s="56"/>
      <c r="K882" s="56"/>
      <c r="L882" s="56"/>
      <c r="M882" s="1"/>
      <c r="N882" s="1"/>
      <c r="O882" s="1"/>
      <c r="P882" s="1"/>
      <c r="Q882" s="1"/>
      <c r="R882" s="1"/>
      <c r="S882" s="1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</row>
    <row r="883" spans="1:32" ht="58.5" customHeight="1" x14ac:dyDescent="0.25">
      <c r="A883" s="56"/>
      <c r="B883" s="56"/>
      <c r="C883" s="56"/>
      <c r="D883" s="56"/>
      <c r="E883" s="57"/>
      <c r="F883" s="58"/>
      <c r="G883" s="56"/>
      <c r="H883" s="56"/>
      <c r="I883" s="59"/>
      <c r="J883" s="56"/>
      <c r="K883" s="56"/>
      <c r="L883" s="56"/>
      <c r="M883" s="1"/>
      <c r="N883" s="1"/>
      <c r="O883" s="1"/>
      <c r="P883" s="1"/>
      <c r="Q883" s="1"/>
      <c r="R883" s="1"/>
      <c r="S883" s="1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</row>
    <row r="884" spans="1:32" ht="58.5" customHeight="1" x14ac:dyDescent="0.25">
      <c r="A884" s="56"/>
      <c r="B884" s="56"/>
      <c r="C884" s="56"/>
      <c r="D884" s="56"/>
      <c r="E884" s="57"/>
      <c r="F884" s="58"/>
      <c r="G884" s="56"/>
      <c r="H884" s="56"/>
      <c r="I884" s="59"/>
      <c r="J884" s="56"/>
      <c r="K884" s="56"/>
      <c r="L884" s="56"/>
      <c r="M884" s="1"/>
      <c r="N884" s="1"/>
      <c r="O884" s="1"/>
      <c r="P884" s="1"/>
      <c r="Q884" s="1"/>
      <c r="R884" s="1"/>
      <c r="S884" s="1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</row>
    <row r="885" spans="1:32" ht="58.5" customHeight="1" x14ac:dyDescent="0.25">
      <c r="A885" s="56"/>
      <c r="B885" s="56"/>
      <c r="C885" s="56"/>
      <c r="D885" s="56"/>
      <c r="E885" s="57"/>
      <c r="F885" s="58"/>
      <c r="G885" s="56"/>
      <c r="H885" s="56"/>
      <c r="I885" s="59"/>
      <c r="J885" s="56"/>
      <c r="K885" s="56"/>
      <c r="L885" s="56"/>
      <c r="M885" s="1"/>
      <c r="N885" s="1"/>
      <c r="O885" s="1"/>
      <c r="P885" s="1"/>
      <c r="Q885" s="1"/>
      <c r="R885" s="1"/>
      <c r="S885" s="1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</row>
    <row r="886" spans="1:32" ht="58.5" customHeight="1" x14ac:dyDescent="0.25">
      <c r="A886" s="56"/>
      <c r="B886" s="56"/>
      <c r="C886" s="56"/>
      <c r="D886" s="56"/>
      <c r="E886" s="57"/>
      <c r="F886" s="58"/>
      <c r="G886" s="56"/>
      <c r="H886" s="56"/>
      <c r="I886" s="59"/>
      <c r="J886" s="56"/>
      <c r="K886" s="56"/>
      <c r="L886" s="56"/>
      <c r="M886" s="1"/>
      <c r="N886" s="1"/>
      <c r="O886" s="1"/>
      <c r="P886" s="1"/>
      <c r="Q886" s="1"/>
      <c r="R886" s="1"/>
      <c r="S886" s="1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</row>
    <row r="887" spans="1:32" ht="58.5" customHeight="1" x14ac:dyDescent="0.25">
      <c r="A887" s="56"/>
      <c r="B887" s="56"/>
      <c r="C887" s="56"/>
      <c r="D887" s="56"/>
      <c r="E887" s="57"/>
      <c r="F887" s="58"/>
      <c r="G887" s="56"/>
      <c r="H887" s="56"/>
      <c r="I887" s="59"/>
      <c r="J887" s="56"/>
      <c r="K887" s="56"/>
      <c r="L887" s="56"/>
      <c r="M887" s="1"/>
      <c r="N887" s="1"/>
      <c r="O887" s="1"/>
      <c r="P887" s="1"/>
      <c r="Q887" s="1"/>
      <c r="R887" s="1"/>
      <c r="S887" s="1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</row>
    <row r="888" spans="1:32" ht="58.5" customHeight="1" x14ac:dyDescent="0.25">
      <c r="A888" s="56"/>
      <c r="B888" s="56"/>
      <c r="C888" s="56"/>
      <c r="D888" s="56"/>
      <c r="E888" s="57"/>
      <c r="F888" s="58"/>
      <c r="G888" s="56"/>
      <c r="H888" s="56"/>
      <c r="I888" s="59"/>
      <c r="J888" s="56"/>
      <c r="K888" s="56"/>
      <c r="L888" s="56"/>
      <c r="M888" s="1"/>
      <c r="N888" s="1"/>
      <c r="O888" s="1"/>
      <c r="P888" s="1"/>
      <c r="Q888" s="1"/>
      <c r="R888" s="1"/>
      <c r="S888" s="1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</row>
    <row r="889" spans="1:32" ht="58.5" customHeight="1" x14ac:dyDescent="0.25">
      <c r="A889" s="56"/>
      <c r="B889" s="56"/>
      <c r="C889" s="56"/>
      <c r="D889" s="56"/>
      <c r="E889" s="57"/>
      <c r="F889" s="58"/>
      <c r="G889" s="56"/>
      <c r="H889" s="56"/>
      <c r="I889" s="59"/>
      <c r="J889" s="56"/>
      <c r="K889" s="56"/>
      <c r="L889" s="56"/>
      <c r="M889" s="1"/>
      <c r="N889" s="1"/>
      <c r="O889" s="1"/>
      <c r="P889" s="1"/>
      <c r="Q889" s="1"/>
      <c r="R889" s="1"/>
      <c r="S889" s="1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</row>
    <row r="890" spans="1:32" ht="58.5" customHeight="1" x14ac:dyDescent="0.25">
      <c r="A890" s="56"/>
      <c r="B890" s="56"/>
      <c r="C890" s="56"/>
      <c r="D890" s="56"/>
      <c r="E890" s="57"/>
      <c r="F890" s="58"/>
      <c r="G890" s="56"/>
      <c r="H890" s="56"/>
      <c r="I890" s="59"/>
      <c r="J890" s="56"/>
      <c r="K890" s="56"/>
      <c r="L890" s="56"/>
      <c r="M890" s="1"/>
      <c r="N890" s="1"/>
      <c r="O890" s="1"/>
      <c r="P890" s="1"/>
      <c r="Q890" s="1"/>
      <c r="R890" s="1"/>
      <c r="S890" s="1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</row>
    <row r="891" spans="1:32" ht="58.5" customHeight="1" x14ac:dyDescent="0.25">
      <c r="A891" s="56"/>
      <c r="B891" s="56"/>
      <c r="C891" s="56"/>
      <c r="D891" s="56"/>
      <c r="E891" s="57"/>
      <c r="F891" s="58"/>
      <c r="G891" s="56"/>
      <c r="H891" s="56"/>
      <c r="I891" s="59"/>
      <c r="J891" s="56"/>
      <c r="K891" s="56"/>
      <c r="L891" s="56"/>
      <c r="M891" s="1"/>
      <c r="N891" s="1"/>
      <c r="O891" s="1"/>
      <c r="P891" s="1"/>
      <c r="Q891" s="1"/>
      <c r="R891" s="1"/>
      <c r="S891" s="1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</row>
    <row r="892" spans="1:32" ht="58.5" customHeight="1" x14ac:dyDescent="0.25">
      <c r="A892" s="56"/>
      <c r="B892" s="56"/>
      <c r="C892" s="56"/>
      <c r="D892" s="56"/>
      <c r="E892" s="57"/>
      <c r="F892" s="58"/>
      <c r="G892" s="56"/>
      <c r="H892" s="56"/>
      <c r="I892" s="59"/>
      <c r="J892" s="56"/>
      <c r="K892" s="56"/>
      <c r="L892" s="56"/>
      <c r="M892" s="1"/>
      <c r="N892" s="1"/>
      <c r="O892" s="1"/>
      <c r="P892" s="1"/>
      <c r="Q892" s="1"/>
      <c r="R892" s="1"/>
      <c r="S892" s="1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</row>
    <row r="893" spans="1:32" ht="58.5" customHeight="1" x14ac:dyDescent="0.25">
      <c r="A893" s="56"/>
      <c r="B893" s="56"/>
      <c r="C893" s="56"/>
      <c r="D893" s="56"/>
      <c r="E893" s="57"/>
      <c r="F893" s="58"/>
      <c r="G893" s="56"/>
      <c r="H893" s="56"/>
      <c r="I893" s="59"/>
      <c r="J893" s="56"/>
      <c r="K893" s="56"/>
      <c r="L893" s="56"/>
      <c r="M893" s="1"/>
      <c r="N893" s="1"/>
      <c r="O893" s="1"/>
      <c r="P893" s="1"/>
      <c r="Q893" s="1"/>
      <c r="R893" s="1"/>
      <c r="S893" s="1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</row>
    <row r="894" spans="1:32" ht="58.5" customHeight="1" x14ac:dyDescent="0.25">
      <c r="A894" s="56"/>
      <c r="B894" s="56"/>
      <c r="C894" s="56"/>
      <c r="D894" s="56"/>
      <c r="E894" s="57"/>
      <c r="F894" s="58"/>
      <c r="G894" s="56"/>
      <c r="H894" s="56"/>
      <c r="I894" s="59"/>
      <c r="J894" s="56"/>
      <c r="K894" s="56"/>
      <c r="L894" s="56"/>
      <c r="M894" s="1"/>
      <c r="N894" s="1"/>
      <c r="O894" s="1"/>
      <c r="P894" s="1"/>
      <c r="Q894" s="1"/>
      <c r="R894" s="1"/>
      <c r="S894" s="1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</row>
    <row r="895" spans="1:32" ht="58.5" customHeight="1" x14ac:dyDescent="0.25">
      <c r="A895" s="56"/>
      <c r="B895" s="56"/>
      <c r="C895" s="56"/>
      <c r="D895" s="56"/>
      <c r="E895" s="57"/>
      <c r="F895" s="58"/>
      <c r="G895" s="56"/>
      <c r="H895" s="56"/>
      <c r="I895" s="59"/>
      <c r="J895" s="56"/>
      <c r="K895" s="56"/>
      <c r="L895" s="56"/>
      <c r="M895" s="1"/>
      <c r="N895" s="1"/>
      <c r="O895" s="1"/>
      <c r="P895" s="1"/>
      <c r="Q895" s="1"/>
      <c r="R895" s="1"/>
      <c r="S895" s="1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</row>
    <row r="896" spans="1:32" ht="58.5" customHeight="1" x14ac:dyDescent="0.25">
      <c r="A896" s="56"/>
      <c r="B896" s="56"/>
      <c r="C896" s="56"/>
      <c r="D896" s="56"/>
      <c r="E896" s="57"/>
      <c r="F896" s="58"/>
      <c r="G896" s="56"/>
      <c r="H896" s="56"/>
      <c r="I896" s="59"/>
      <c r="J896" s="56"/>
      <c r="K896" s="56"/>
      <c r="L896" s="56"/>
      <c r="M896" s="1"/>
      <c r="N896" s="1"/>
      <c r="O896" s="1"/>
      <c r="P896" s="1"/>
      <c r="Q896" s="1"/>
      <c r="R896" s="1"/>
      <c r="S896" s="1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</row>
    <row r="897" spans="1:32" ht="58.5" customHeight="1" x14ac:dyDescent="0.25">
      <c r="A897" s="56"/>
      <c r="B897" s="56"/>
      <c r="C897" s="56"/>
      <c r="D897" s="56"/>
      <c r="E897" s="57"/>
      <c r="F897" s="58"/>
      <c r="G897" s="56"/>
      <c r="H897" s="56"/>
      <c r="I897" s="59"/>
      <c r="J897" s="56"/>
      <c r="K897" s="56"/>
      <c r="L897" s="56"/>
      <c r="M897" s="1"/>
      <c r="N897" s="1"/>
      <c r="O897" s="1"/>
      <c r="P897" s="1"/>
      <c r="Q897" s="1"/>
      <c r="R897" s="1"/>
      <c r="S897" s="1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</row>
    <row r="898" spans="1:32" ht="58.5" customHeight="1" x14ac:dyDescent="0.25">
      <c r="A898" s="56"/>
      <c r="B898" s="56"/>
      <c r="C898" s="56"/>
      <c r="D898" s="56"/>
      <c r="E898" s="57"/>
      <c r="F898" s="58"/>
      <c r="G898" s="56"/>
      <c r="H898" s="56"/>
      <c r="I898" s="59"/>
      <c r="J898" s="56"/>
      <c r="K898" s="56"/>
      <c r="L898" s="56"/>
      <c r="M898" s="1"/>
      <c r="N898" s="1"/>
      <c r="O898" s="1"/>
      <c r="P898" s="1"/>
      <c r="Q898" s="1"/>
      <c r="R898" s="1"/>
      <c r="S898" s="1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</row>
    <row r="899" spans="1:32" ht="58.5" customHeight="1" x14ac:dyDescent="0.25">
      <c r="A899" s="56"/>
      <c r="B899" s="56"/>
      <c r="C899" s="56"/>
      <c r="D899" s="56"/>
      <c r="E899" s="57"/>
      <c r="F899" s="58"/>
      <c r="G899" s="56"/>
      <c r="H899" s="56"/>
      <c r="I899" s="59"/>
      <c r="J899" s="56"/>
      <c r="K899" s="56"/>
      <c r="L899" s="56"/>
      <c r="M899" s="1"/>
      <c r="N899" s="1"/>
      <c r="O899" s="1"/>
      <c r="P899" s="1"/>
      <c r="Q899" s="1"/>
      <c r="R899" s="1"/>
      <c r="S899" s="1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</row>
    <row r="900" spans="1:32" ht="58.5" customHeight="1" x14ac:dyDescent="0.25">
      <c r="A900" s="56"/>
      <c r="B900" s="56"/>
      <c r="C900" s="56"/>
      <c r="D900" s="56"/>
      <c r="E900" s="57"/>
      <c r="F900" s="58"/>
      <c r="G900" s="56"/>
      <c r="H900" s="56"/>
      <c r="I900" s="59"/>
      <c r="J900" s="56"/>
      <c r="K900" s="56"/>
      <c r="L900" s="56"/>
      <c r="M900" s="1"/>
      <c r="N900" s="1"/>
      <c r="O900" s="1"/>
      <c r="P900" s="1"/>
      <c r="Q900" s="1"/>
      <c r="R900" s="1"/>
      <c r="S900" s="1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</row>
    <row r="901" spans="1:32" ht="58.5" customHeight="1" x14ac:dyDescent="0.25">
      <c r="A901" s="56"/>
      <c r="B901" s="56"/>
      <c r="C901" s="56"/>
      <c r="D901" s="56"/>
      <c r="E901" s="57"/>
      <c r="F901" s="58"/>
      <c r="G901" s="56"/>
      <c r="H901" s="56"/>
      <c r="I901" s="59"/>
      <c r="J901" s="56"/>
      <c r="K901" s="56"/>
      <c r="L901" s="56"/>
      <c r="M901" s="1"/>
      <c r="N901" s="1"/>
      <c r="O901" s="1"/>
      <c r="P901" s="1"/>
      <c r="Q901" s="1"/>
      <c r="R901" s="1"/>
      <c r="S901" s="1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</row>
    <row r="902" spans="1:32" ht="58.5" customHeight="1" x14ac:dyDescent="0.25">
      <c r="A902" s="56"/>
      <c r="B902" s="56"/>
      <c r="C902" s="56"/>
      <c r="D902" s="56"/>
      <c r="E902" s="57"/>
      <c r="F902" s="58"/>
      <c r="G902" s="56"/>
      <c r="H902" s="56"/>
      <c r="I902" s="59"/>
      <c r="J902" s="56"/>
      <c r="K902" s="56"/>
      <c r="L902" s="56"/>
      <c r="M902" s="1"/>
      <c r="N902" s="1"/>
      <c r="O902" s="1"/>
      <c r="P902" s="1"/>
      <c r="Q902" s="1"/>
      <c r="R902" s="1"/>
      <c r="S902" s="1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</row>
    <row r="903" spans="1:32" ht="58.5" customHeight="1" x14ac:dyDescent="0.25">
      <c r="A903" s="56"/>
      <c r="B903" s="56"/>
      <c r="C903" s="56"/>
      <c r="D903" s="56"/>
      <c r="E903" s="57"/>
      <c r="F903" s="58"/>
      <c r="G903" s="56"/>
      <c r="H903" s="56"/>
      <c r="I903" s="59"/>
      <c r="J903" s="56"/>
      <c r="K903" s="56"/>
      <c r="L903" s="56"/>
      <c r="M903" s="1"/>
      <c r="N903" s="1"/>
      <c r="O903" s="1"/>
      <c r="P903" s="1"/>
      <c r="Q903" s="1"/>
      <c r="R903" s="1"/>
      <c r="S903" s="1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</row>
    <row r="904" spans="1:32" ht="58.5" customHeight="1" x14ac:dyDescent="0.25">
      <c r="A904" s="56"/>
      <c r="B904" s="56"/>
      <c r="C904" s="56"/>
      <c r="D904" s="56"/>
      <c r="E904" s="57"/>
      <c r="F904" s="58"/>
      <c r="G904" s="56"/>
      <c r="H904" s="56"/>
      <c r="I904" s="59"/>
      <c r="J904" s="56"/>
      <c r="K904" s="56"/>
      <c r="L904" s="56"/>
      <c r="M904" s="1"/>
      <c r="N904" s="1"/>
      <c r="O904" s="1"/>
      <c r="P904" s="1"/>
      <c r="Q904" s="1"/>
      <c r="R904" s="1"/>
      <c r="S904" s="1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</row>
    <row r="905" spans="1:32" ht="58.5" customHeight="1" x14ac:dyDescent="0.25">
      <c r="A905" s="56"/>
      <c r="B905" s="56"/>
      <c r="C905" s="56"/>
      <c r="D905" s="56"/>
      <c r="E905" s="57"/>
      <c r="F905" s="58"/>
      <c r="G905" s="56"/>
      <c r="H905" s="56"/>
      <c r="I905" s="59"/>
      <c r="J905" s="56"/>
      <c r="K905" s="56"/>
      <c r="L905" s="56"/>
      <c r="M905" s="1"/>
      <c r="N905" s="1"/>
      <c r="O905" s="1"/>
      <c r="P905" s="1"/>
      <c r="Q905" s="1"/>
      <c r="R905" s="1"/>
      <c r="S905" s="1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</row>
    <row r="906" spans="1:32" ht="58.5" customHeight="1" x14ac:dyDescent="0.25">
      <c r="A906" s="56"/>
      <c r="B906" s="56"/>
      <c r="C906" s="56"/>
      <c r="D906" s="56"/>
      <c r="E906" s="57"/>
      <c r="F906" s="58"/>
      <c r="G906" s="56"/>
      <c r="H906" s="56"/>
      <c r="I906" s="59"/>
      <c r="J906" s="56"/>
      <c r="K906" s="56"/>
      <c r="L906" s="56"/>
      <c r="M906" s="1"/>
      <c r="N906" s="1"/>
      <c r="O906" s="1"/>
      <c r="P906" s="1"/>
      <c r="Q906" s="1"/>
      <c r="R906" s="1"/>
      <c r="S906" s="1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</row>
    <row r="907" spans="1:32" ht="58.5" customHeight="1" x14ac:dyDescent="0.25">
      <c r="A907" s="56"/>
      <c r="B907" s="56"/>
      <c r="C907" s="56"/>
      <c r="D907" s="56"/>
      <c r="E907" s="57"/>
      <c r="F907" s="58"/>
      <c r="G907" s="56"/>
      <c r="H907" s="56"/>
      <c r="I907" s="59"/>
      <c r="J907" s="56"/>
      <c r="K907" s="56"/>
      <c r="L907" s="56"/>
      <c r="M907" s="1"/>
      <c r="N907" s="1"/>
      <c r="O907" s="1"/>
      <c r="P907" s="1"/>
      <c r="Q907" s="1"/>
      <c r="R907" s="1"/>
      <c r="S907" s="1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</row>
    <row r="908" spans="1:32" ht="58.5" customHeight="1" x14ac:dyDescent="0.25">
      <c r="A908" s="56"/>
      <c r="B908" s="56"/>
      <c r="C908" s="56"/>
      <c r="D908" s="56"/>
      <c r="E908" s="57"/>
      <c r="F908" s="58"/>
      <c r="G908" s="56"/>
      <c r="H908" s="56"/>
      <c r="I908" s="59"/>
      <c r="J908" s="56"/>
      <c r="K908" s="56"/>
      <c r="L908" s="56"/>
      <c r="M908" s="1"/>
      <c r="N908" s="1"/>
      <c r="O908" s="1"/>
      <c r="P908" s="1"/>
      <c r="Q908" s="1"/>
      <c r="R908" s="1"/>
      <c r="S908" s="1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</row>
    <row r="909" spans="1:32" ht="58.5" customHeight="1" x14ac:dyDescent="0.25">
      <c r="A909" s="56"/>
      <c r="B909" s="56"/>
      <c r="C909" s="56"/>
      <c r="D909" s="56"/>
      <c r="E909" s="57"/>
      <c r="F909" s="58"/>
      <c r="G909" s="56"/>
      <c r="H909" s="56"/>
      <c r="I909" s="59"/>
      <c r="J909" s="56"/>
      <c r="K909" s="56"/>
      <c r="L909" s="56"/>
      <c r="M909" s="1"/>
      <c r="N909" s="1"/>
      <c r="O909" s="1"/>
      <c r="P909" s="1"/>
      <c r="Q909" s="1"/>
      <c r="R909" s="1"/>
      <c r="S909" s="1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</row>
    <row r="910" spans="1:32" ht="58.5" customHeight="1" x14ac:dyDescent="0.25">
      <c r="A910" s="56"/>
      <c r="B910" s="56"/>
      <c r="C910" s="56"/>
      <c r="D910" s="56"/>
      <c r="E910" s="57"/>
      <c r="F910" s="58"/>
      <c r="G910" s="56"/>
      <c r="H910" s="56"/>
      <c r="I910" s="59"/>
      <c r="J910" s="56"/>
      <c r="K910" s="56"/>
      <c r="L910" s="56"/>
      <c r="M910" s="1"/>
      <c r="N910" s="1"/>
      <c r="O910" s="1"/>
      <c r="P910" s="1"/>
      <c r="Q910" s="1"/>
      <c r="R910" s="1"/>
      <c r="S910" s="1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</row>
    <row r="911" spans="1:32" ht="58.5" customHeight="1" x14ac:dyDescent="0.25">
      <c r="A911" s="56"/>
      <c r="B911" s="56"/>
      <c r="C911" s="56"/>
      <c r="D911" s="56"/>
      <c r="E911" s="57"/>
      <c r="F911" s="58"/>
      <c r="G911" s="56"/>
      <c r="H911" s="56"/>
      <c r="I911" s="59"/>
      <c r="J911" s="56"/>
      <c r="K911" s="56"/>
      <c r="L911" s="56"/>
      <c r="M911" s="1"/>
      <c r="N911" s="1"/>
      <c r="O911" s="1"/>
      <c r="P911" s="1"/>
      <c r="Q911" s="1"/>
      <c r="R911" s="1"/>
      <c r="S911" s="1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</row>
    <row r="912" spans="1:32" ht="58.5" customHeight="1" x14ac:dyDescent="0.25">
      <c r="A912" s="56"/>
      <c r="B912" s="56"/>
      <c r="C912" s="56"/>
      <c r="D912" s="56"/>
      <c r="E912" s="57"/>
      <c r="F912" s="58"/>
      <c r="G912" s="56"/>
      <c r="H912" s="56"/>
      <c r="I912" s="59"/>
      <c r="J912" s="56"/>
      <c r="K912" s="56"/>
      <c r="L912" s="56"/>
      <c r="M912" s="1"/>
      <c r="N912" s="1"/>
      <c r="O912" s="1"/>
      <c r="P912" s="1"/>
      <c r="Q912" s="1"/>
      <c r="R912" s="1"/>
      <c r="S912" s="1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</row>
    <row r="913" spans="1:32" ht="58.5" customHeight="1" x14ac:dyDescent="0.25">
      <c r="A913" s="56"/>
      <c r="B913" s="56"/>
      <c r="C913" s="56"/>
      <c r="D913" s="56"/>
      <c r="E913" s="57"/>
      <c r="F913" s="58"/>
      <c r="G913" s="56"/>
      <c r="H913" s="56"/>
      <c r="I913" s="59"/>
      <c r="J913" s="56"/>
      <c r="K913" s="56"/>
      <c r="L913" s="56"/>
      <c r="M913" s="1"/>
      <c r="N913" s="1"/>
      <c r="O913" s="1"/>
      <c r="P913" s="1"/>
      <c r="Q913" s="1"/>
      <c r="R913" s="1"/>
      <c r="S913" s="1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</row>
    <row r="914" spans="1:32" ht="58.5" customHeight="1" x14ac:dyDescent="0.25">
      <c r="A914" s="56"/>
      <c r="B914" s="56"/>
      <c r="C914" s="56"/>
      <c r="D914" s="56"/>
      <c r="E914" s="57"/>
      <c r="F914" s="58"/>
      <c r="G914" s="56"/>
      <c r="H914" s="56"/>
      <c r="I914" s="59"/>
      <c r="J914" s="56"/>
      <c r="K914" s="56"/>
      <c r="L914" s="56"/>
      <c r="M914" s="1"/>
      <c r="N914" s="1"/>
      <c r="O914" s="1"/>
      <c r="P914" s="1"/>
      <c r="Q914" s="1"/>
      <c r="R914" s="1"/>
      <c r="S914" s="1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</row>
    <row r="915" spans="1:32" ht="58.5" customHeight="1" x14ac:dyDescent="0.25">
      <c r="A915" s="56"/>
      <c r="B915" s="56"/>
      <c r="C915" s="56"/>
      <c r="D915" s="56"/>
      <c r="E915" s="57"/>
      <c r="F915" s="58"/>
      <c r="G915" s="56"/>
      <c r="H915" s="56"/>
      <c r="I915" s="59"/>
      <c r="J915" s="56"/>
      <c r="K915" s="56"/>
      <c r="L915" s="56"/>
      <c r="M915" s="1"/>
      <c r="N915" s="1"/>
      <c r="O915" s="1"/>
      <c r="P915" s="1"/>
      <c r="Q915" s="1"/>
      <c r="R915" s="1"/>
      <c r="S915" s="1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</row>
    <row r="916" spans="1:32" ht="58.5" customHeight="1" x14ac:dyDescent="0.25">
      <c r="A916" s="56"/>
      <c r="B916" s="56"/>
      <c r="C916" s="56"/>
      <c r="D916" s="56"/>
      <c r="E916" s="57"/>
      <c r="F916" s="58"/>
      <c r="G916" s="56"/>
      <c r="H916" s="56"/>
      <c r="I916" s="59"/>
      <c r="J916" s="56"/>
      <c r="K916" s="56"/>
      <c r="L916" s="56"/>
      <c r="M916" s="1"/>
      <c r="N916" s="1"/>
      <c r="O916" s="1"/>
      <c r="P916" s="1"/>
      <c r="Q916" s="1"/>
      <c r="R916" s="1"/>
      <c r="S916" s="1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</row>
    <row r="917" spans="1:32" ht="58.5" customHeight="1" x14ac:dyDescent="0.25">
      <c r="A917" s="56"/>
      <c r="B917" s="56"/>
      <c r="C917" s="56"/>
      <c r="D917" s="56"/>
      <c r="E917" s="57"/>
      <c r="F917" s="58"/>
      <c r="G917" s="56"/>
      <c r="H917" s="56"/>
      <c r="I917" s="59"/>
      <c r="J917" s="56"/>
      <c r="K917" s="56"/>
      <c r="L917" s="56"/>
      <c r="M917" s="1"/>
      <c r="N917" s="1"/>
      <c r="O917" s="1"/>
      <c r="P917" s="1"/>
      <c r="Q917" s="1"/>
      <c r="R917" s="1"/>
      <c r="S917" s="1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</row>
    <row r="918" spans="1:32" ht="58.5" customHeight="1" x14ac:dyDescent="0.25">
      <c r="A918" s="56"/>
      <c r="B918" s="56"/>
      <c r="C918" s="56"/>
      <c r="D918" s="56"/>
      <c r="E918" s="57"/>
      <c r="F918" s="58"/>
      <c r="G918" s="56"/>
      <c r="H918" s="56"/>
      <c r="I918" s="59"/>
      <c r="J918" s="56"/>
      <c r="K918" s="56"/>
      <c r="L918" s="56"/>
      <c r="M918" s="1"/>
      <c r="N918" s="1"/>
      <c r="O918" s="1"/>
      <c r="P918" s="1"/>
      <c r="Q918" s="1"/>
      <c r="R918" s="1"/>
      <c r="S918" s="1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</row>
    <row r="919" spans="1:32" ht="58.5" customHeight="1" x14ac:dyDescent="0.25">
      <c r="A919" s="56"/>
      <c r="B919" s="56"/>
      <c r="C919" s="56"/>
      <c r="D919" s="56"/>
      <c r="E919" s="57"/>
      <c r="F919" s="58"/>
      <c r="G919" s="56"/>
      <c r="H919" s="56"/>
      <c r="I919" s="59"/>
      <c r="J919" s="56"/>
      <c r="K919" s="56"/>
      <c r="L919" s="56"/>
      <c r="M919" s="1"/>
      <c r="N919" s="1"/>
      <c r="O919" s="1"/>
      <c r="P919" s="1"/>
      <c r="Q919" s="1"/>
      <c r="R919" s="1"/>
      <c r="S919" s="1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</row>
    <row r="920" spans="1:32" ht="58.5" customHeight="1" x14ac:dyDescent="0.25">
      <c r="A920" s="56"/>
      <c r="B920" s="56"/>
      <c r="C920" s="56"/>
      <c r="D920" s="56"/>
      <c r="E920" s="57"/>
      <c r="F920" s="58"/>
      <c r="G920" s="56"/>
      <c r="H920" s="56"/>
      <c r="I920" s="59"/>
      <c r="J920" s="56"/>
      <c r="K920" s="56"/>
      <c r="L920" s="56"/>
      <c r="M920" s="1"/>
      <c r="N920" s="1"/>
      <c r="O920" s="1"/>
      <c r="P920" s="1"/>
      <c r="Q920" s="1"/>
      <c r="R920" s="1"/>
      <c r="S920" s="1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</row>
    <row r="921" spans="1:32" ht="58.5" customHeight="1" x14ac:dyDescent="0.25">
      <c r="A921" s="56"/>
      <c r="B921" s="56"/>
      <c r="C921" s="56"/>
      <c r="D921" s="56"/>
      <c r="E921" s="57"/>
      <c r="F921" s="58"/>
      <c r="G921" s="56"/>
      <c r="H921" s="56"/>
      <c r="I921" s="59"/>
      <c r="J921" s="56"/>
      <c r="K921" s="56"/>
      <c r="L921" s="56"/>
      <c r="M921" s="1"/>
      <c r="N921" s="1"/>
      <c r="O921" s="1"/>
      <c r="P921" s="1"/>
      <c r="Q921" s="1"/>
      <c r="R921" s="1"/>
      <c r="S921" s="1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</row>
    <row r="922" spans="1:32" ht="58.5" customHeight="1" x14ac:dyDescent="0.25">
      <c r="A922" s="56"/>
      <c r="B922" s="56"/>
      <c r="C922" s="56"/>
      <c r="D922" s="56"/>
      <c r="E922" s="57"/>
      <c r="F922" s="58"/>
      <c r="G922" s="56"/>
      <c r="H922" s="56"/>
      <c r="I922" s="59"/>
      <c r="J922" s="56"/>
      <c r="K922" s="56"/>
      <c r="L922" s="56"/>
      <c r="M922" s="1"/>
      <c r="N922" s="1"/>
      <c r="O922" s="1"/>
      <c r="P922" s="1"/>
      <c r="Q922" s="1"/>
      <c r="R922" s="1"/>
      <c r="S922" s="1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</row>
    <row r="923" spans="1:32" ht="58.5" customHeight="1" x14ac:dyDescent="0.25">
      <c r="A923" s="56"/>
      <c r="B923" s="56"/>
      <c r="C923" s="56"/>
      <c r="D923" s="56"/>
      <c r="E923" s="57"/>
      <c r="F923" s="58"/>
      <c r="G923" s="56"/>
      <c r="H923" s="56"/>
      <c r="I923" s="59"/>
      <c r="J923" s="56"/>
      <c r="K923" s="56"/>
      <c r="L923" s="56"/>
      <c r="M923" s="1"/>
      <c r="N923" s="1"/>
      <c r="O923" s="1"/>
      <c r="P923" s="1"/>
      <c r="Q923" s="1"/>
      <c r="R923" s="1"/>
      <c r="S923" s="1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</row>
    <row r="924" spans="1:32" ht="58.5" customHeight="1" x14ac:dyDescent="0.25">
      <c r="A924" s="56"/>
      <c r="B924" s="56"/>
      <c r="C924" s="56"/>
      <c r="D924" s="56"/>
      <c r="E924" s="57"/>
      <c r="F924" s="58"/>
      <c r="G924" s="56"/>
      <c r="H924" s="56"/>
      <c r="I924" s="59"/>
      <c r="J924" s="56"/>
      <c r="K924" s="56"/>
      <c r="L924" s="56"/>
      <c r="M924" s="1"/>
      <c r="N924" s="1"/>
      <c r="O924" s="1"/>
      <c r="P924" s="1"/>
      <c r="Q924" s="1"/>
      <c r="R924" s="1"/>
      <c r="S924" s="1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</row>
    <row r="925" spans="1:32" ht="58.5" customHeight="1" x14ac:dyDescent="0.25">
      <c r="A925" s="56"/>
      <c r="B925" s="56"/>
      <c r="C925" s="56"/>
      <c r="D925" s="56"/>
      <c r="E925" s="57"/>
      <c r="F925" s="58"/>
      <c r="G925" s="56"/>
      <c r="H925" s="56"/>
      <c r="I925" s="59"/>
      <c r="J925" s="56"/>
      <c r="K925" s="56"/>
      <c r="L925" s="56"/>
      <c r="M925" s="1"/>
      <c r="N925" s="1"/>
      <c r="O925" s="1"/>
      <c r="P925" s="1"/>
      <c r="Q925" s="1"/>
      <c r="R925" s="1"/>
      <c r="S925" s="1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</row>
    <row r="926" spans="1:32" ht="58.5" customHeight="1" x14ac:dyDescent="0.25">
      <c r="A926" s="56"/>
      <c r="B926" s="56"/>
      <c r="C926" s="56"/>
      <c r="D926" s="56"/>
      <c r="E926" s="57"/>
      <c r="F926" s="58"/>
      <c r="G926" s="56"/>
      <c r="H926" s="56"/>
      <c r="I926" s="59"/>
      <c r="J926" s="56"/>
      <c r="K926" s="56"/>
      <c r="L926" s="56"/>
      <c r="M926" s="1"/>
      <c r="N926" s="1"/>
      <c r="O926" s="1"/>
      <c r="P926" s="1"/>
      <c r="Q926" s="1"/>
      <c r="R926" s="1"/>
      <c r="S926" s="1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</row>
    <row r="927" spans="1:32" ht="58.5" customHeight="1" x14ac:dyDescent="0.25">
      <c r="A927" s="56"/>
      <c r="B927" s="56"/>
      <c r="C927" s="56"/>
      <c r="D927" s="56"/>
      <c r="E927" s="57"/>
      <c r="F927" s="58"/>
      <c r="G927" s="56"/>
      <c r="H927" s="56"/>
      <c r="I927" s="59"/>
      <c r="J927" s="56"/>
      <c r="K927" s="56"/>
      <c r="L927" s="56"/>
      <c r="M927" s="1"/>
      <c r="N927" s="1"/>
      <c r="O927" s="1"/>
      <c r="P927" s="1"/>
      <c r="Q927" s="1"/>
      <c r="R927" s="1"/>
      <c r="S927" s="1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</row>
    <row r="928" spans="1:32" ht="58.5" customHeight="1" x14ac:dyDescent="0.25">
      <c r="A928" s="56"/>
      <c r="B928" s="56"/>
      <c r="C928" s="56"/>
      <c r="D928" s="56"/>
      <c r="E928" s="57"/>
      <c r="F928" s="58"/>
      <c r="G928" s="56"/>
      <c r="H928" s="56"/>
      <c r="I928" s="59"/>
      <c r="J928" s="56"/>
      <c r="K928" s="56"/>
      <c r="L928" s="56"/>
      <c r="M928" s="1"/>
      <c r="N928" s="1"/>
      <c r="O928" s="1"/>
      <c r="P928" s="1"/>
      <c r="Q928" s="1"/>
      <c r="R928" s="1"/>
      <c r="S928" s="1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</row>
    <row r="929" spans="1:32" ht="58.5" customHeight="1" x14ac:dyDescent="0.25">
      <c r="A929" s="56"/>
      <c r="B929" s="56"/>
      <c r="C929" s="56"/>
      <c r="D929" s="56"/>
      <c r="E929" s="57"/>
      <c r="F929" s="58"/>
      <c r="G929" s="56"/>
      <c r="H929" s="56"/>
      <c r="I929" s="59"/>
      <c r="J929" s="56"/>
      <c r="K929" s="56"/>
      <c r="L929" s="56"/>
      <c r="M929" s="1"/>
      <c r="N929" s="1"/>
      <c r="O929" s="1"/>
      <c r="P929" s="1"/>
      <c r="Q929" s="1"/>
      <c r="R929" s="1"/>
      <c r="S929" s="1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</row>
    <row r="930" spans="1:32" ht="58.5" customHeight="1" x14ac:dyDescent="0.25">
      <c r="A930" s="56"/>
      <c r="B930" s="56"/>
      <c r="C930" s="56"/>
      <c r="D930" s="56"/>
      <c r="E930" s="57"/>
      <c r="F930" s="58"/>
      <c r="G930" s="56"/>
      <c r="H930" s="56"/>
      <c r="I930" s="59"/>
      <c r="J930" s="56"/>
      <c r="K930" s="56"/>
      <c r="L930" s="56"/>
      <c r="M930" s="1"/>
      <c r="N930" s="1"/>
      <c r="O930" s="1"/>
      <c r="P930" s="1"/>
      <c r="Q930" s="1"/>
      <c r="R930" s="1"/>
      <c r="S930" s="1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</row>
    <row r="931" spans="1:32" ht="58.5" customHeight="1" x14ac:dyDescent="0.25">
      <c r="A931" s="56"/>
      <c r="B931" s="56"/>
      <c r="C931" s="56"/>
      <c r="D931" s="56"/>
      <c r="E931" s="57"/>
      <c r="F931" s="58"/>
      <c r="G931" s="56"/>
      <c r="H931" s="56"/>
      <c r="I931" s="59"/>
      <c r="J931" s="56"/>
      <c r="K931" s="56"/>
      <c r="L931" s="56"/>
      <c r="M931" s="1"/>
      <c r="N931" s="1"/>
      <c r="O931" s="1"/>
      <c r="P931" s="1"/>
      <c r="Q931" s="1"/>
      <c r="R931" s="1"/>
      <c r="S931" s="1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</row>
    <row r="932" spans="1:32" ht="58.5" customHeight="1" x14ac:dyDescent="0.25">
      <c r="A932" s="56"/>
      <c r="B932" s="56"/>
      <c r="C932" s="56"/>
      <c r="D932" s="56"/>
      <c r="E932" s="57"/>
      <c r="F932" s="58"/>
      <c r="G932" s="56"/>
      <c r="H932" s="56"/>
      <c r="I932" s="59"/>
      <c r="J932" s="56"/>
      <c r="K932" s="56"/>
      <c r="L932" s="56"/>
      <c r="M932" s="1"/>
      <c r="N932" s="1"/>
      <c r="O932" s="1"/>
      <c r="P932" s="1"/>
      <c r="Q932" s="1"/>
      <c r="R932" s="1"/>
      <c r="S932" s="1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</row>
    <row r="933" spans="1:32" ht="58.5" customHeight="1" x14ac:dyDescent="0.25">
      <c r="A933" s="56"/>
      <c r="B933" s="56"/>
      <c r="C933" s="56"/>
      <c r="D933" s="56"/>
      <c r="E933" s="57"/>
      <c r="F933" s="58"/>
      <c r="G933" s="56"/>
      <c r="H933" s="56"/>
      <c r="I933" s="59"/>
      <c r="J933" s="56"/>
      <c r="K933" s="56"/>
      <c r="L933" s="56"/>
      <c r="M933" s="1"/>
      <c r="N933" s="1"/>
      <c r="O933" s="1"/>
      <c r="P933" s="1"/>
      <c r="Q933" s="1"/>
      <c r="R933" s="1"/>
      <c r="S933" s="1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</row>
    <row r="934" spans="1:32" ht="58.5" customHeight="1" x14ac:dyDescent="0.25">
      <c r="A934" s="56"/>
      <c r="B934" s="56"/>
      <c r="C934" s="56"/>
      <c r="D934" s="56"/>
      <c r="E934" s="57"/>
      <c r="F934" s="58"/>
      <c r="G934" s="56"/>
      <c r="H934" s="56"/>
      <c r="I934" s="59"/>
      <c r="J934" s="56"/>
      <c r="K934" s="56"/>
      <c r="L934" s="56"/>
      <c r="M934" s="1"/>
      <c r="N934" s="1"/>
      <c r="O934" s="1"/>
      <c r="P934" s="1"/>
      <c r="Q934" s="1"/>
      <c r="R934" s="1"/>
      <c r="S934" s="1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</row>
    <row r="935" spans="1:32" ht="58.5" customHeight="1" x14ac:dyDescent="0.25">
      <c r="A935" s="56"/>
      <c r="B935" s="56"/>
      <c r="C935" s="56"/>
      <c r="D935" s="56"/>
      <c r="E935" s="57"/>
      <c r="F935" s="58"/>
      <c r="G935" s="56"/>
      <c r="H935" s="56"/>
      <c r="I935" s="59"/>
      <c r="J935" s="56"/>
      <c r="K935" s="56"/>
      <c r="L935" s="56"/>
      <c r="M935" s="1"/>
      <c r="N935" s="1"/>
      <c r="O935" s="1"/>
      <c r="P935" s="1"/>
      <c r="Q935" s="1"/>
      <c r="R935" s="1"/>
      <c r="S935" s="1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</row>
    <row r="936" spans="1:32" ht="58.5" customHeight="1" x14ac:dyDescent="0.25">
      <c r="A936" s="56"/>
      <c r="B936" s="56"/>
      <c r="C936" s="56"/>
      <c r="D936" s="56"/>
      <c r="E936" s="57"/>
      <c r="F936" s="58"/>
      <c r="G936" s="56"/>
      <c r="H936" s="56"/>
      <c r="I936" s="59"/>
      <c r="J936" s="56"/>
      <c r="K936" s="56"/>
      <c r="L936" s="56"/>
      <c r="M936" s="1"/>
      <c r="N936" s="1"/>
      <c r="O936" s="1"/>
      <c r="P936" s="1"/>
      <c r="Q936" s="1"/>
      <c r="R936" s="1"/>
      <c r="S936" s="1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</row>
    <row r="937" spans="1:32" ht="58.5" customHeight="1" x14ac:dyDescent="0.25">
      <c r="A937" s="56"/>
      <c r="B937" s="56"/>
      <c r="C937" s="56"/>
      <c r="D937" s="56"/>
      <c r="E937" s="57"/>
      <c r="F937" s="58"/>
      <c r="G937" s="56"/>
      <c r="H937" s="56"/>
      <c r="I937" s="59"/>
      <c r="J937" s="56"/>
      <c r="K937" s="56"/>
      <c r="L937" s="56"/>
      <c r="M937" s="1"/>
      <c r="N937" s="1"/>
      <c r="O937" s="1"/>
      <c r="P937" s="1"/>
      <c r="Q937" s="1"/>
      <c r="R937" s="1"/>
      <c r="S937" s="1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</row>
    <row r="938" spans="1:32" ht="58.5" customHeight="1" x14ac:dyDescent="0.25">
      <c r="A938" s="56"/>
      <c r="B938" s="56"/>
      <c r="C938" s="56"/>
      <c r="D938" s="56"/>
      <c r="E938" s="57"/>
      <c r="F938" s="58"/>
      <c r="G938" s="56"/>
      <c r="H938" s="56"/>
      <c r="I938" s="59"/>
      <c r="J938" s="56"/>
      <c r="K938" s="56"/>
      <c r="L938" s="56"/>
      <c r="M938" s="1"/>
      <c r="N938" s="1"/>
      <c r="O938" s="1"/>
      <c r="P938" s="1"/>
      <c r="Q938" s="1"/>
      <c r="R938" s="1"/>
      <c r="S938" s="1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</row>
    <row r="939" spans="1:32" ht="58.5" customHeight="1" x14ac:dyDescent="0.25">
      <c r="A939" s="56"/>
      <c r="B939" s="56"/>
      <c r="C939" s="56"/>
      <c r="D939" s="56"/>
      <c r="E939" s="57"/>
      <c r="F939" s="58"/>
      <c r="G939" s="56"/>
      <c r="H939" s="56"/>
      <c r="I939" s="59"/>
      <c r="J939" s="56"/>
      <c r="K939" s="56"/>
      <c r="L939" s="56"/>
      <c r="M939" s="1"/>
      <c r="N939" s="1"/>
      <c r="O939" s="1"/>
      <c r="P939" s="1"/>
      <c r="Q939" s="1"/>
      <c r="R939" s="1"/>
      <c r="S939" s="1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</row>
    <row r="940" spans="1:32" ht="58.5" customHeight="1" x14ac:dyDescent="0.25">
      <c r="A940" s="56"/>
      <c r="B940" s="56"/>
      <c r="C940" s="56"/>
      <c r="D940" s="56"/>
      <c r="E940" s="57"/>
      <c r="F940" s="58"/>
      <c r="G940" s="56"/>
      <c r="H940" s="56"/>
      <c r="I940" s="59"/>
      <c r="J940" s="56"/>
      <c r="K940" s="56"/>
      <c r="L940" s="56"/>
      <c r="M940" s="1"/>
      <c r="N940" s="1"/>
      <c r="O940" s="1"/>
      <c r="P940" s="1"/>
      <c r="Q940" s="1"/>
      <c r="R940" s="1"/>
      <c r="S940" s="1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</row>
    <row r="941" spans="1:32" ht="58.5" customHeight="1" x14ac:dyDescent="0.25">
      <c r="A941" s="56"/>
      <c r="B941" s="56"/>
      <c r="C941" s="56"/>
      <c r="D941" s="56"/>
      <c r="E941" s="57"/>
      <c r="F941" s="58"/>
      <c r="G941" s="56"/>
      <c r="H941" s="56"/>
      <c r="I941" s="59"/>
      <c r="J941" s="56"/>
      <c r="K941" s="56"/>
      <c r="L941" s="56"/>
      <c r="M941" s="1"/>
      <c r="N941" s="1"/>
      <c r="O941" s="1"/>
      <c r="P941" s="1"/>
      <c r="Q941" s="1"/>
      <c r="R941" s="1"/>
      <c r="S941" s="1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</row>
    <row r="942" spans="1:32" ht="58.5" customHeight="1" x14ac:dyDescent="0.25">
      <c r="A942" s="56"/>
      <c r="B942" s="56"/>
      <c r="C942" s="56"/>
      <c r="D942" s="56"/>
      <c r="E942" s="57"/>
      <c r="F942" s="58"/>
      <c r="G942" s="56"/>
      <c r="H942" s="56"/>
      <c r="I942" s="59"/>
      <c r="J942" s="56"/>
      <c r="K942" s="56"/>
      <c r="L942" s="56"/>
      <c r="M942" s="1"/>
      <c r="N942" s="1"/>
      <c r="O942" s="1"/>
      <c r="P942" s="1"/>
      <c r="Q942" s="1"/>
      <c r="R942" s="1"/>
      <c r="S942" s="1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</row>
    <row r="943" spans="1:32" ht="58.5" customHeight="1" x14ac:dyDescent="0.25">
      <c r="A943" s="56"/>
      <c r="B943" s="56"/>
      <c r="C943" s="56"/>
      <c r="D943" s="56"/>
      <c r="E943" s="57"/>
      <c r="F943" s="58"/>
      <c r="G943" s="56"/>
      <c r="H943" s="56"/>
      <c r="I943" s="59"/>
      <c r="J943" s="56"/>
      <c r="K943" s="56"/>
      <c r="L943" s="56"/>
      <c r="M943" s="1"/>
      <c r="N943" s="1"/>
      <c r="O943" s="1"/>
      <c r="P943" s="1"/>
      <c r="Q943" s="1"/>
      <c r="R943" s="1"/>
      <c r="S943" s="1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</row>
    <row r="944" spans="1:32" ht="58.5" customHeight="1" x14ac:dyDescent="0.25">
      <c r="A944" s="56"/>
      <c r="B944" s="56"/>
      <c r="C944" s="56"/>
      <c r="D944" s="56"/>
      <c r="E944" s="57"/>
      <c r="F944" s="58"/>
      <c r="G944" s="56"/>
      <c r="H944" s="56"/>
      <c r="I944" s="59"/>
      <c r="J944" s="56"/>
      <c r="K944" s="56"/>
      <c r="L944" s="56"/>
      <c r="M944" s="1"/>
      <c r="N944" s="1"/>
      <c r="O944" s="1"/>
      <c r="P944" s="1"/>
      <c r="Q944" s="1"/>
      <c r="R944" s="1"/>
      <c r="S944" s="1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</row>
    <row r="945" spans="1:32" ht="58.5" customHeight="1" x14ac:dyDescent="0.25">
      <c r="A945" s="56"/>
      <c r="B945" s="56"/>
      <c r="C945" s="56"/>
      <c r="D945" s="56"/>
      <c r="E945" s="57"/>
      <c r="F945" s="58"/>
      <c r="G945" s="56"/>
      <c r="H945" s="56"/>
      <c r="I945" s="59"/>
      <c r="J945" s="56"/>
      <c r="K945" s="56"/>
      <c r="L945" s="56"/>
      <c r="M945" s="1"/>
      <c r="N945" s="1"/>
      <c r="O945" s="1"/>
      <c r="P945" s="1"/>
      <c r="Q945" s="1"/>
      <c r="R945" s="1"/>
      <c r="S945" s="1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</row>
    <row r="946" spans="1:32" ht="58.5" customHeight="1" x14ac:dyDescent="0.25">
      <c r="A946" s="56"/>
      <c r="B946" s="56"/>
      <c r="C946" s="56"/>
      <c r="D946" s="56"/>
      <c r="E946" s="57"/>
      <c r="F946" s="58"/>
      <c r="G946" s="56"/>
      <c r="H946" s="56"/>
      <c r="I946" s="59"/>
      <c r="J946" s="56"/>
      <c r="K946" s="56"/>
      <c r="L946" s="56"/>
      <c r="M946" s="1"/>
      <c r="N946" s="1"/>
      <c r="O946" s="1"/>
      <c r="P946" s="1"/>
      <c r="Q946" s="1"/>
      <c r="R946" s="1"/>
      <c r="S946" s="1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</row>
    <row r="947" spans="1:32" ht="58.5" customHeight="1" x14ac:dyDescent="0.25">
      <c r="A947" s="56"/>
      <c r="B947" s="56"/>
      <c r="C947" s="56"/>
      <c r="D947" s="56"/>
      <c r="E947" s="57"/>
      <c r="F947" s="58"/>
      <c r="G947" s="56"/>
      <c r="H947" s="56"/>
      <c r="I947" s="59"/>
      <c r="J947" s="56"/>
      <c r="K947" s="56"/>
      <c r="L947" s="56"/>
      <c r="M947" s="1"/>
      <c r="N947" s="1"/>
      <c r="O947" s="1"/>
      <c r="P947" s="1"/>
      <c r="Q947" s="1"/>
      <c r="R947" s="1"/>
      <c r="S947" s="1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</row>
    <row r="948" spans="1:32" ht="58.5" customHeight="1" x14ac:dyDescent="0.25">
      <c r="A948" s="56"/>
      <c r="B948" s="56"/>
      <c r="C948" s="56"/>
      <c r="D948" s="56"/>
      <c r="E948" s="57"/>
      <c r="F948" s="58"/>
      <c r="G948" s="56"/>
      <c r="H948" s="56"/>
      <c r="I948" s="59"/>
      <c r="J948" s="56"/>
      <c r="K948" s="56"/>
      <c r="L948" s="56"/>
      <c r="M948" s="1"/>
      <c r="N948" s="1"/>
      <c r="O948" s="1"/>
      <c r="P948" s="1"/>
      <c r="Q948" s="1"/>
      <c r="R948" s="1"/>
      <c r="S948" s="1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</row>
    <row r="949" spans="1:32" ht="58.5" customHeight="1" x14ac:dyDescent="0.25">
      <c r="A949" s="56"/>
      <c r="B949" s="56"/>
      <c r="C949" s="56"/>
      <c r="D949" s="56"/>
      <c r="E949" s="57"/>
      <c r="F949" s="58"/>
      <c r="G949" s="56"/>
      <c r="H949" s="56"/>
      <c r="I949" s="59"/>
      <c r="J949" s="56"/>
      <c r="K949" s="56"/>
      <c r="L949" s="56"/>
      <c r="M949" s="1"/>
      <c r="N949" s="1"/>
      <c r="O949" s="1"/>
      <c r="P949" s="1"/>
      <c r="Q949" s="1"/>
      <c r="R949" s="1"/>
      <c r="S949" s="1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</row>
    <row r="950" spans="1:32" ht="58.5" customHeight="1" x14ac:dyDescent="0.25">
      <c r="A950" s="56"/>
      <c r="B950" s="56"/>
      <c r="C950" s="56"/>
      <c r="D950" s="56"/>
      <c r="E950" s="57"/>
      <c r="F950" s="58"/>
      <c r="G950" s="56"/>
      <c r="H950" s="56"/>
      <c r="I950" s="59"/>
      <c r="J950" s="56"/>
      <c r="K950" s="56"/>
      <c r="L950" s="56"/>
      <c r="M950" s="1"/>
      <c r="N950" s="1"/>
      <c r="O950" s="1"/>
      <c r="P950" s="1"/>
      <c r="Q950" s="1"/>
      <c r="R950" s="1"/>
      <c r="S950" s="1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</row>
    <row r="951" spans="1:32" ht="58.5" customHeight="1" x14ac:dyDescent="0.25">
      <c r="A951" s="56"/>
      <c r="B951" s="56"/>
      <c r="C951" s="56"/>
      <c r="D951" s="56"/>
      <c r="E951" s="57"/>
      <c r="F951" s="58"/>
      <c r="G951" s="56"/>
      <c r="H951" s="56"/>
      <c r="I951" s="59"/>
      <c r="J951" s="56"/>
      <c r="K951" s="56"/>
      <c r="L951" s="56"/>
      <c r="M951" s="1"/>
      <c r="N951" s="1"/>
      <c r="O951" s="1"/>
      <c r="P951" s="1"/>
      <c r="Q951" s="1"/>
      <c r="R951" s="1"/>
      <c r="S951" s="1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</row>
    <row r="952" spans="1:32" ht="58.5" customHeight="1" x14ac:dyDescent="0.25">
      <c r="A952" s="56"/>
      <c r="B952" s="56"/>
      <c r="C952" s="56"/>
      <c r="D952" s="56"/>
      <c r="E952" s="57"/>
      <c r="F952" s="58"/>
      <c r="G952" s="56"/>
      <c r="H952" s="56"/>
      <c r="I952" s="59"/>
      <c r="J952" s="56"/>
      <c r="K952" s="56"/>
      <c r="L952" s="56"/>
      <c r="M952" s="1"/>
      <c r="N952" s="1"/>
      <c r="O952" s="1"/>
      <c r="P952" s="1"/>
      <c r="Q952" s="1"/>
      <c r="R952" s="1"/>
      <c r="S952" s="1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</row>
    <row r="953" spans="1:32" ht="58.5" customHeight="1" x14ac:dyDescent="0.25">
      <c r="A953" s="56"/>
      <c r="B953" s="56"/>
      <c r="C953" s="56"/>
      <c r="D953" s="56"/>
      <c r="E953" s="57"/>
      <c r="F953" s="58"/>
      <c r="G953" s="56"/>
      <c r="H953" s="56"/>
      <c r="I953" s="59"/>
      <c r="J953" s="56"/>
      <c r="K953" s="56"/>
      <c r="L953" s="56"/>
      <c r="M953" s="1"/>
      <c r="N953" s="1"/>
      <c r="O953" s="1"/>
      <c r="P953" s="1"/>
      <c r="Q953" s="1"/>
      <c r="R953" s="1"/>
      <c r="S953" s="1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</row>
    <row r="954" spans="1:32" ht="58.5" customHeight="1" x14ac:dyDescent="0.25">
      <c r="A954" s="56"/>
      <c r="B954" s="56"/>
      <c r="C954" s="56"/>
      <c r="D954" s="56"/>
      <c r="E954" s="57"/>
      <c r="F954" s="58"/>
      <c r="G954" s="56"/>
      <c r="H954" s="56"/>
      <c r="I954" s="59"/>
      <c r="J954" s="56"/>
      <c r="K954" s="56"/>
      <c r="L954" s="56"/>
      <c r="M954" s="1"/>
      <c r="N954" s="1"/>
      <c r="O954" s="1"/>
      <c r="P954" s="1"/>
      <c r="Q954" s="1"/>
      <c r="R954" s="1"/>
      <c r="S954" s="1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</row>
    <row r="955" spans="1:32" ht="58.5" customHeight="1" x14ac:dyDescent="0.25">
      <c r="A955" s="56"/>
      <c r="B955" s="56"/>
      <c r="C955" s="56"/>
      <c r="D955" s="56"/>
      <c r="E955" s="57"/>
      <c r="F955" s="58"/>
      <c r="G955" s="56"/>
      <c r="H955" s="56"/>
      <c r="I955" s="59"/>
      <c r="J955" s="56"/>
      <c r="K955" s="56"/>
      <c r="L955" s="56"/>
      <c r="M955" s="1"/>
      <c r="N955" s="1"/>
      <c r="O955" s="1"/>
      <c r="P955" s="1"/>
      <c r="Q955" s="1"/>
      <c r="R955" s="1"/>
      <c r="S955" s="1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</row>
    <row r="956" spans="1:32" ht="58.5" customHeight="1" x14ac:dyDescent="0.25">
      <c r="A956" s="56"/>
      <c r="B956" s="56"/>
      <c r="C956" s="56"/>
      <c r="D956" s="56"/>
      <c r="E956" s="57"/>
      <c r="F956" s="58"/>
      <c r="G956" s="56"/>
      <c r="H956" s="56"/>
      <c r="I956" s="59"/>
      <c r="J956" s="56"/>
      <c r="K956" s="56"/>
      <c r="L956" s="56"/>
      <c r="M956" s="1"/>
      <c r="N956" s="1"/>
      <c r="O956" s="1"/>
      <c r="P956" s="1"/>
      <c r="Q956" s="1"/>
      <c r="R956" s="1"/>
      <c r="S956" s="1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</row>
    <row r="957" spans="1:32" ht="58.5" customHeight="1" x14ac:dyDescent="0.25">
      <c r="A957" s="56"/>
      <c r="B957" s="56"/>
      <c r="C957" s="56"/>
      <c r="D957" s="56"/>
      <c r="E957" s="57"/>
      <c r="F957" s="58"/>
      <c r="G957" s="56"/>
      <c r="H957" s="56"/>
      <c r="I957" s="59"/>
      <c r="J957" s="56"/>
      <c r="K957" s="56"/>
      <c r="L957" s="56"/>
      <c r="M957" s="1"/>
      <c r="N957" s="1"/>
      <c r="O957" s="1"/>
      <c r="P957" s="1"/>
      <c r="Q957" s="1"/>
      <c r="R957" s="1"/>
      <c r="S957" s="1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</row>
    <row r="958" spans="1:32" ht="58.5" customHeight="1" x14ac:dyDescent="0.25">
      <c r="A958" s="56"/>
      <c r="B958" s="56"/>
      <c r="C958" s="56"/>
      <c r="D958" s="56"/>
      <c r="E958" s="57"/>
      <c r="F958" s="58"/>
      <c r="G958" s="56"/>
      <c r="H958" s="56"/>
      <c r="I958" s="59"/>
      <c r="J958" s="56"/>
      <c r="K958" s="56"/>
      <c r="L958" s="56"/>
      <c r="M958" s="1"/>
      <c r="N958" s="1"/>
      <c r="O958" s="1"/>
      <c r="P958" s="1"/>
      <c r="Q958" s="1"/>
      <c r="R958" s="1"/>
      <c r="S958" s="1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</row>
    <row r="959" spans="1:32" ht="58.5" customHeight="1" x14ac:dyDescent="0.25">
      <c r="A959" s="56"/>
      <c r="B959" s="56"/>
      <c r="C959" s="56"/>
      <c r="D959" s="56"/>
      <c r="E959" s="57"/>
      <c r="F959" s="58"/>
      <c r="G959" s="56"/>
      <c r="H959" s="56"/>
      <c r="I959" s="59"/>
      <c r="J959" s="56"/>
      <c r="K959" s="56"/>
      <c r="L959" s="56"/>
      <c r="M959" s="1"/>
      <c r="N959" s="1"/>
      <c r="O959" s="1"/>
      <c r="P959" s="1"/>
      <c r="Q959" s="1"/>
      <c r="R959" s="1"/>
      <c r="S959" s="1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</row>
    <row r="960" spans="1:32" ht="58.5" customHeight="1" x14ac:dyDescent="0.25">
      <c r="A960" s="56"/>
      <c r="B960" s="56"/>
      <c r="C960" s="56"/>
      <c r="D960" s="56"/>
      <c r="E960" s="57"/>
      <c r="F960" s="58"/>
      <c r="G960" s="56"/>
      <c r="H960" s="56"/>
      <c r="I960" s="59"/>
      <c r="J960" s="56"/>
      <c r="K960" s="56"/>
      <c r="L960" s="56"/>
      <c r="M960" s="1"/>
      <c r="N960" s="1"/>
      <c r="O960" s="1"/>
      <c r="P960" s="1"/>
      <c r="Q960" s="1"/>
      <c r="R960" s="1"/>
      <c r="S960" s="1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</row>
    <row r="961" spans="1:32" ht="58.5" customHeight="1" x14ac:dyDescent="0.25">
      <c r="A961" s="56"/>
      <c r="B961" s="56"/>
      <c r="C961" s="56"/>
      <c r="D961" s="56"/>
      <c r="E961" s="57"/>
      <c r="F961" s="58"/>
      <c r="G961" s="56"/>
      <c r="H961" s="56"/>
      <c r="I961" s="59"/>
      <c r="J961" s="56"/>
      <c r="K961" s="56"/>
      <c r="L961" s="56"/>
      <c r="M961" s="1"/>
      <c r="N961" s="1"/>
      <c r="O961" s="1"/>
      <c r="P961" s="1"/>
      <c r="Q961" s="1"/>
      <c r="R961" s="1"/>
      <c r="S961" s="1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</row>
    <row r="962" spans="1:32" ht="58.5" customHeight="1" x14ac:dyDescent="0.25">
      <c r="A962" s="56"/>
      <c r="B962" s="56"/>
      <c r="C962" s="56"/>
      <c r="D962" s="56"/>
      <c r="E962" s="57"/>
      <c r="F962" s="58"/>
      <c r="G962" s="56"/>
      <c r="H962" s="56"/>
      <c r="I962" s="59"/>
      <c r="J962" s="56"/>
      <c r="K962" s="56"/>
      <c r="L962" s="56"/>
      <c r="M962" s="1"/>
      <c r="N962" s="1"/>
      <c r="O962" s="1"/>
      <c r="P962" s="1"/>
      <c r="Q962" s="1"/>
      <c r="R962" s="1"/>
      <c r="S962" s="1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</row>
    <row r="963" spans="1:32" ht="58.5" customHeight="1" x14ac:dyDescent="0.25">
      <c r="A963" s="56"/>
      <c r="B963" s="56"/>
      <c r="C963" s="56"/>
      <c r="D963" s="56"/>
      <c r="E963" s="57"/>
      <c r="F963" s="58"/>
      <c r="G963" s="56"/>
      <c r="H963" s="56"/>
      <c r="I963" s="59"/>
      <c r="J963" s="56"/>
      <c r="K963" s="56"/>
      <c r="L963" s="56"/>
      <c r="M963" s="1"/>
      <c r="N963" s="1"/>
      <c r="O963" s="1"/>
      <c r="P963" s="1"/>
      <c r="Q963" s="1"/>
      <c r="R963" s="1"/>
      <c r="S963" s="1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</row>
    <row r="964" spans="1:32" ht="58.5" customHeight="1" x14ac:dyDescent="0.25">
      <c r="A964" s="56"/>
      <c r="B964" s="56"/>
      <c r="C964" s="56"/>
      <c r="D964" s="56"/>
      <c r="E964" s="57"/>
      <c r="F964" s="58"/>
      <c r="G964" s="56"/>
      <c r="H964" s="56"/>
      <c r="I964" s="59"/>
      <c r="J964" s="56"/>
      <c r="K964" s="56"/>
      <c r="L964" s="56"/>
      <c r="M964" s="1"/>
      <c r="N964" s="1"/>
      <c r="O964" s="1"/>
      <c r="P964" s="1"/>
      <c r="Q964" s="1"/>
      <c r="R964" s="1"/>
      <c r="S964" s="1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</row>
    <row r="965" spans="1:32" ht="58.5" customHeight="1" x14ac:dyDescent="0.25">
      <c r="A965" s="56"/>
      <c r="B965" s="56"/>
      <c r="C965" s="56"/>
      <c r="D965" s="56"/>
      <c r="E965" s="57"/>
      <c r="F965" s="58"/>
      <c r="G965" s="56"/>
      <c r="H965" s="56"/>
      <c r="I965" s="59"/>
      <c r="J965" s="56"/>
      <c r="K965" s="56"/>
      <c r="L965" s="56"/>
      <c r="M965" s="1"/>
      <c r="N965" s="1"/>
      <c r="O965" s="1"/>
      <c r="P965" s="1"/>
      <c r="Q965" s="1"/>
      <c r="R965" s="1"/>
      <c r="S965" s="1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</row>
    <row r="966" spans="1:32" ht="58.5" customHeight="1" x14ac:dyDescent="0.25">
      <c r="A966" s="56"/>
      <c r="B966" s="56"/>
      <c r="C966" s="56"/>
      <c r="D966" s="56"/>
      <c r="E966" s="57"/>
      <c r="F966" s="58"/>
      <c r="G966" s="56"/>
      <c r="H966" s="56"/>
      <c r="I966" s="59"/>
      <c r="J966" s="56"/>
      <c r="K966" s="56"/>
      <c r="L966" s="56"/>
      <c r="M966" s="1"/>
      <c r="N966" s="1"/>
      <c r="O966" s="1"/>
      <c r="P966" s="1"/>
      <c r="Q966" s="1"/>
      <c r="R966" s="1"/>
      <c r="S966" s="1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</row>
    <row r="967" spans="1:32" ht="58.5" customHeight="1" x14ac:dyDescent="0.25">
      <c r="A967" s="56"/>
      <c r="B967" s="56"/>
      <c r="C967" s="56"/>
      <c r="D967" s="56"/>
      <c r="E967" s="57"/>
      <c r="F967" s="58"/>
      <c r="G967" s="56"/>
      <c r="H967" s="56"/>
      <c r="I967" s="59"/>
      <c r="J967" s="56"/>
      <c r="K967" s="56"/>
      <c r="L967" s="56"/>
      <c r="M967" s="1"/>
      <c r="N967" s="1"/>
      <c r="O967" s="1"/>
      <c r="P967" s="1"/>
      <c r="Q967" s="1"/>
      <c r="R967" s="1"/>
      <c r="S967" s="1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</row>
    <row r="968" spans="1:32" ht="58.5" customHeight="1" x14ac:dyDescent="0.25">
      <c r="A968" s="56"/>
      <c r="B968" s="56"/>
      <c r="C968" s="56"/>
      <c r="D968" s="56"/>
      <c r="E968" s="57"/>
      <c r="F968" s="58"/>
      <c r="G968" s="56"/>
      <c r="H968" s="56"/>
      <c r="I968" s="59"/>
      <c r="J968" s="56"/>
      <c r="K968" s="56"/>
      <c r="L968" s="56"/>
      <c r="M968" s="1"/>
      <c r="N968" s="1"/>
      <c r="O968" s="1"/>
      <c r="P968" s="1"/>
      <c r="Q968" s="1"/>
      <c r="R968" s="1"/>
      <c r="S968" s="1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</row>
    <row r="969" spans="1:32" ht="58.5" customHeight="1" x14ac:dyDescent="0.25">
      <c r="A969" s="56"/>
      <c r="B969" s="56"/>
      <c r="C969" s="56"/>
      <c r="D969" s="56"/>
      <c r="E969" s="57"/>
      <c r="F969" s="58"/>
      <c r="G969" s="56"/>
      <c r="H969" s="56"/>
      <c r="I969" s="59"/>
      <c r="J969" s="56"/>
      <c r="K969" s="56"/>
      <c r="L969" s="56"/>
      <c r="M969" s="1"/>
      <c r="N969" s="1"/>
      <c r="O969" s="1"/>
      <c r="P969" s="1"/>
      <c r="Q969" s="1"/>
      <c r="R969" s="1"/>
      <c r="S969" s="1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</row>
    <row r="970" spans="1:32" ht="58.5" customHeight="1" x14ac:dyDescent="0.25">
      <c r="A970" s="56"/>
      <c r="B970" s="56"/>
      <c r="C970" s="56"/>
      <c r="D970" s="56"/>
      <c r="E970" s="57"/>
      <c r="F970" s="58"/>
      <c r="G970" s="56"/>
      <c r="H970" s="56"/>
      <c r="I970" s="59"/>
      <c r="J970" s="56"/>
      <c r="K970" s="56"/>
      <c r="L970" s="56"/>
      <c r="M970" s="1"/>
      <c r="N970" s="1"/>
      <c r="O970" s="1"/>
      <c r="P970" s="1"/>
      <c r="Q970" s="1"/>
      <c r="R970" s="1"/>
      <c r="S970" s="1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</row>
    <row r="971" spans="1:32" ht="58.5" customHeight="1" x14ac:dyDescent="0.25">
      <c r="A971" s="56"/>
      <c r="B971" s="56"/>
      <c r="C971" s="56"/>
      <c r="D971" s="56"/>
      <c r="E971" s="57"/>
      <c r="F971" s="58"/>
      <c r="G971" s="56"/>
      <c r="H971" s="56"/>
      <c r="I971" s="59"/>
      <c r="J971" s="56"/>
      <c r="K971" s="56"/>
      <c r="L971" s="56"/>
      <c r="M971" s="1"/>
      <c r="N971" s="1"/>
      <c r="O971" s="1"/>
      <c r="P971" s="1"/>
      <c r="Q971" s="1"/>
      <c r="R971" s="1"/>
      <c r="S971" s="1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</row>
    <row r="972" spans="1:32" ht="58.5" customHeight="1" x14ac:dyDescent="0.25">
      <c r="A972" s="56"/>
      <c r="B972" s="56"/>
      <c r="C972" s="56"/>
      <c r="D972" s="56"/>
      <c r="E972" s="57"/>
      <c r="F972" s="58"/>
      <c r="G972" s="56"/>
      <c r="H972" s="56"/>
      <c r="I972" s="59"/>
      <c r="J972" s="56"/>
      <c r="K972" s="56"/>
      <c r="L972" s="56"/>
      <c r="M972" s="1"/>
      <c r="N972" s="1"/>
      <c r="O972" s="1"/>
      <c r="P972" s="1"/>
      <c r="Q972" s="1"/>
      <c r="R972" s="1"/>
      <c r="S972" s="1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</row>
    <row r="973" spans="1:32" ht="58.5" customHeight="1" x14ac:dyDescent="0.25">
      <c r="A973" s="56"/>
      <c r="B973" s="56"/>
      <c r="C973" s="56"/>
      <c r="D973" s="56"/>
      <c r="E973" s="57"/>
      <c r="F973" s="58"/>
      <c r="G973" s="56"/>
      <c r="H973" s="56"/>
      <c r="I973" s="59"/>
      <c r="J973" s="56"/>
      <c r="K973" s="56"/>
      <c r="L973" s="56"/>
      <c r="M973" s="1"/>
      <c r="N973" s="1"/>
      <c r="O973" s="1"/>
      <c r="P973" s="1"/>
      <c r="Q973" s="1"/>
      <c r="R973" s="1"/>
      <c r="S973" s="1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</row>
    <row r="974" spans="1:32" ht="58.5" customHeight="1" x14ac:dyDescent="0.25">
      <c r="A974" s="56"/>
      <c r="B974" s="56"/>
      <c r="C974" s="56"/>
      <c r="D974" s="56"/>
      <c r="E974" s="57"/>
      <c r="F974" s="58"/>
      <c r="G974" s="56"/>
      <c r="H974" s="56"/>
      <c r="I974" s="59"/>
      <c r="J974" s="56"/>
      <c r="K974" s="56"/>
      <c r="L974" s="56"/>
      <c r="M974" s="1"/>
      <c r="N974" s="1"/>
      <c r="O974" s="1"/>
      <c r="P974" s="1"/>
      <c r="Q974" s="1"/>
      <c r="R974" s="1"/>
      <c r="S974" s="1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</row>
    <row r="975" spans="1:32" ht="58.5" customHeight="1" x14ac:dyDescent="0.25">
      <c r="A975" s="56"/>
      <c r="B975" s="56"/>
      <c r="C975" s="56"/>
      <c r="D975" s="56"/>
      <c r="E975" s="57"/>
      <c r="F975" s="58"/>
      <c r="G975" s="56"/>
      <c r="H975" s="56"/>
      <c r="I975" s="59"/>
      <c r="J975" s="56"/>
      <c r="K975" s="56"/>
      <c r="L975" s="56"/>
      <c r="M975" s="1"/>
      <c r="N975" s="1"/>
      <c r="O975" s="1"/>
      <c r="P975" s="1"/>
      <c r="Q975" s="1"/>
      <c r="R975" s="1"/>
      <c r="S975" s="1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</row>
    <row r="976" spans="1:32" ht="58.5" customHeight="1" x14ac:dyDescent="0.25">
      <c r="A976" s="56"/>
      <c r="B976" s="56"/>
      <c r="C976" s="56"/>
      <c r="D976" s="56"/>
      <c r="E976" s="57"/>
      <c r="F976" s="58"/>
      <c r="G976" s="56"/>
      <c r="H976" s="56"/>
      <c r="I976" s="59"/>
      <c r="J976" s="56"/>
      <c r="K976" s="56"/>
      <c r="L976" s="56"/>
      <c r="M976" s="1"/>
      <c r="N976" s="1"/>
      <c r="O976" s="1"/>
      <c r="P976" s="1"/>
      <c r="Q976" s="1"/>
      <c r="R976" s="1"/>
      <c r="S976" s="1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</row>
    <row r="977" spans="1:32" ht="58.5" customHeight="1" x14ac:dyDescent="0.25">
      <c r="A977" s="56"/>
      <c r="B977" s="56"/>
      <c r="C977" s="56"/>
      <c r="D977" s="56"/>
      <c r="E977" s="57"/>
      <c r="F977" s="58"/>
      <c r="G977" s="56"/>
      <c r="H977" s="56"/>
      <c r="I977" s="59"/>
      <c r="J977" s="56"/>
      <c r="K977" s="56"/>
      <c r="L977" s="56"/>
      <c r="M977" s="1"/>
      <c r="N977" s="1"/>
      <c r="O977" s="1"/>
      <c r="P977" s="1"/>
      <c r="Q977" s="1"/>
      <c r="R977" s="1"/>
      <c r="S977" s="1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</row>
    <row r="978" spans="1:32" ht="58.5" customHeight="1" x14ac:dyDescent="0.25">
      <c r="A978" s="56"/>
      <c r="B978" s="56"/>
      <c r="C978" s="56"/>
      <c r="D978" s="56"/>
      <c r="E978" s="57"/>
      <c r="F978" s="58"/>
      <c r="G978" s="56"/>
      <c r="H978" s="56"/>
      <c r="I978" s="59"/>
      <c r="J978" s="56"/>
      <c r="K978" s="56"/>
      <c r="L978" s="56"/>
      <c r="M978" s="1"/>
      <c r="N978" s="1"/>
      <c r="O978" s="1"/>
      <c r="P978" s="1"/>
      <c r="Q978" s="1"/>
      <c r="R978" s="1"/>
      <c r="S978" s="1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</row>
    <row r="979" spans="1:32" ht="58.5" customHeight="1" x14ac:dyDescent="0.25">
      <c r="A979" s="56"/>
      <c r="B979" s="56"/>
      <c r="C979" s="56"/>
      <c r="D979" s="56"/>
      <c r="E979" s="57"/>
      <c r="F979" s="58"/>
      <c r="G979" s="56"/>
      <c r="H979" s="56"/>
      <c r="I979" s="59"/>
      <c r="J979" s="56"/>
      <c r="K979" s="56"/>
      <c r="L979" s="56"/>
      <c r="M979" s="1"/>
      <c r="N979" s="1"/>
      <c r="O979" s="1"/>
      <c r="P979" s="1"/>
      <c r="Q979" s="1"/>
      <c r="R979" s="1"/>
      <c r="S979" s="1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</row>
    <row r="980" spans="1:32" ht="58.5" customHeight="1" x14ac:dyDescent="0.25">
      <c r="A980" s="56"/>
      <c r="B980" s="56"/>
      <c r="C980" s="56"/>
      <c r="D980" s="56"/>
      <c r="E980" s="57"/>
      <c r="F980" s="58"/>
      <c r="G980" s="56"/>
      <c r="H980" s="56"/>
      <c r="I980" s="59"/>
      <c r="J980" s="56"/>
      <c r="K980" s="56"/>
      <c r="L980" s="56"/>
      <c r="M980" s="1"/>
      <c r="N980" s="1"/>
      <c r="O980" s="1"/>
      <c r="P980" s="1"/>
      <c r="Q980" s="1"/>
      <c r="R980" s="1"/>
      <c r="S980" s="1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</row>
    <row r="981" spans="1:32" ht="58.5" customHeight="1" x14ac:dyDescent="0.25">
      <c r="A981" s="56"/>
      <c r="B981" s="56"/>
      <c r="C981" s="56"/>
      <c r="D981" s="56"/>
      <c r="E981" s="57"/>
      <c r="F981" s="58"/>
      <c r="G981" s="56"/>
      <c r="H981" s="56"/>
      <c r="I981" s="59"/>
      <c r="J981" s="56"/>
      <c r="K981" s="56"/>
      <c r="L981" s="56"/>
      <c r="M981" s="1"/>
      <c r="N981" s="1"/>
      <c r="O981" s="1"/>
      <c r="P981" s="1"/>
      <c r="Q981" s="1"/>
      <c r="R981" s="1"/>
      <c r="S981" s="1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</row>
    <row r="982" spans="1:32" ht="58.5" customHeight="1" x14ac:dyDescent="0.25">
      <c r="A982" s="56"/>
      <c r="B982" s="56"/>
      <c r="C982" s="56"/>
      <c r="D982" s="56"/>
      <c r="E982" s="57"/>
      <c r="F982" s="58"/>
      <c r="G982" s="56"/>
      <c r="H982" s="56"/>
      <c r="I982" s="59"/>
      <c r="J982" s="56"/>
      <c r="K982" s="56"/>
      <c r="L982" s="56"/>
      <c r="M982" s="1"/>
      <c r="N982" s="1"/>
      <c r="O982" s="1"/>
      <c r="P982" s="1"/>
      <c r="Q982" s="1"/>
      <c r="R982" s="1"/>
      <c r="S982" s="1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</row>
    <row r="983" spans="1:32" ht="58.5" customHeight="1" x14ac:dyDescent="0.25">
      <c r="A983" s="56"/>
      <c r="B983" s="56"/>
      <c r="C983" s="56"/>
      <c r="D983" s="56"/>
      <c r="E983" s="57"/>
      <c r="F983" s="58"/>
      <c r="G983" s="56"/>
      <c r="H983" s="56"/>
      <c r="I983" s="59"/>
      <c r="J983" s="56"/>
      <c r="K983" s="56"/>
      <c r="L983" s="56"/>
      <c r="M983" s="1"/>
      <c r="N983" s="1"/>
      <c r="O983" s="1"/>
      <c r="P983" s="1"/>
      <c r="Q983" s="1"/>
      <c r="R983" s="1"/>
      <c r="S983" s="1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</row>
    <row r="984" spans="1:32" ht="58.5" customHeight="1" x14ac:dyDescent="0.25">
      <c r="A984" s="56"/>
      <c r="B984" s="56"/>
      <c r="C984" s="56"/>
      <c r="D984" s="56"/>
      <c r="E984" s="57"/>
      <c r="F984" s="58"/>
      <c r="G984" s="56"/>
      <c r="H984" s="56"/>
      <c r="I984" s="59"/>
      <c r="J984" s="56"/>
      <c r="K984" s="56"/>
      <c r="L984" s="56"/>
      <c r="M984" s="1"/>
      <c r="N984" s="1"/>
      <c r="O984" s="1"/>
      <c r="P984" s="1"/>
      <c r="Q984" s="1"/>
      <c r="R984" s="1"/>
      <c r="S984" s="1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</row>
    <row r="985" spans="1:32" ht="58.5" customHeight="1" x14ac:dyDescent="0.25">
      <c r="A985" s="56"/>
      <c r="B985" s="56"/>
      <c r="C985" s="56"/>
      <c r="D985" s="56"/>
      <c r="E985" s="57"/>
      <c r="F985" s="58"/>
      <c r="G985" s="56"/>
      <c r="H985" s="56"/>
      <c r="I985" s="59"/>
      <c r="J985" s="56"/>
      <c r="K985" s="56"/>
      <c r="L985" s="56"/>
      <c r="M985" s="1"/>
      <c r="N985" s="1"/>
      <c r="O985" s="1"/>
      <c r="P985" s="1"/>
      <c r="Q985" s="1"/>
      <c r="R985" s="1"/>
      <c r="S985" s="1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</row>
    <row r="986" spans="1:32" ht="58.5" customHeight="1" x14ac:dyDescent="0.25">
      <c r="A986" s="56"/>
      <c r="B986" s="56"/>
      <c r="C986" s="56"/>
      <c r="D986" s="56"/>
      <c r="E986" s="57"/>
      <c r="F986" s="58"/>
      <c r="G986" s="56"/>
      <c r="H986" s="56"/>
      <c r="I986" s="59"/>
      <c r="J986" s="56"/>
      <c r="K986" s="56"/>
      <c r="L986" s="56"/>
      <c r="M986" s="1"/>
      <c r="N986" s="1"/>
      <c r="O986" s="1"/>
      <c r="P986" s="1"/>
      <c r="Q986" s="1"/>
      <c r="R986" s="1"/>
      <c r="S986" s="1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</row>
    <row r="987" spans="1:32" ht="58.5" customHeight="1" x14ac:dyDescent="0.25">
      <c r="A987" s="56"/>
      <c r="B987" s="56"/>
      <c r="C987" s="56"/>
      <c r="D987" s="56"/>
      <c r="E987" s="57"/>
      <c r="F987" s="58"/>
      <c r="G987" s="56"/>
      <c r="H987" s="56"/>
      <c r="I987" s="59"/>
      <c r="J987" s="56"/>
      <c r="K987" s="56"/>
      <c r="L987" s="56"/>
      <c r="M987" s="1"/>
      <c r="N987" s="1"/>
      <c r="O987" s="1"/>
      <c r="P987" s="1"/>
      <c r="Q987" s="1"/>
      <c r="R987" s="1"/>
      <c r="S987" s="1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</row>
    <row r="988" spans="1:32" ht="58.5" customHeight="1" x14ac:dyDescent="0.25">
      <c r="A988" s="56"/>
      <c r="B988" s="56"/>
      <c r="C988" s="56"/>
      <c r="D988" s="56"/>
      <c r="E988" s="57"/>
      <c r="F988" s="58"/>
      <c r="G988" s="56"/>
      <c r="H988" s="56"/>
      <c r="I988" s="59"/>
      <c r="J988" s="56"/>
      <c r="K988" s="56"/>
      <c r="L988" s="56"/>
      <c r="M988" s="1"/>
      <c r="N988" s="1"/>
      <c r="O988" s="1"/>
      <c r="P988" s="1"/>
      <c r="Q988" s="1"/>
      <c r="R988" s="1"/>
      <c r="S988" s="1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</row>
    <row r="989" spans="1:32" ht="58.5" customHeight="1" x14ac:dyDescent="0.25">
      <c r="A989" s="56"/>
      <c r="B989" s="56"/>
      <c r="C989" s="56"/>
      <c r="D989" s="56"/>
      <c r="E989" s="57"/>
      <c r="F989" s="58"/>
      <c r="G989" s="56"/>
      <c r="H989" s="56"/>
      <c r="I989" s="59"/>
      <c r="J989" s="56"/>
      <c r="K989" s="56"/>
      <c r="L989" s="56"/>
      <c r="M989" s="1"/>
      <c r="N989" s="1"/>
      <c r="O989" s="1"/>
      <c r="P989" s="1"/>
      <c r="Q989" s="1"/>
      <c r="R989" s="1"/>
      <c r="S989" s="1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</row>
    <row r="990" spans="1:32" ht="58.5" customHeight="1" x14ac:dyDescent="0.25">
      <c r="A990" s="56"/>
      <c r="B990" s="56"/>
      <c r="C990" s="56"/>
      <c r="D990" s="56"/>
      <c r="E990" s="57"/>
      <c r="F990" s="58"/>
      <c r="G990" s="56"/>
      <c r="H990" s="56"/>
      <c r="I990" s="59"/>
      <c r="J990" s="56"/>
      <c r="K990" s="56"/>
      <c r="L990" s="56"/>
      <c r="M990" s="1"/>
      <c r="N990" s="1"/>
      <c r="O990" s="1"/>
      <c r="P990" s="1"/>
      <c r="Q990" s="1"/>
      <c r="R990" s="1"/>
      <c r="S990" s="1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</row>
    <row r="991" spans="1:32" ht="58.5" customHeight="1" x14ac:dyDescent="0.25">
      <c r="A991" s="56"/>
      <c r="B991" s="56"/>
      <c r="C991" s="56"/>
      <c r="D991" s="56"/>
      <c r="E991" s="57"/>
      <c r="F991" s="58"/>
      <c r="G991" s="56"/>
      <c r="H991" s="56"/>
      <c r="I991" s="59"/>
      <c r="J991" s="56"/>
      <c r="K991" s="56"/>
      <c r="L991" s="56"/>
      <c r="M991" s="1"/>
      <c r="N991" s="1"/>
      <c r="O991" s="1"/>
      <c r="P991" s="1"/>
      <c r="Q991" s="1"/>
      <c r="R991" s="1"/>
      <c r="S991" s="1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</row>
    <row r="992" spans="1:32" ht="58.5" customHeight="1" x14ac:dyDescent="0.25">
      <c r="A992" s="56"/>
      <c r="B992" s="56"/>
      <c r="C992" s="56"/>
      <c r="D992" s="56"/>
      <c r="E992" s="57"/>
      <c r="F992" s="58"/>
      <c r="G992" s="56"/>
      <c r="H992" s="56"/>
      <c r="I992" s="59"/>
      <c r="J992" s="56"/>
      <c r="K992" s="56"/>
      <c r="L992" s="56"/>
      <c r="M992" s="1"/>
      <c r="N992" s="1"/>
      <c r="O992" s="1"/>
      <c r="P992" s="1"/>
      <c r="Q992" s="1"/>
      <c r="R992" s="1"/>
      <c r="S992" s="1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</row>
    <row r="993" spans="1:32" ht="58.5" customHeight="1" x14ac:dyDescent="0.25">
      <c r="A993" s="56"/>
      <c r="B993" s="56"/>
      <c r="C993" s="56"/>
      <c r="D993" s="56"/>
      <c r="E993" s="57"/>
      <c r="F993" s="58"/>
      <c r="G993" s="56"/>
      <c r="H993" s="56"/>
      <c r="I993" s="59"/>
      <c r="J993" s="56"/>
      <c r="K993" s="56"/>
      <c r="L993" s="56"/>
      <c r="M993" s="1"/>
      <c r="N993" s="1"/>
      <c r="O993" s="1"/>
      <c r="P993" s="1"/>
      <c r="Q993" s="1"/>
      <c r="R993" s="1"/>
      <c r="S993" s="1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</row>
    <row r="994" spans="1:32" ht="58.5" customHeight="1" x14ac:dyDescent="0.25">
      <c r="A994" s="56"/>
      <c r="B994" s="56"/>
      <c r="C994" s="56"/>
      <c r="D994" s="56"/>
      <c r="E994" s="57"/>
      <c r="F994" s="58"/>
      <c r="G994" s="56"/>
      <c r="H994" s="56"/>
      <c r="I994" s="59"/>
      <c r="J994" s="56"/>
      <c r="K994" s="56"/>
      <c r="L994" s="56"/>
      <c r="M994" s="1"/>
      <c r="N994" s="1"/>
      <c r="O994" s="1"/>
      <c r="P994" s="1"/>
      <c r="Q994" s="1"/>
      <c r="R994" s="1"/>
      <c r="S994" s="1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</row>
    <row r="995" spans="1:32" ht="58.5" customHeight="1" x14ac:dyDescent="0.25">
      <c r="A995" s="56"/>
      <c r="B995" s="56"/>
      <c r="C995" s="56"/>
      <c r="D995" s="56"/>
      <c r="E995" s="57"/>
      <c r="F995" s="58"/>
      <c r="G995" s="56"/>
      <c r="H995" s="56"/>
      <c r="I995" s="59"/>
      <c r="J995" s="56"/>
      <c r="K995" s="56"/>
      <c r="L995" s="56"/>
      <c r="M995" s="1"/>
      <c r="N995" s="1"/>
      <c r="O995" s="1"/>
      <c r="P995" s="1"/>
      <c r="Q995" s="1"/>
      <c r="R995" s="1"/>
      <c r="S995" s="1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</row>
    <row r="996" spans="1:32" ht="58.5" customHeight="1" x14ac:dyDescent="0.25">
      <c r="A996" s="56"/>
      <c r="B996" s="56"/>
      <c r="C996" s="56"/>
      <c r="D996" s="56"/>
      <c r="E996" s="57"/>
      <c r="F996" s="58"/>
      <c r="G996" s="56"/>
      <c r="H996" s="56"/>
      <c r="I996" s="59"/>
      <c r="J996" s="56"/>
      <c r="K996" s="56"/>
      <c r="L996" s="56"/>
      <c r="M996" s="1"/>
      <c r="N996" s="1"/>
      <c r="O996" s="1"/>
      <c r="P996" s="1"/>
      <c r="Q996" s="1"/>
      <c r="R996" s="1"/>
      <c r="S996" s="1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</row>
    <row r="997" spans="1:32" ht="58.5" customHeight="1" x14ac:dyDescent="0.25">
      <c r="A997" s="56"/>
      <c r="B997" s="56"/>
      <c r="C997" s="56"/>
      <c r="D997" s="56"/>
      <c r="E997" s="57"/>
      <c r="F997" s="58"/>
      <c r="G997" s="56"/>
      <c r="H997" s="56"/>
      <c r="I997" s="59"/>
      <c r="J997" s="56"/>
      <c r="K997" s="56"/>
      <c r="L997" s="56"/>
      <c r="M997" s="1"/>
      <c r="N997" s="1"/>
      <c r="O997" s="1"/>
      <c r="P997" s="1"/>
      <c r="Q997" s="1"/>
      <c r="R997" s="1"/>
      <c r="S997" s="1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</row>
    <row r="998" spans="1:32" ht="58.5" customHeight="1" x14ac:dyDescent="0.25">
      <c r="A998" s="56"/>
      <c r="B998" s="56"/>
      <c r="C998" s="56"/>
      <c r="D998" s="56"/>
      <c r="E998" s="57"/>
      <c r="F998" s="58"/>
      <c r="G998" s="56"/>
      <c r="H998" s="56"/>
      <c r="I998" s="59"/>
      <c r="J998" s="56"/>
      <c r="K998" s="56"/>
      <c r="L998" s="56"/>
      <c r="M998" s="1"/>
      <c r="N998" s="1"/>
      <c r="O998" s="1"/>
      <c r="P998" s="1"/>
      <c r="Q998" s="1"/>
      <c r="R998" s="1"/>
      <c r="S998" s="1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</row>
    <row r="999" spans="1:32" ht="58.5" customHeight="1" x14ac:dyDescent="0.25">
      <c r="A999" s="56"/>
      <c r="B999" s="56"/>
      <c r="C999" s="56"/>
      <c r="D999" s="56"/>
      <c r="E999" s="57"/>
      <c r="F999" s="58"/>
      <c r="G999" s="56"/>
      <c r="H999" s="56"/>
      <c r="I999" s="59"/>
      <c r="J999" s="56"/>
      <c r="K999" s="56"/>
      <c r="L999" s="56"/>
      <c r="M999" s="1"/>
      <c r="N999" s="1"/>
      <c r="O999" s="1"/>
      <c r="P999" s="1"/>
      <c r="Q999" s="1"/>
      <c r="R999" s="1"/>
      <c r="S999" s="1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</row>
    <row r="1000" spans="1:32" ht="58.5" customHeight="1" x14ac:dyDescent="0.25">
      <c r="A1000" s="56"/>
      <c r="B1000" s="56"/>
      <c r="C1000" s="56"/>
      <c r="D1000" s="56"/>
      <c r="E1000" s="57"/>
      <c r="F1000" s="58"/>
      <c r="G1000" s="56"/>
      <c r="H1000" s="56"/>
      <c r="I1000" s="59"/>
      <c r="J1000" s="56"/>
      <c r="K1000" s="56"/>
      <c r="L1000" s="56"/>
      <c r="M1000" s="1"/>
      <c r="N1000" s="1"/>
      <c r="O1000" s="1"/>
      <c r="P1000" s="1"/>
      <c r="Q1000" s="1"/>
      <c r="R1000" s="1"/>
      <c r="S1000" s="1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</row>
  </sheetData>
  <mergeCells count="659">
    <mergeCell ref="AC87:AC88"/>
    <mergeCell ref="AD87:AD88"/>
    <mergeCell ref="AE87:AE88"/>
    <mergeCell ref="AF87:AF88"/>
    <mergeCell ref="T87:T88"/>
    <mergeCell ref="U87:U88"/>
    <mergeCell ref="X87:X88"/>
    <mergeCell ref="Y87:Y88"/>
    <mergeCell ref="Z87:Z88"/>
    <mergeCell ref="AA87:AA88"/>
    <mergeCell ref="AB87:AB88"/>
    <mergeCell ref="V87:V88"/>
    <mergeCell ref="W87:W88"/>
    <mergeCell ref="L75:L77"/>
    <mergeCell ref="S75:S77"/>
    <mergeCell ref="T75:T77"/>
    <mergeCell ref="U75:U77"/>
    <mergeCell ref="V75:V77"/>
    <mergeCell ref="L78:L80"/>
    <mergeCell ref="L83:L84"/>
    <mergeCell ref="AE85:AE86"/>
    <mergeCell ref="AF85:AF86"/>
    <mergeCell ref="X85:X86"/>
    <mergeCell ref="Y85:Y86"/>
    <mergeCell ref="Z85:Z86"/>
    <mergeCell ref="AA85:AA86"/>
    <mergeCell ref="AB85:AB86"/>
    <mergeCell ref="AC85:AC86"/>
    <mergeCell ref="AD85:AD86"/>
    <mergeCell ref="O85:O86"/>
    <mergeCell ref="L85:L86"/>
    <mergeCell ref="S85:S86"/>
    <mergeCell ref="T85:T86"/>
    <mergeCell ref="U85:U86"/>
    <mergeCell ref="V85:V86"/>
    <mergeCell ref="W85:W86"/>
    <mergeCell ref="AF81:AF82"/>
    <mergeCell ref="L87:L88"/>
    <mergeCell ref="R85:R86"/>
    <mergeCell ref="O87:O88"/>
    <mergeCell ref="R87:R88"/>
    <mergeCell ref="S87:S88"/>
    <mergeCell ref="AB59:AB61"/>
    <mergeCell ref="AC59:AC61"/>
    <mergeCell ref="AD59:AD61"/>
    <mergeCell ref="AE59:AE61"/>
    <mergeCell ref="O81:O82"/>
    <mergeCell ref="O83:O84"/>
    <mergeCell ref="R83:R84"/>
    <mergeCell ref="S83:S84"/>
    <mergeCell ref="R81:R82"/>
    <mergeCell ref="S81:S82"/>
    <mergeCell ref="AE81:AE82"/>
    <mergeCell ref="U81:U82"/>
    <mergeCell ref="V81:V82"/>
    <mergeCell ref="W81:W82"/>
    <mergeCell ref="X81:X82"/>
    <mergeCell ref="Y81:Y82"/>
    <mergeCell ref="Z81:Z82"/>
    <mergeCell ref="AA81:AA82"/>
    <mergeCell ref="O75:O77"/>
    <mergeCell ref="AF59:AF61"/>
    <mergeCell ref="T51:T52"/>
    <mergeCell ref="U51:U52"/>
    <mergeCell ref="T53:T54"/>
    <mergeCell ref="U53:U54"/>
    <mergeCell ref="V53:V54"/>
    <mergeCell ref="W53:W54"/>
    <mergeCell ref="X53:X54"/>
    <mergeCell ref="L53:L54"/>
    <mergeCell ref="O53:O54"/>
    <mergeCell ref="L55:L56"/>
    <mergeCell ref="O55:O56"/>
    <mergeCell ref="O57:O58"/>
    <mergeCell ref="O59:O61"/>
    <mergeCell ref="Y59:Y61"/>
    <mergeCell ref="Z59:Z61"/>
    <mergeCell ref="AA59:AA61"/>
    <mergeCell ref="AD53:AD54"/>
    <mergeCell ref="AD55:AD56"/>
    <mergeCell ref="AE55:AE56"/>
    <mergeCell ref="AF55:AF56"/>
    <mergeCell ref="AD57:AD58"/>
    <mergeCell ref="AE57:AE58"/>
    <mergeCell ref="AF57:AF58"/>
    <mergeCell ref="Y53:Y54"/>
    <mergeCell ref="Z53:Z54"/>
    <mergeCell ref="AA53:AA54"/>
    <mergeCell ref="AB53:AB54"/>
    <mergeCell ref="AC53:AC54"/>
    <mergeCell ref="AE53:AE54"/>
    <mergeCell ref="AF53:AF54"/>
    <mergeCell ref="L51:L52"/>
    <mergeCell ref="AC51:AC52"/>
    <mergeCell ref="AD51:AD52"/>
    <mergeCell ref="AE51:AE52"/>
    <mergeCell ref="AF51:AF52"/>
    <mergeCell ref="V51:V52"/>
    <mergeCell ref="W51:W52"/>
    <mergeCell ref="X51:X52"/>
    <mergeCell ref="Y51:Y52"/>
    <mergeCell ref="Z51:Z52"/>
    <mergeCell ref="AA51:AA52"/>
    <mergeCell ref="AB51:AB52"/>
    <mergeCell ref="O51:O52"/>
    <mergeCell ref="R51:R52"/>
    <mergeCell ref="S51:S52"/>
    <mergeCell ref="R53:R54"/>
    <mergeCell ref="S53:S54"/>
    <mergeCell ref="R55:R56"/>
    <mergeCell ref="S55:S56"/>
    <mergeCell ref="T55:T56"/>
    <mergeCell ref="AB57:AB58"/>
    <mergeCell ref="AC57:AC58"/>
    <mergeCell ref="U57:U58"/>
    <mergeCell ref="V57:V58"/>
    <mergeCell ref="W57:W58"/>
    <mergeCell ref="X57:X58"/>
    <mergeCell ref="Y57:Y58"/>
    <mergeCell ref="Z57:Z58"/>
    <mergeCell ref="AA57:AA58"/>
    <mergeCell ref="AB55:AB56"/>
    <mergeCell ref="AC55:AC56"/>
    <mergeCell ref="U55:U56"/>
    <mergeCell ref="V55:V56"/>
    <mergeCell ref="W55:W56"/>
    <mergeCell ref="X55:X56"/>
    <mergeCell ref="Y55:Y56"/>
    <mergeCell ref="Z55:Z56"/>
    <mergeCell ref="AA55:AA56"/>
    <mergeCell ref="L39:L40"/>
    <mergeCell ref="O39:O40"/>
    <mergeCell ref="L41:L44"/>
    <mergeCell ref="R41:R44"/>
    <mergeCell ref="L45:L48"/>
    <mergeCell ref="AF45:AF48"/>
    <mergeCell ref="AF49:AF50"/>
    <mergeCell ref="Y45:Y48"/>
    <mergeCell ref="Z45:Z48"/>
    <mergeCell ref="AA45:AA48"/>
    <mergeCell ref="AB45:AB48"/>
    <mergeCell ref="AC45:AC48"/>
    <mergeCell ref="AD45:AD48"/>
    <mergeCell ref="AE45:AE48"/>
    <mergeCell ref="L49:L50"/>
    <mergeCell ref="R49:R50"/>
    <mergeCell ref="S49:S50"/>
    <mergeCell ref="T49:T50"/>
    <mergeCell ref="U49:U50"/>
    <mergeCell ref="V49:V50"/>
    <mergeCell ref="O49:O50"/>
    <mergeCell ref="O41:O44"/>
    <mergeCell ref="O45:O48"/>
    <mergeCell ref="R45:R48"/>
    <mergeCell ref="S45:S48"/>
    <mergeCell ref="T45:T48"/>
    <mergeCell ref="U45:U48"/>
    <mergeCell ref="V45:V48"/>
    <mergeCell ref="W45:W48"/>
    <mergeCell ref="X45:X48"/>
    <mergeCell ref="Z41:Z44"/>
    <mergeCell ref="AA41:AA44"/>
    <mergeCell ref="AB41:AB44"/>
    <mergeCell ref="AD33:AD34"/>
    <mergeCell ref="AE33:AE34"/>
    <mergeCell ref="AF33:AF34"/>
    <mergeCell ref="AC41:AC44"/>
    <mergeCell ref="AD41:AD44"/>
    <mergeCell ref="AE41:AE44"/>
    <mergeCell ref="AF41:AF44"/>
    <mergeCell ref="S41:S44"/>
    <mergeCell ref="T41:T44"/>
    <mergeCell ref="U41:U44"/>
    <mergeCell ref="V41:V44"/>
    <mergeCell ref="W41:W44"/>
    <mergeCell ref="X41:X44"/>
    <mergeCell ref="Y41:Y44"/>
    <mergeCell ref="AA33:AA34"/>
    <mergeCell ref="AB33:AB34"/>
    <mergeCell ref="AC33:AC34"/>
    <mergeCell ref="T81:T82"/>
    <mergeCell ref="AB81:AB82"/>
    <mergeCell ref="AC81:AC82"/>
    <mergeCell ref="AD81:AD82"/>
    <mergeCell ref="AD39:AD40"/>
    <mergeCell ref="AE39:AE40"/>
    <mergeCell ref="AF39:AF40"/>
    <mergeCell ref="Y27:Y28"/>
    <mergeCell ref="Z27:Z28"/>
    <mergeCell ref="Y39:Y40"/>
    <mergeCell ref="Z39:Z40"/>
    <mergeCell ref="AA39:AA40"/>
    <mergeCell ref="AB39:AB40"/>
    <mergeCell ref="AC39:AC40"/>
    <mergeCell ref="AC29:AC30"/>
    <mergeCell ref="AC31:AC32"/>
    <mergeCell ref="AD31:AD32"/>
    <mergeCell ref="AE31:AE32"/>
    <mergeCell ref="AF31:AF32"/>
    <mergeCell ref="AF29:AF30"/>
    <mergeCell ref="AC35:AC38"/>
    <mergeCell ref="AD35:AD38"/>
    <mergeCell ref="AE35:AE38"/>
    <mergeCell ref="AF35:AF38"/>
    <mergeCell ref="AF83:AF84"/>
    <mergeCell ref="T83:T84"/>
    <mergeCell ref="U83:U84"/>
    <mergeCell ref="V83:V84"/>
    <mergeCell ref="W83:W84"/>
    <mergeCell ref="X83:X84"/>
    <mergeCell ref="Y83:Y84"/>
    <mergeCell ref="Z83:Z84"/>
    <mergeCell ref="AA83:AA84"/>
    <mergeCell ref="AB83:AB84"/>
    <mergeCell ref="AC83:AC84"/>
    <mergeCell ref="AD83:AD84"/>
    <mergeCell ref="AE83:AE84"/>
    <mergeCell ref="R27:R28"/>
    <mergeCell ref="S27:S28"/>
    <mergeCell ref="T27:T28"/>
    <mergeCell ref="U27:U28"/>
    <mergeCell ref="V27:V28"/>
    <mergeCell ref="W27:W28"/>
    <mergeCell ref="X27:X28"/>
    <mergeCell ref="AD29:AD30"/>
    <mergeCell ref="AE29:AE30"/>
    <mergeCell ref="W29:W30"/>
    <mergeCell ref="X29:X30"/>
    <mergeCell ref="Y29:Y30"/>
    <mergeCell ref="Z29:Z30"/>
    <mergeCell ref="AA29:AA30"/>
    <mergeCell ref="AB29:AB30"/>
    <mergeCell ref="O78:O80"/>
    <mergeCell ref="R78:R80"/>
    <mergeCell ref="S78:S80"/>
    <mergeCell ref="AC78:AC80"/>
    <mergeCell ref="AD78:AD80"/>
    <mergeCell ref="AE78:AE80"/>
    <mergeCell ref="AF78:AF80"/>
    <mergeCell ref="V78:V80"/>
    <mergeCell ref="W78:W80"/>
    <mergeCell ref="X78:X80"/>
    <mergeCell ref="Y78:Y80"/>
    <mergeCell ref="Z78:Z80"/>
    <mergeCell ref="AA78:AA80"/>
    <mergeCell ref="AB78:AB80"/>
    <mergeCell ref="T78:T80"/>
    <mergeCell ref="U78:U80"/>
    <mergeCell ref="R75:R77"/>
    <mergeCell ref="AD75:AD77"/>
    <mergeCell ref="AE75:AE77"/>
    <mergeCell ref="AF75:AF77"/>
    <mergeCell ref="W75:W77"/>
    <mergeCell ref="X75:X77"/>
    <mergeCell ref="Y75:Y77"/>
    <mergeCell ref="Z75:Z77"/>
    <mergeCell ref="AA75:AA77"/>
    <mergeCell ref="AB75:AB77"/>
    <mergeCell ref="AC75:AC77"/>
    <mergeCell ref="V67:V71"/>
    <mergeCell ref="L72:L74"/>
    <mergeCell ref="V72:V74"/>
    <mergeCell ref="AB72:AB74"/>
    <mergeCell ref="AC72:AC74"/>
    <mergeCell ref="T72:T74"/>
    <mergeCell ref="U72:U74"/>
    <mergeCell ref="W72:W74"/>
    <mergeCell ref="X72:X74"/>
    <mergeCell ref="Y72:Y74"/>
    <mergeCell ref="Z72:Z74"/>
    <mergeCell ref="AA72:AA74"/>
    <mergeCell ref="O67:O71"/>
    <mergeCell ref="O72:O74"/>
    <mergeCell ref="R72:R74"/>
    <mergeCell ref="S72:S74"/>
    <mergeCell ref="L67:L71"/>
    <mergeCell ref="R67:R71"/>
    <mergeCell ref="S67:S71"/>
    <mergeCell ref="T67:T71"/>
    <mergeCell ref="U67:U71"/>
    <mergeCell ref="AD67:AD71"/>
    <mergeCell ref="AE67:AE71"/>
    <mergeCell ref="AF67:AF71"/>
    <mergeCell ref="AD72:AD74"/>
    <mergeCell ref="AE72:AE74"/>
    <mergeCell ref="AF72:AF74"/>
    <mergeCell ref="W67:W71"/>
    <mergeCell ref="X67:X71"/>
    <mergeCell ref="Y67:Y71"/>
    <mergeCell ref="Z67:Z71"/>
    <mergeCell ref="AA67:AA71"/>
    <mergeCell ref="AB67:AB71"/>
    <mergeCell ref="AC67:AC71"/>
    <mergeCell ref="T64:T66"/>
    <mergeCell ref="U64:U66"/>
    <mergeCell ref="L62:L63"/>
    <mergeCell ref="R62:R63"/>
    <mergeCell ref="S62:S63"/>
    <mergeCell ref="T62:T63"/>
    <mergeCell ref="U62:U63"/>
    <mergeCell ref="V62:V63"/>
    <mergeCell ref="L64:L66"/>
    <mergeCell ref="AC64:AC66"/>
    <mergeCell ref="AD64:AD66"/>
    <mergeCell ref="AE64:AE66"/>
    <mergeCell ref="AF64:AF66"/>
    <mergeCell ref="V64:V66"/>
    <mergeCell ref="W64:W66"/>
    <mergeCell ref="X64:X66"/>
    <mergeCell ref="Y64:Y66"/>
    <mergeCell ref="Z64:Z66"/>
    <mergeCell ref="AA64:AA66"/>
    <mergeCell ref="AB64:AB66"/>
    <mergeCell ref="AD62:AD63"/>
    <mergeCell ref="AE62:AE63"/>
    <mergeCell ref="AF62:AF63"/>
    <mergeCell ref="W62:W63"/>
    <mergeCell ref="X62:X63"/>
    <mergeCell ref="Y62:Y63"/>
    <mergeCell ref="Z62:Z63"/>
    <mergeCell ref="AA62:AA63"/>
    <mergeCell ref="AB62:AB63"/>
    <mergeCell ref="AC62:AC63"/>
    <mergeCell ref="W59:W61"/>
    <mergeCell ref="X59:X61"/>
    <mergeCell ref="L57:L58"/>
    <mergeCell ref="L59:L61"/>
    <mergeCell ref="R59:R61"/>
    <mergeCell ref="S59:S61"/>
    <mergeCell ref="T59:T61"/>
    <mergeCell ref="U59:U61"/>
    <mergeCell ref="V59:V61"/>
    <mergeCell ref="R57:R58"/>
    <mergeCell ref="S57:S58"/>
    <mergeCell ref="T57:T58"/>
    <mergeCell ref="AD49:AD50"/>
    <mergeCell ref="AE49:AE50"/>
    <mergeCell ref="W49:W50"/>
    <mergeCell ref="X49:X50"/>
    <mergeCell ref="Y49:Y50"/>
    <mergeCell ref="Z49:Z50"/>
    <mergeCell ref="AA49:AA50"/>
    <mergeCell ref="AB49:AB50"/>
    <mergeCell ref="AC49:AC50"/>
    <mergeCell ref="AA19:AA21"/>
    <mergeCell ref="R19:R21"/>
    <mergeCell ref="R22:R23"/>
    <mergeCell ref="S22:S23"/>
    <mergeCell ref="T22:T23"/>
    <mergeCell ref="W39:W40"/>
    <mergeCell ref="X39:X40"/>
    <mergeCell ref="R31:R32"/>
    <mergeCell ref="S31:S32"/>
    <mergeCell ref="R39:R40"/>
    <mergeCell ref="S39:S40"/>
    <mergeCell ref="T39:T40"/>
    <mergeCell ref="U39:U40"/>
    <mergeCell ref="V39:V40"/>
    <mergeCell ref="V35:V38"/>
    <mergeCell ref="W35:W38"/>
    <mergeCell ref="X35:X38"/>
    <mergeCell ref="Y35:Y38"/>
    <mergeCell ref="Z35:Z38"/>
    <mergeCell ref="AA35:AA38"/>
    <mergeCell ref="W33:W34"/>
    <mergeCell ref="X33:X34"/>
    <mergeCell ref="Y33:Y34"/>
    <mergeCell ref="Z33:Z34"/>
    <mergeCell ref="V11:V14"/>
    <mergeCell ref="W11:W14"/>
    <mergeCell ref="X11:X14"/>
    <mergeCell ref="Y11:Y14"/>
    <mergeCell ref="Z11:Z14"/>
    <mergeCell ref="AA11:AA14"/>
    <mergeCell ref="B15:B18"/>
    <mergeCell ref="C15:C18"/>
    <mergeCell ref="D15:D18"/>
    <mergeCell ref="E15:E18"/>
    <mergeCell ref="L15:L18"/>
    <mergeCell ref="O15:O18"/>
    <mergeCell ref="R15:R18"/>
    <mergeCell ref="S15:S18"/>
    <mergeCell ref="T15:T18"/>
    <mergeCell ref="U15:U18"/>
    <mergeCell ref="V15:V18"/>
    <mergeCell ref="W15:W18"/>
    <mergeCell ref="X15:X18"/>
    <mergeCell ref="Y15:Y18"/>
    <mergeCell ref="Z15:Z18"/>
    <mergeCell ref="AA15:AA18"/>
    <mergeCell ref="AB11:AB14"/>
    <mergeCell ref="AC11:AC14"/>
    <mergeCell ref="AD11:AD14"/>
    <mergeCell ref="AE11:AE14"/>
    <mergeCell ref="AF11:AF14"/>
    <mergeCell ref="AC8:AC10"/>
    <mergeCell ref="AD8:AD10"/>
    <mergeCell ref="AE8:AE10"/>
    <mergeCell ref="AF8:AF10"/>
    <mergeCell ref="C81:C82"/>
    <mergeCell ref="B4:B7"/>
    <mergeCell ref="C4:C7"/>
    <mergeCell ref="D4:D7"/>
    <mergeCell ref="E4:E7"/>
    <mergeCell ref="R4:R7"/>
    <mergeCell ref="S4:S7"/>
    <mergeCell ref="T4:T7"/>
    <mergeCell ref="U4:U7"/>
    <mergeCell ref="B11:B14"/>
    <mergeCell ref="C11:C14"/>
    <mergeCell ref="D11:D14"/>
    <mergeCell ref="E11:E14"/>
    <mergeCell ref="L11:L14"/>
    <mergeCell ref="O11:O14"/>
    <mergeCell ref="R11:R14"/>
    <mergeCell ref="S11:S14"/>
    <mergeCell ref="T11:T14"/>
    <mergeCell ref="U11:U14"/>
    <mergeCell ref="U19:U21"/>
    <mergeCell ref="O62:O63"/>
    <mergeCell ref="O64:O66"/>
    <mergeCell ref="R64:R66"/>
    <mergeCell ref="S64:S66"/>
    <mergeCell ref="B59:B61"/>
    <mergeCell ref="A41:A56"/>
    <mergeCell ref="B57:B58"/>
    <mergeCell ref="B83:B84"/>
    <mergeCell ref="C83:C84"/>
    <mergeCell ref="B85:B86"/>
    <mergeCell ref="C85:C86"/>
    <mergeCell ref="B87:B88"/>
    <mergeCell ref="C87:C88"/>
    <mergeCell ref="A57:A88"/>
    <mergeCell ref="C59:C61"/>
    <mergeCell ref="B62:B63"/>
    <mergeCell ref="C62:C63"/>
    <mergeCell ref="B64:B66"/>
    <mergeCell ref="C64:C66"/>
    <mergeCell ref="B67:B71"/>
    <mergeCell ref="C67:C71"/>
    <mergeCell ref="B72:B74"/>
    <mergeCell ref="C72:C74"/>
    <mergeCell ref="B75:B77"/>
    <mergeCell ref="C75:C77"/>
    <mergeCell ref="B78:B80"/>
    <mergeCell ref="C78:C80"/>
    <mergeCell ref="B81:B82"/>
    <mergeCell ref="B49:B50"/>
    <mergeCell ref="C49:C50"/>
    <mergeCell ref="B51:B52"/>
    <mergeCell ref="C51:C52"/>
    <mergeCell ref="B53:B54"/>
    <mergeCell ref="C53:C54"/>
    <mergeCell ref="B55:B56"/>
    <mergeCell ref="C55:C56"/>
    <mergeCell ref="C57:C58"/>
    <mergeCell ref="B39:B40"/>
    <mergeCell ref="C39:C40"/>
    <mergeCell ref="D39:D40"/>
    <mergeCell ref="E39:E40"/>
    <mergeCell ref="D41:D44"/>
    <mergeCell ref="E41:E44"/>
    <mergeCell ref="E45:E48"/>
    <mergeCell ref="B29:B30"/>
    <mergeCell ref="B41:B44"/>
    <mergeCell ref="C41:C44"/>
    <mergeCell ref="B45:B48"/>
    <mergeCell ref="C45:C48"/>
    <mergeCell ref="C29:C30"/>
    <mergeCell ref="B31:B32"/>
    <mergeCell ref="C31:C32"/>
    <mergeCell ref="D31:D32"/>
    <mergeCell ref="E31:E32"/>
    <mergeCell ref="B33:B34"/>
    <mergeCell ref="C33:C34"/>
    <mergeCell ref="D33:D34"/>
    <mergeCell ref="E33:E34"/>
    <mergeCell ref="B35:B38"/>
    <mergeCell ref="C35:C38"/>
    <mergeCell ref="D35:D38"/>
    <mergeCell ref="E35:E38"/>
    <mergeCell ref="D22:D23"/>
    <mergeCell ref="E22:E23"/>
    <mergeCell ref="D24:D26"/>
    <mergeCell ref="E24:E26"/>
    <mergeCell ref="D27:D28"/>
    <mergeCell ref="E27:E28"/>
    <mergeCell ref="D29:D30"/>
    <mergeCell ref="E29:E30"/>
    <mergeCell ref="A4:A26"/>
    <mergeCell ref="B19:B21"/>
    <mergeCell ref="C19:C21"/>
    <mergeCell ref="D19:D21"/>
    <mergeCell ref="E19:E21"/>
    <mergeCell ref="B22:B23"/>
    <mergeCell ref="C22:C23"/>
    <mergeCell ref="B24:B26"/>
    <mergeCell ref="C24:C26"/>
    <mergeCell ref="A27:A40"/>
    <mergeCell ref="B27:B28"/>
    <mergeCell ref="C27:C28"/>
    <mergeCell ref="D72:D74"/>
    <mergeCell ref="E72:E74"/>
    <mergeCell ref="D83:D84"/>
    <mergeCell ref="D85:D86"/>
    <mergeCell ref="D87:D88"/>
    <mergeCell ref="E85:E86"/>
    <mergeCell ref="E87:E88"/>
    <mergeCell ref="D75:D77"/>
    <mergeCell ref="E75:E77"/>
    <mergeCell ref="D78:D80"/>
    <mergeCell ref="E78:E80"/>
    <mergeCell ref="D81:D82"/>
    <mergeCell ref="E81:E82"/>
    <mergeCell ref="E83:E84"/>
    <mergeCell ref="D57:D58"/>
    <mergeCell ref="E57:E58"/>
    <mergeCell ref="D59:D61"/>
    <mergeCell ref="E59:E61"/>
    <mergeCell ref="E62:E63"/>
    <mergeCell ref="D62:D63"/>
    <mergeCell ref="D64:D66"/>
    <mergeCell ref="E64:E66"/>
    <mergeCell ref="D67:D71"/>
    <mergeCell ref="E67:E71"/>
    <mergeCell ref="D45:D48"/>
    <mergeCell ref="D49:D50"/>
    <mergeCell ref="E49:E50"/>
    <mergeCell ref="D51:D52"/>
    <mergeCell ref="E51:E52"/>
    <mergeCell ref="D53:D54"/>
    <mergeCell ref="E53:E54"/>
    <mergeCell ref="D55:D56"/>
    <mergeCell ref="E55:E56"/>
    <mergeCell ref="L29:L30"/>
    <mergeCell ref="R29:R30"/>
    <mergeCell ref="S29:S30"/>
    <mergeCell ref="T29:T30"/>
    <mergeCell ref="U29:U30"/>
    <mergeCell ref="V29:V30"/>
    <mergeCell ref="L31:L32"/>
    <mergeCell ref="O29:O30"/>
    <mergeCell ref="O31:O32"/>
    <mergeCell ref="V31:V32"/>
    <mergeCell ref="W31:W32"/>
    <mergeCell ref="X31:X32"/>
    <mergeCell ref="Y31:Y32"/>
    <mergeCell ref="Z31:Z32"/>
    <mergeCell ref="AA31:AA32"/>
    <mergeCell ref="AB31:AB32"/>
    <mergeCell ref="T35:T38"/>
    <mergeCell ref="U35:U38"/>
    <mergeCell ref="L33:L34"/>
    <mergeCell ref="R33:R34"/>
    <mergeCell ref="S33:S34"/>
    <mergeCell ref="T33:T34"/>
    <mergeCell ref="U33:U34"/>
    <mergeCell ref="V33:V34"/>
    <mergeCell ref="L35:L38"/>
    <mergeCell ref="O33:O34"/>
    <mergeCell ref="O35:O38"/>
    <mergeCell ref="R35:R38"/>
    <mergeCell ref="S35:S38"/>
    <mergeCell ref="T31:T32"/>
    <mergeCell ref="U31:U32"/>
    <mergeCell ref="AB35:AB38"/>
    <mergeCell ref="Y24:Y26"/>
    <mergeCell ref="AA27:AA28"/>
    <mergeCell ref="AB27:AB28"/>
    <mergeCell ref="AC27:AC28"/>
    <mergeCell ref="AD27:AD28"/>
    <mergeCell ref="AE27:AE28"/>
    <mergeCell ref="AF27:AF28"/>
    <mergeCell ref="Z24:Z26"/>
    <mergeCell ref="AA24:AA26"/>
    <mergeCell ref="AB24:AB26"/>
    <mergeCell ref="AC24:AC26"/>
    <mergeCell ref="AD24:AD26"/>
    <mergeCell ref="AE24:AE26"/>
    <mergeCell ref="AF24:AF26"/>
    <mergeCell ref="L24:L26"/>
    <mergeCell ref="T24:T26"/>
    <mergeCell ref="R24:R26"/>
    <mergeCell ref="S24:S26"/>
    <mergeCell ref="U24:U26"/>
    <mergeCell ref="V24:V26"/>
    <mergeCell ref="W24:W26"/>
    <mergeCell ref="X24:X26"/>
    <mergeCell ref="V19:V21"/>
    <mergeCell ref="W19:W21"/>
    <mergeCell ref="X19:X21"/>
    <mergeCell ref="O22:O23"/>
    <mergeCell ref="O24:O26"/>
    <mergeCell ref="L27:L28"/>
    <mergeCell ref="O27:O28"/>
    <mergeCell ref="E8:E10"/>
    <mergeCell ref="L8:L10"/>
    <mergeCell ref="L19:L21"/>
    <mergeCell ref="O19:O21"/>
    <mergeCell ref="S19:S21"/>
    <mergeCell ref="AF15:AF18"/>
    <mergeCell ref="AB22:AB23"/>
    <mergeCell ref="AC22:AC23"/>
    <mergeCell ref="AD22:AD23"/>
    <mergeCell ref="AE22:AE23"/>
    <mergeCell ref="AF22:AF23"/>
    <mergeCell ref="U22:U23"/>
    <mergeCell ref="V22:V23"/>
    <mergeCell ref="W22:W23"/>
    <mergeCell ref="X22:X23"/>
    <mergeCell ref="Y22:Y23"/>
    <mergeCell ref="Z22:Z23"/>
    <mergeCell ref="AA22:AA23"/>
    <mergeCell ref="AB15:AB18"/>
    <mergeCell ref="AC15:AC18"/>
    <mergeCell ref="AD15:AD18"/>
    <mergeCell ref="AE15:AE18"/>
    <mergeCell ref="AB19:AB21"/>
    <mergeCell ref="AC19:AC21"/>
    <mergeCell ref="AD19:AD21"/>
    <mergeCell ref="AE19:AE21"/>
    <mergeCell ref="AF19:AF21"/>
    <mergeCell ref="Y19:Y21"/>
    <mergeCell ref="Z19:Z21"/>
    <mergeCell ref="L4:L7"/>
    <mergeCell ref="O4:O7"/>
    <mergeCell ref="AB4:AB7"/>
    <mergeCell ref="AC4:AC7"/>
    <mergeCell ref="AD4:AD7"/>
    <mergeCell ref="AE4:AE7"/>
    <mergeCell ref="T19:T21"/>
    <mergeCell ref="Z4:Z7"/>
    <mergeCell ref="AA4:AA7"/>
    <mergeCell ref="U8:U10"/>
    <mergeCell ref="V8:V10"/>
    <mergeCell ref="W8:W10"/>
    <mergeCell ref="X8:X10"/>
    <mergeCell ref="Y8:Y10"/>
    <mergeCell ref="Z8:Z10"/>
    <mergeCell ref="AA8:AA10"/>
    <mergeCell ref="AB8:AB10"/>
    <mergeCell ref="B1:B2"/>
    <mergeCell ref="B8:B10"/>
    <mergeCell ref="C8:C10"/>
    <mergeCell ref="D8:D10"/>
    <mergeCell ref="O8:O10"/>
    <mergeCell ref="R8:R10"/>
    <mergeCell ref="S8:S10"/>
    <mergeCell ref="T8:T10"/>
    <mergeCell ref="C1:AF1"/>
    <mergeCell ref="C2:L2"/>
    <mergeCell ref="M2:S2"/>
    <mergeCell ref="T2:AA2"/>
    <mergeCell ref="AB2:AF2"/>
    <mergeCell ref="AF4:AF7"/>
    <mergeCell ref="V4:V7"/>
    <mergeCell ref="W4:W7"/>
    <mergeCell ref="X4:X7"/>
    <mergeCell ref="Y4:Y7"/>
  </mergeCells>
  <dataValidations count="2">
    <dataValidation type="list" allowBlank="1" showErrorMessage="1" sqref="R4 R8 R11 R15 R19 R22 R24 R27 R29 R31 R33 R35 R39 R41 R45 R49 R51 R53 R55 R57 R59 R62 R64 R67 R72 R75 R78 R81 R83 R85 R87" xr:uid="{00000000-0002-0000-0100-000000000000}">
      <formula1>$B$200:$B$201</formula1>
    </dataValidation>
    <dataValidation type="list" allowBlank="1" showErrorMessage="1" sqref="R184" xr:uid="{00000000-0002-0000-0100-000001000000}">
      <formula1>#REF!</formula1>
    </dataValidation>
  </dataValidations>
  <pageMargins left="0.7" right="0.7" top="0.75" bottom="0.75" header="0" footer="0"/>
  <pageSetup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00"/>
  <sheetViews>
    <sheetView workbookViewId="0"/>
  </sheetViews>
  <sheetFormatPr baseColWidth="10" defaultColWidth="14.42578125" defaultRowHeight="15" customHeight="1" x14ac:dyDescent="0.25"/>
  <cols>
    <col min="1" max="1" width="36.140625" customWidth="1"/>
    <col min="2" max="2" width="31.85546875" customWidth="1"/>
    <col min="3" max="3" width="61" customWidth="1"/>
    <col min="4" max="4" width="57.140625" customWidth="1"/>
    <col min="5" max="5" width="27" customWidth="1"/>
    <col min="6" max="6" width="141.5703125" customWidth="1"/>
    <col min="7" max="7" width="64.28515625" customWidth="1"/>
    <col min="8" max="8" width="16.85546875" customWidth="1"/>
    <col min="9" max="9" width="27" customWidth="1"/>
    <col min="10" max="10" width="26" customWidth="1"/>
    <col min="11" max="11" width="20.42578125" customWidth="1"/>
    <col min="12" max="12" width="45.5703125" customWidth="1"/>
    <col min="13" max="13" width="31.7109375" customWidth="1"/>
    <col min="14" max="15" width="32.7109375" customWidth="1"/>
    <col min="16" max="16" width="83.5703125" customWidth="1"/>
    <col min="17" max="17" width="97.28515625" customWidth="1"/>
    <col min="18" max="18" width="45.5703125" customWidth="1"/>
    <col min="19" max="19" width="59.85546875" customWidth="1"/>
    <col min="20" max="20" width="81.7109375" customWidth="1"/>
    <col min="21" max="21" width="28.28515625" customWidth="1"/>
    <col min="22" max="22" width="45.140625" customWidth="1"/>
    <col min="23" max="23" width="26.42578125" customWidth="1"/>
    <col min="24" max="24" width="22.85546875" customWidth="1"/>
    <col min="25" max="25" width="23.140625" customWidth="1"/>
    <col min="26" max="26" width="23.7109375" customWidth="1"/>
    <col min="27" max="27" width="21" customWidth="1"/>
    <col min="28" max="28" width="38.28515625" customWidth="1"/>
    <col min="29" max="29" width="48.85546875" customWidth="1"/>
    <col min="30" max="30" width="32.5703125" customWidth="1"/>
    <col min="31" max="31" width="41.28515625" customWidth="1"/>
    <col min="32" max="32" width="36.5703125" customWidth="1"/>
  </cols>
  <sheetData>
    <row r="1" spans="1:32" ht="58.5" customHeight="1" x14ac:dyDescent="0.25">
      <c r="A1" s="1"/>
      <c r="B1" s="135"/>
      <c r="C1" s="137" t="s">
        <v>0</v>
      </c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5"/>
    </row>
    <row r="2" spans="1:32" ht="74.25" customHeight="1" x14ac:dyDescent="0.25">
      <c r="A2" s="2"/>
      <c r="B2" s="136"/>
      <c r="C2" s="138" t="s">
        <v>285</v>
      </c>
      <c r="D2" s="97"/>
      <c r="E2" s="97"/>
      <c r="F2" s="97"/>
      <c r="G2" s="97"/>
      <c r="H2" s="97"/>
      <c r="I2" s="97"/>
      <c r="J2" s="97"/>
      <c r="K2" s="97"/>
      <c r="L2" s="98"/>
      <c r="M2" s="124" t="s">
        <v>286</v>
      </c>
      <c r="N2" s="97"/>
      <c r="O2" s="97"/>
      <c r="P2" s="97"/>
      <c r="Q2" s="97"/>
      <c r="R2" s="97"/>
      <c r="S2" s="98"/>
      <c r="T2" s="100" t="s">
        <v>287</v>
      </c>
      <c r="U2" s="97"/>
      <c r="V2" s="97"/>
      <c r="W2" s="97"/>
      <c r="X2" s="97"/>
      <c r="Y2" s="97"/>
      <c r="Z2" s="97"/>
      <c r="AA2" s="98"/>
      <c r="AB2" s="101" t="s">
        <v>4</v>
      </c>
      <c r="AC2" s="97"/>
      <c r="AD2" s="97"/>
      <c r="AE2" s="97"/>
      <c r="AF2" s="98"/>
    </row>
    <row r="3" spans="1:32" ht="123" customHeight="1" x14ac:dyDescent="0.25">
      <c r="A3" s="3" t="s">
        <v>5</v>
      </c>
      <c r="B3" s="3" t="s">
        <v>6</v>
      </c>
      <c r="C3" s="3" t="s">
        <v>7</v>
      </c>
      <c r="D3" s="3" t="s">
        <v>8</v>
      </c>
      <c r="E3" s="4" t="s">
        <v>9</v>
      </c>
      <c r="F3" s="3" t="s">
        <v>10</v>
      </c>
      <c r="G3" s="3" t="s">
        <v>11</v>
      </c>
      <c r="H3" s="3" t="s">
        <v>12</v>
      </c>
      <c r="I3" s="5" t="s">
        <v>13</v>
      </c>
      <c r="J3" s="3" t="s">
        <v>14</v>
      </c>
      <c r="K3" s="3" t="s">
        <v>15</v>
      </c>
      <c r="L3" s="3" t="s">
        <v>16</v>
      </c>
      <c r="M3" s="6" t="s">
        <v>17</v>
      </c>
      <c r="N3" s="7" t="s">
        <v>18</v>
      </c>
      <c r="O3" s="7" t="s">
        <v>19</v>
      </c>
      <c r="P3" s="3" t="s">
        <v>20</v>
      </c>
      <c r="Q3" s="3" t="s">
        <v>21</v>
      </c>
      <c r="R3" s="8" t="s">
        <v>22</v>
      </c>
      <c r="S3" s="8" t="s">
        <v>23</v>
      </c>
      <c r="T3" s="3" t="s">
        <v>7</v>
      </c>
      <c r="U3" s="3" t="s">
        <v>24</v>
      </c>
      <c r="V3" s="3" t="s">
        <v>25</v>
      </c>
      <c r="W3" s="3" t="s">
        <v>14</v>
      </c>
      <c r="X3" s="3" t="s">
        <v>15</v>
      </c>
      <c r="Y3" s="3" t="s">
        <v>26</v>
      </c>
      <c r="Z3" s="3" t="s">
        <v>27</v>
      </c>
      <c r="AA3" s="3" t="s">
        <v>13</v>
      </c>
      <c r="AB3" s="9" t="s">
        <v>28</v>
      </c>
      <c r="AC3" s="3" t="s">
        <v>29</v>
      </c>
      <c r="AD3" s="4" t="s">
        <v>30</v>
      </c>
      <c r="AE3" s="3" t="s">
        <v>31</v>
      </c>
      <c r="AF3" s="3" t="s">
        <v>32</v>
      </c>
    </row>
    <row r="4" spans="1:32" ht="66.75" customHeight="1" x14ac:dyDescent="0.25">
      <c r="A4" s="81" t="s">
        <v>288</v>
      </c>
      <c r="B4" s="113" t="s">
        <v>289</v>
      </c>
      <c r="C4" s="81" t="s">
        <v>290</v>
      </c>
      <c r="D4" s="81" t="s">
        <v>291</v>
      </c>
      <c r="E4" s="102">
        <v>401000001</v>
      </c>
      <c r="F4" s="48" t="s">
        <v>292</v>
      </c>
      <c r="G4" s="12" t="s">
        <v>293</v>
      </c>
      <c r="H4" s="12">
        <v>0</v>
      </c>
      <c r="I4" s="12">
        <v>2</v>
      </c>
      <c r="J4" s="12" t="s">
        <v>39</v>
      </c>
      <c r="K4" s="12" t="s">
        <v>48</v>
      </c>
      <c r="L4" s="81" t="s">
        <v>294</v>
      </c>
      <c r="M4" s="14">
        <v>0</v>
      </c>
      <c r="N4" s="49">
        <f t="shared" ref="N4:N88" si="0">IF((M4/I4)&gt;1,1,M4/I4)</f>
        <v>0</v>
      </c>
      <c r="O4" s="83">
        <f>AVERAGE(N4:N7)</f>
        <v>0</v>
      </c>
      <c r="P4" s="16"/>
      <c r="Q4" s="17">
        <v>0</v>
      </c>
      <c r="R4" s="83"/>
      <c r="S4" s="81"/>
      <c r="T4" s="81" t="s">
        <v>295</v>
      </c>
      <c r="U4" s="81">
        <v>220102805</v>
      </c>
      <c r="V4" s="81" t="s">
        <v>296</v>
      </c>
      <c r="W4" s="139" t="s">
        <v>62</v>
      </c>
      <c r="X4" s="142" t="s">
        <v>40</v>
      </c>
      <c r="Y4" s="142">
        <v>884</v>
      </c>
      <c r="Z4" s="142">
        <v>884</v>
      </c>
      <c r="AA4" s="142">
        <v>884</v>
      </c>
      <c r="AB4" s="116">
        <v>0</v>
      </c>
      <c r="AC4" s="117">
        <f>IF((AB4/Z4)&gt;1,1,AB48/Z4)</f>
        <v>0</v>
      </c>
      <c r="AD4" s="118">
        <f>+E4</f>
        <v>401000001</v>
      </c>
      <c r="AE4" s="118">
        <f>SUM(Q4:Q7)</f>
        <v>0</v>
      </c>
      <c r="AF4" s="117">
        <f>IF((AE4/AD4)&gt;1,1,AE4/AD4)</f>
        <v>0</v>
      </c>
    </row>
    <row r="5" spans="1:32" ht="47.25" customHeight="1" x14ac:dyDescent="0.25">
      <c r="A5" s="104"/>
      <c r="B5" s="104"/>
      <c r="C5" s="104"/>
      <c r="D5" s="104"/>
      <c r="E5" s="104"/>
      <c r="F5" s="48" t="s">
        <v>297</v>
      </c>
      <c r="G5" s="12" t="s">
        <v>296</v>
      </c>
      <c r="H5" s="12">
        <v>884</v>
      </c>
      <c r="I5" s="50">
        <v>884</v>
      </c>
      <c r="J5" s="51" t="s">
        <v>62</v>
      </c>
      <c r="K5" s="50" t="s">
        <v>298</v>
      </c>
      <c r="L5" s="104"/>
      <c r="M5" s="14">
        <v>0</v>
      </c>
      <c r="N5" s="49">
        <f t="shared" si="0"/>
        <v>0</v>
      </c>
      <c r="O5" s="104"/>
      <c r="P5" s="16"/>
      <c r="Q5" s="17">
        <v>0</v>
      </c>
      <c r="R5" s="104"/>
      <c r="S5" s="104"/>
      <c r="T5" s="104"/>
      <c r="U5" s="104"/>
      <c r="V5" s="104"/>
      <c r="W5" s="140"/>
      <c r="X5" s="140"/>
      <c r="Y5" s="140"/>
      <c r="Z5" s="140"/>
      <c r="AA5" s="140"/>
      <c r="AB5" s="104"/>
      <c r="AC5" s="104"/>
      <c r="AD5" s="104"/>
      <c r="AE5" s="104"/>
      <c r="AF5" s="104"/>
    </row>
    <row r="6" spans="1:32" ht="58.5" customHeight="1" x14ac:dyDescent="0.25">
      <c r="A6" s="104"/>
      <c r="B6" s="104"/>
      <c r="C6" s="104"/>
      <c r="D6" s="104"/>
      <c r="E6" s="104"/>
      <c r="F6" s="48" t="s">
        <v>299</v>
      </c>
      <c r="G6" s="12" t="s">
        <v>300</v>
      </c>
      <c r="H6" s="12">
        <v>0</v>
      </c>
      <c r="I6" s="12">
        <v>2</v>
      </c>
      <c r="J6" s="50" t="s">
        <v>39</v>
      </c>
      <c r="K6" s="50" t="s">
        <v>298</v>
      </c>
      <c r="L6" s="104"/>
      <c r="M6" s="14">
        <v>0</v>
      </c>
      <c r="N6" s="49">
        <f t="shared" si="0"/>
        <v>0</v>
      </c>
      <c r="O6" s="104"/>
      <c r="P6" s="16"/>
      <c r="Q6" s="17">
        <f t="shared" ref="Q6:Q88" si="1">0+0</f>
        <v>0</v>
      </c>
      <c r="R6" s="104"/>
      <c r="S6" s="104"/>
      <c r="T6" s="104"/>
      <c r="U6" s="104"/>
      <c r="V6" s="104"/>
      <c r="W6" s="140"/>
      <c r="X6" s="140"/>
      <c r="Y6" s="140"/>
      <c r="Z6" s="140"/>
      <c r="AA6" s="140"/>
      <c r="AB6" s="104"/>
      <c r="AC6" s="104"/>
      <c r="AD6" s="104"/>
      <c r="AE6" s="104"/>
      <c r="AF6" s="104"/>
    </row>
    <row r="7" spans="1:32" ht="42" customHeight="1" x14ac:dyDescent="0.25">
      <c r="A7" s="104"/>
      <c r="B7" s="82"/>
      <c r="C7" s="82"/>
      <c r="D7" s="82"/>
      <c r="E7" s="82"/>
      <c r="F7" s="48" t="s">
        <v>301</v>
      </c>
      <c r="G7" s="12" t="s">
        <v>302</v>
      </c>
      <c r="H7" s="12">
        <v>0</v>
      </c>
      <c r="I7" s="50">
        <v>2</v>
      </c>
      <c r="J7" s="50" t="s">
        <v>39</v>
      </c>
      <c r="K7" s="50" t="s">
        <v>298</v>
      </c>
      <c r="L7" s="82"/>
      <c r="M7" s="14">
        <v>0</v>
      </c>
      <c r="N7" s="49">
        <f t="shared" si="0"/>
        <v>0</v>
      </c>
      <c r="O7" s="82"/>
      <c r="P7" s="16"/>
      <c r="Q7" s="17">
        <f t="shared" si="1"/>
        <v>0</v>
      </c>
      <c r="R7" s="82"/>
      <c r="S7" s="82"/>
      <c r="T7" s="82"/>
      <c r="U7" s="82"/>
      <c r="V7" s="82"/>
      <c r="W7" s="141"/>
      <c r="X7" s="141"/>
      <c r="Y7" s="141"/>
      <c r="Z7" s="141"/>
      <c r="AA7" s="141"/>
      <c r="AB7" s="82"/>
      <c r="AC7" s="82"/>
      <c r="AD7" s="82"/>
      <c r="AE7" s="82"/>
      <c r="AF7" s="82"/>
    </row>
    <row r="8" spans="1:32" ht="47.25" customHeight="1" x14ac:dyDescent="0.25">
      <c r="A8" s="104"/>
      <c r="B8" s="113" t="s">
        <v>303</v>
      </c>
      <c r="C8" s="81" t="s">
        <v>304</v>
      </c>
      <c r="D8" s="81" t="s">
        <v>305</v>
      </c>
      <c r="E8" s="102">
        <v>160000000</v>
      </c>
      <c r="F8" s="48" t="s">
        <v>306</v>
      </c>
      <c r="G8" s="12" t="s">
        <v>307</v>
      </c>
      <c r="H8" s="12">
        <v>0</v>
      </c>
      <c r="I8" s="50">
        <v>1</v>
      </c>
      <c r="J8" s="50" t="s">
        <v>39</v>
      </c>
      <c r="K8" s="50" t="s">
        <v>298</v>
      </c>
      <c r="L8" s="81" t="s">
        <v>294</v>
      </c>
      <c r="M8" s="14">
        <v>0</v>
      </c>
      <c r="N8" s="49">
        <f t="shared" si="0"/>
        <v>0</v>
      </c>
      <c r="O8" s="83">
        <f>AVERAGE(N8:N10)</f>
        <v>0</v>
      </c>
      <c r="P8" s="16"/>
      <c r="Q8" s="17">
        <f t="shared" si="1"/>
        <v>0</v>
      </c>
      <c r="R8" s="102"/>
      <c r="S8" s="81"/>
      <c r="T8" s="81" t="s">
        <v>308</v>
      </c>
      <c r="U8" s="81">
        <v>220102901</v>
      </c>
      <c r="V8" s="81" t="s">
        <v>309</v>
      </c>
      <c r="W8" s="81" t="s">
        <v>39</v>
      </c>
      <c r="X8" s="81" t="s">
        <v>40</v>
      </c>
      <c r="Y8" s="81">
        <v>168</v>
      </c>
      <c r="Z8" s="81">
        <v>180</v>
      </c>
      <c r="AA8" s="81">
        <v>177</v>
      </c>
      <c r="AB8" s="122">
        <v>0</v>
      </c>
      <c r="AC8" s="83">
        <f>IF((AB8/Z8)&gt;1,1,AB8/Z8)</f>
        <v>0</v>
      </c>
      <c r="AD8" s="102">
        <f>+E8</f>
        <v>160000000</v>
      </c>
      <c r="AE8" s="102">
        <f>SUM(Q8:Q10)</f>
        <v>0</v>
      </c>
      <c r="AF8" s="83">
        <f>IF((AE8/AD8)&gt;1,1,AE8/AD8)</f>
        <v>0</v>
      </c>
    </row>
    <row r="9" spans="1:32" ht="47.25" customHeight="1" x14ac:dyDescent="0.25">
      <c r="A9" s="104"/>
      <c r="B9" s="104"/>
      <c r="C9" s="104"/>
      <c r="D9" s="104"/>
      <c r="E9" s="104"/>
      <c r="F9" s="48" t="s">
        <v>310</v>
      </c>
      <c r="G9" s="12" t="s">
        <v>309</v>
      </c>
      <c r="H9" s="12">
        <v>168</v>
      </c>
      <c r="I9" s="50">
        <v>177</v>
      </c>
      <c r="J9" s="50" t="s">
        <v>39</v>
      </c>
      <c r="K9" s="50" t="s">
        <v>298</v>
      </c>
      <c r="L9" s="104"/>
      <c r="M9" s="14">
        <v>0</v>
      </c>
      <c r="N9" s="49">
        <f t="shared" si="0"/>
        <v>0</v>
      </c>
      <c r="O9" s="104"/>
      <c r="P9" s="16"/>
      <c r="Q9" s="17">
        <f t="shared" si="1"/>
        <v>0</v>
      </c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</row>
    <row r="10" spans="1:32" ht="37.5" customHeight="1" x14ac:dyDescent="0.25">
      <c r="A10" s="104"/>
      <c r="B10" s="82"/>
      <c r="C10" s="82"/>
      <c r="D10" s="82"/>
      <c r="E10" s="82"/>
      <c r="F10" s="48" t="s">
        <v>311</v>
      </c>
      <c r="G10" s="12" t="s">
        <v>312</v>
      </c>
      <c r="H10" s="12">
        <v>0</v>
      </c>
      <c r="I10" s="50">
        <v>1</v>
      </c>
      <c r="J10" s="50" t="s">
        <v>39</v>
      </c>
      <c r="K10" s="50" t="s">
        <v>298</v>
      </c>
      <c r="L10" s="82"/>
      <c r="M10" s="14">
        <v>0</v>
      </c>
      <c r="N10" s="49">
        <f t="shared" si="0"/>
        <v>0</v>
      </c>
      <c r="O10" s="90"/>
      <c r="P10" s="16"/>
      <c r="Q10" s="17">
        <f t="shared" si="1"/>
        <v>0</v>
      </c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90"/>
      <c r="AF10" s="90"/>
    </row>
    <row r="11" spans="1:32" ht="47.25" customHeight="1" x14ac:dyDescent="0.25">
      <c r="A11" s="104"/>
      <c r="B11" s="113" t="s">
        <v>313</v>
      </c>
      <c r="C11" s="81" t="s">
        <v>314</v>
      </c>
      <c r="D11" s="81" t="s">
        <v>315</v>
      </c>
      <c r="E11" s="102">
        <v>700000000</v>
      </c>
      <c r="F11" s="48" t="s">
        <v>316</v>
      </c>
      <c r="G11" s="12" t="s">
        <v>317</v>
      </c>
      <c r="H11" s="12">
        <v>0</v>
      </c>
      <c r="I11" s="50">
        <v>1</v>
      </c>
      <c r="J11" s="50" t="s">
        <v>39</v>
      </c>
      <c r="K11" s="50" t="s">
        <v>298</v>
      </c>
      <c r="L11" s="81" t="s">
        <v>294</v>
      </c>
      <c r="M11" s="14">
        <v>0</v>
      </c>
      <c r="N11" s="49">
        <f t="shared" si="0"/>
        <v>0</v>
      </c>
      <c r="O11" s="83">
        <f>AVERAGE(N11:N14)</f>
        <v>0</v>
      </c>
      <c r="P11" s="16"/>
      <c r="Q11" s="17">
        <f t="shared" si="1"/>
        <v>0</v>
      </c>
      <c r="R11" s="102"/>
      <c r="S11" s="81"/>
      <c r="T11" s="81" t="s">
        <v>318</v>
      </c>
      <c r="U11" s="81">
        <v>220100301</v>
      </c>
      <c r="V11" s="81" t="s">
        <v>317</v>
      </c>
      <c r="W11" s="103" t="s">
        <v>62</v>
      </c>
      <c r="X11" s="81" t="s">
        <v>40</v>
      </c>
      <c r="Y11" s="81">
        <v>1</v>
      </c>
      <c r="Z11" s="81">
        <v>1</v>
      </c>
      <c r="AA11" s="81">
        <v>1</v>
      </c>
      <c r="AB11" s="122">
        <v>0</v>
      </c>
      <c r="AC11" s="83">
        <f>IF((AB11/Z11)&gt;1,1,AB11/Z11)</f>
        <v>0</v>
      </c>
      <c r="AD11" s="102">
        <f>+E11</f>
        <v>700000000</v>
      </c>
      <c r="AE11" s="102">
        <f>SUM(Q11:Q14)</f>
        <v>0</v>
      </c>
      <c r="AF11" s="83">
        <f>IF((AE11/AD11)&gt;1,1,AE11/AD11)</f>
        <v>0</v>
      </c>
    </row>
    <row r="12" spans="1:32" ht="47.25" customHeight="1" x14ac:dyDescent="0.25">
      <c r="A12" s="104"/>
      <c r="B12" s="104"/>
      <c r="C12" s="104"/>
      <c r="D12" s="104"/>
      <c r="E12" s="104"/>
      <c r="F12" s="48" t="s">
        <v>319</v>
      </c>
      <c r="G12" s="12" t="s">
        <v>312</v>
      </c>
      <c r="H12" s="12">
        <v>0</v>
      </c>
      <c r="I12" s="50">
        <v>2</v>
      </c>
      <c r="J12" s="50" t="s">
        <v>39</v>
      </c>
      <c r="K12" s="50" t="s">
        <v>298</v>
      </c>
      <c r="L12" s="104"/>
      <c r="M12" s="14">
        <v>0</v>
      </c>
      <c r="N12" s="49">
        <f t="shared" si="0"/>
        <v>0</v>
      </c>
      <c r="O12" s="104"/>
      <c r="P12" s="16"/>
      <c r="Q12" s="17">
        <f t="shared" si="1"/>
        <v>0</v>
      </c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</row>
    <row r="13" spans="1:32" ht="47.25" customHeight="1" x14ac:dyDescent="0.25">
      <c r="A13" s="104"/>
      <c r="B13" s="104"/>
      <c r="C13" s="104"/>
      <c r="D13" s="104"/>
      <c r="E13" s="104"/>
      <c r="F13" s="48" t="s">
        <v>320</v>
      </c>
      <c r="G13" s="12" t="s">
        <v>302</v>
      </c>
      <c r="H13" s="12">
        <v>0</v>
      </c>
      <c r="I13" s="50">
        <v>2</v>
      </c>
      <c r="J13" s="50" t="s">
        <v>39</v>
      </c>
      <c r="K13" s="50" t="s">
        <v>298</v>
      </c>
      <c r="L13" s="104"/>
      <c r="M13" s="14">
        <v>0</v>
      </c>
      <c r="N13" s="49">
        <f t="shared" si="0"/>
        <v>0</v>
      </c>
      <c r="O13" s="104"/>
      <c r="P13" s="16"/>
      <c r="Q13" s="17">
        <f t="shared" si="1"/>
        <v>0</v>
      </c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</row>
    <row r="14" spans="1:32" ht="58.5" customHeight="1" x14ac:dyDescent="0.25">
      <c r="A14" s="104"/>
      <c r="B14" s="82"/>
      <c r="C14" s="82"/>
      <c r="D14" s="82"/>
      <c r="E14" s="82"/>
      <c r="F14" s="16" t="s">
        <v>321</v>
      </c>
      <c r="G14" s="52" t="s">
        <v>322</v>
      </c>
      <c r="H14" s="12">
        <v>0</v>
      </c>
      <c r="I14" s="50">
        <v>1</v>
      </c>
      <c r="J14" s="53" t="s">
        <v>39</v>
      </c>
      <c r="K14" s="50" t="s">
        <v>298</v>
      </c>
      <c r="L14" s="82"/>
      <c r="M14" s="14">
        <v>0</v>
      </c>
      <c r="N14" s="49">
        <f t="shared" si="0"/>
        <v>0</v>
      </c>
      <c r="O14" s="82"/>
      <c r="P14" s="16"/>
      <c r="Q14" s="17">
        <f t="shared" si="1"/>
        <v>0</v>
      </c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</row>
    <row r="15" spans="1:32" ht="47.25" customHeight="1" x14ac:dyDescent="0.25">
      <c r="A15" s="104"/>
      <c r="B15" s="113" t="s">
        <v>323</v>
      </c>
      <c r="C15" s="81" t="s">
        <v>324</v>
      </c>
      <c r="D15" s="81" t="s">
        <v>325</v>
      </c>
      <c r="E15" s="102">
        <v>70000000</v>
      </c>
      <c r="F15" s="16" t="s">
        <v>326</v>
      </c>
      <c r="G15" s="12" t="s">
        <v>327</v>
      </c>
      <c r="H15" s="12">
        <v>0</v>
      </c>
      <c r="I15" s="50">
        <v>6400</v>
      </c>
      <c r="J15" s="53" t="s">
        <v>39</v>
      </c>
      <c r="K15" s="50" t="s">
        <v>298</v>
      </c>
      <c r="L15" s="81" t="s">
        <v>294</v>
      </c>
      <c r="M15" s="14">
        <v>0</v>
      </c>
      <c r="N15" s="49">
        <f t="shared" si="0"/>
        <v>0</v>
      </c>
      <c r="O15" s="83">
        <f>AVERAGE(N15:N18)</f>
        <v>0</v>
      </c>
      <c r="P15" s="16"/>
      <c r="Q15" s="17">
        <f t="shared" si="1"/>
        <v>0</v>
      </c>
      <c r="R15" s="102"/>
      <c r="S15" s="81"/>
      <c r="T15" s="81" t="s">
        <v>328</v>
      </c>
      <c r="U15" s="81">
        <v>330108500</v>
      </c>
      <c r="V15" s="81" t="s">
        <v>327</v>
      </c>
      <c r="W15" s="81" t="s">
        <v>39</v>
      </c>
      <c r="X15" s="81" t="s">
        <v>40</v>
      </c>
      <c r="Y15" s="81">
        <v>0</v>
      </c>
      <c r="Z15" s="81">
        <v>25600</v>
      </c>
      <c r="AA15" s="81">
        <v>6400</v>
      </c>
      <c r="AB15" s="122">
        <v>0</v>
      </c>
      <c r="AC15" s="83">
        <f>IF((AB15/Z15)&gt;1,1,AB15/Z15)</f>
        <v>0</v>
      </c>
      <c r="AD15" s="102">
        <f>+E15</f>
        <v>70000000</v>
      </c>
      <c r="AE15" s="102">
        <f>SUM(Q15:Q18)</f>
        <v>0</v>
      </c>
      <c r="AF15" s="83">
        <f>IF((AE15/AD15)&gt;1,1,AE15/AD15)</f>
        <v>0</v>
      </c>
    </row>
    <row r="16" spans="1:32" ht="60.75" customHeight="1" x14ac:dyDescent="0.25">
      <c r="A16" s="104"/>
      <c r="B16" s="104"/>
      <c r="C16" s="104"/>
      <c r="D16" s="104"/>
      <c r="E16" s="104"/>
      <c r="F16" s="16" t="s">
        <v>329</v>
      </c>
      <c r="G16" s="50" t="s">
        <v>330</v>
      </c>
      <c r="H16" s="50">
        <v>0</v>
      </c>
      <c r="I16" s="50">
        <v>0.5</v>
      </c>
      <c r="J16" s="50" t="s">
        <v>39</v>
      </c>
      <c r="K16" s="50" t="s">
        <v>298</v>
      </c>
      <c r="L16" s="104"/>
      <c r="M16" s="14">
        <v>0</v>
      </c>
      <c r="N16" s="49">
        <f t="shared" si="0"/>
        <v>0</v>
      </c>
      <c r="O16" s="104"/>
      <c r="P16" s="16"/>
      <c r="Q16" s="17">
        <f t="shared" si="1"/>
        <v>0</v>
      </c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</row>
    <row r="17" spans="1:32" ht="47.25" customHeight="1" x14ac:dyDescent="0.25">
      <c r="A17" s="104"/>
      <c r="B17" s="104"/>
      <c r="C17" s="104"/>
      <c r="D17" s="104"/>
      <c r="E17" s="104"/>
      <c r="F17" s="16" t="s">
        <v>331</v>
      </c>
      <c r="G17" s="50" t="s">
        <v>157</v>
      </c>
      <c r="H17" s="50">
        <v>0</v>
      </c>
      <c r="I17" s="50">
        <v>1</v>
      </c>
      <c r="J17" s="50" t="s">
        <v>39</v>
      </c>
      <c r="K17" s="50" t="s">
        <v>298</v>
      </c>
      <c r="L17" s="104"/>
      <c r="M17" s="14">
        <v>0</v>
      </c>
      <c r="N17" s="49">
        <f t="shared" si="0"/>
        <v>0</v>
      </c>
      <c r="O17" s="104"/>
      <c r="P17" s="16"/>
      <c r="Q17" s="17">
        <f t="shared" si="1"/>
        <v>0</v>
      </c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</row>
    <row r="18" spans="1:32" ht="47.25" customHeight="1" x14ac:dyDescent="0.25">
      <c r="A18" s="104"/>
      <c r="B18" s="82"/>
      <c r="C18" s="82"/>
      <c r="D18" s="82"/>
      <c r="E18" s="82"/>
      <c r="F18" s="16" t="s">
        <v>332</v>
      </c>
      <c r="G18" s="50" t="s">
        <v>327</v>
      </c>
      <c r="H18" s="50">
        <v>0</v>
      </c>
      <c r="I18" s="50">
        <v>500</v>
      </c>
      <c r="J18" s="50" t="s">
        <v>39</v>
      </c>
      <c r="K18" s="50" t="s">
        <v>298</v>
      </c>
      <c r="L18" s="82"/>
      <c r="M18" s="14">
        <v>0</v>
      </c>
      <c r="N18" s="49">
        <f t="shared" si="0"/>
        <v>0</v>
      </c>
      <c r="O18" s="82"/>
      <c r="P18" s="16"/>
      <c r="Q18" s="17">
        <f t="shared" si="1"/>
        <v>0</v>
      </c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</row>
    <row r="19" spans="1:32" ht="47.25" customHeight="1" x14ac:dyDescent="0.25">
      <c r="A19" s="104"/>
      <c r="B19" s="113" t="s">
        <v>333</v>
      </c>
      <c r="C19" s="81" t="s">
        <v>334</v>
      </c>
      <c r="D19" s="81" t="s">
        <v>335</v>
      </c>
      <c r="E19" s="102">
        <v>200000000</v>
      </c>
      <c r="F19" s="16" t="s">
        <v>336</v>
      </c>
      <c r="G19" s="12" t="s">
        <v>337</v>
      </c>
      <c r="H19" s="12">
        <v>0</v>
      </c>
      <c r="I19" s="50">
        <v>200</v>
      </c>
      <c r="J19" s="50" t="s">
        <v>39</v>
      </c>
      <c r="K19" s="50" t="s">
        <v>298</v>
      </c>
      <c r="L19" s="81" t="s">
        <v>294</v>
      </c>
      <c r="M19" s="14">
        <v>0</v>
      </c>
      <c r="N19" s="49">
        <f t="shared" si="0"/>
        <v>0</v>
      </c>
      <c r="O19" s="83">
        <f>AVERAGE(N19:N21)</f>
        <v>0</v>
      </c>
      <c r="P19" s="16"/>
      <c r="Q19" s="17">
        <f t="shared" si="1"/>
        <v>0</v>
      </c>
      <c r="R19" s="102"/>
      <c r="S19" s="81"/>
      <c r="T19" s="81" t="s">
        <v>338</v>
      </c>
      <c r="U19" s="81">
        <v>220206200</v>
      </c>
      <c r="V19" s="81" t="s">
        <v>339</v>
      </c>
      <c r="W19" s="81" t="s">
        <v>39</v>
      </c>
      <c r="X19" s="81" t="s">
        <v>40</v>
      </c>
      <c r="Y19" s="81">
        <v>0</v>
      </c>
      <c r="Z19" s="81">
        <v>800</v>
      </c>
      <c r="AA19" s="81">
        <v>200</v>
      </c>
      <c r="AB19" s="122">
        <v>0</v>
      </c>
      <c r="AC19" s="83">
        <f>IF((AB19/Z19)&gt;1,1,AB19/Z19)</f>
        <v>0</v>
      </c>
      <c r="AD19" s="102">
        <f>+E19</f>
        <v>200000000</v>
      </c>
      <c r="AE19" s="102">
        <f>SUM(Q19:Q21)</f>
        <v>0</v>
      </c>
      <c r="AF19" s="83">
        <f>IF((AE19/AD19)&gt;1,1,AE19/AD19)</f>
        <v>0</v>
      </c>
    </row>
    <row r="20" spans="1:32" ht="47.25" customHeight="1" x14ac:dyDescent="0.25">
      <c r="A20" s="104"/>
      <c r="B20" s="104"/>
      <c r="C20" s="104"/>
      <c r="D20" s="104"/>
      <c r="E20" s="104"/>
      <c r="F20" s="16" t="s">
        <v>340</v>
      </c>
      <c r="G20" s="12" t="s">
        <v>302</v>
      </c>
      <c r="H20" s="12">
        <v>0</v>
      </c>
      <c r="I20" s="50">
        <v>5</v>
      </c>
      <c r="J20" s="53" t="s">
        <v>39</v>
      </c>
      <c r="K20" s="50" t="s">
        <v>298</v>
      </c>
      <c r="L20" s="104"/>
      <c r="M20" s="14">
        <v>0</v>
      </c>
      <c r="N20" s="49">
        <f t="shared" si="0"/>
        <v>0</v>
      </c>
      <c r="O20" s="104"/>
      <c r="P20" s="16"/>
      <c r="Q20" s="17">
        <f t="shared" si="1"/>
        <v>0</v>
      </c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</row>
    <row r="21" spans="1:32" ht="58.5" customHeight="1" x14ac:dyDescent="0.25">
      <c r="A21" s="104"/>
      <c r="B21" s="82"/>
      <c r="C21" s="82"/>
      <c r="D21" s="82"/>
      <c r="E21" s="82"/>
      <c r="F21" s="16" t="s">
        <v>341</v>
      </c>
      <c r="G21" s="12" t="s">
        <v>342</v>
      </c>
      <c r="H21" s="12">
        <v>0</v>
      </c>
      <c r="I21" s="50">
        <v>3</v>
      </c>
      <c r="J21" s="51" t="s">
        <v>62</v>
      </c>
      <c r="K21" s="50" t="s">
        <v>298</v>
      </c>
      <c r="L21" s="82"/>
      <c r="M21" s="14">
        <v>0</v>
      </c>
      <c r="N21" s="49">
        <f t="shared" si="0"/>
        <v>0</v>
      </c>
      <c r="O21" s="90"/>
      <c r="P21" s="16"/>
      <c r="Q21" s="17">
        <f t="shared" si="1"/>
        <v>0</v>
      </c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90"/>
      <c r="AD21" s="82"/>
      <c r="AE21" s="90"/>
      <c r="AF21" s="90"/>
    </row>
    <row r="22" spans="1:32" ht="47.25" customHeight="1" x14ac:dyDescent="0.25">
      <c r="A22" s="104"/>
      <c r="B22" s="113" t="s">
        <v>343</v>
      </c>
      <c r="C22" s="81" t="s">
        <v>344</v>
      </c>
      <c r="D22" s="81" t="s">
        <v>345</v>
      </c>
      <c r="E22" s="102">
        <v>238121935</v>
      </c>
      <c r="F22" s="16" t="s">
        <v>346</v>
      </c>
      <c r="G22" s="12" t="s">
        <v>347</v>
      </c>
      <c r="H22" s="12">
        <v>0</v>
      </c>
      <c r="I22" s="50">
        <v>3</v>
      </c>
      <c r="J22" s="50" t="s">
        <v>39</v>
      </c>
      <c r="K22" s="50" t="s">
        <v>298</v>
      </c>
      <c r="L22" s="12" t="s">
        <v>294</v>
      </c>
      <c r="M22" s="14">
        <v>0</v>
      </c>
      <c r="N22" s="49">
        <f t="shared" si="0"/>
        <v>0</v>
      </c>
      <c r="O22" s="83">
        <f>AVERAGE(N22:N23)</f>
        <v>0</v>
      </c>
      <c r="P22" s="16"/>
      <c r="Q22" s="17">
        <f t="shared" si="1"/>
        <v>0</v>
      </c>
      <c r="R22" s="102"/>
      <c r="S22" s="81"/>
      <c r="T22" s="81" t="s">
        <v>348</v>
      </c>
      <c r="U22" s="81">
        <v>220105200</v>
      </c>
      <c r="V22" s="81" t="s">
        <v>349</v>
      </c>
      <c r="W22" s="81" t="s">
        <v>39</v>
      </c>
      <c r="X22" s="81" t="s">
        <v>40</v>
      </c>
      <c r="Y22" s="81">
        <v>0</v>
      </c>
      <c r="Z22" s="81">
        <v>8</v>
      </c>
      <c r="AA22" s="81">
        <v>2</v>
      </c>
      <c r="AB22" s="122">
        <v>0</v>
      </c>
      <c r="AC22" s="83">
        <f>IF((AB22/Z22)&gt;1,1,AB22/Z22)</f>
        <v>0</v>
      </c>
      <c r="AD22" s="102">
        <f>+E22</f>
        <v>238121935</v>
      </c>
      <c r="AE22" s="102">
        <f>SUM(Q22:Q23)</f>
        <v>0</v>
      </c>
      <c r="AF22" s="83">
        <f>IF((AE22/AD22)&gt;1,1,AE22/AD22)</f>
        <v>0</v>
      </c>
    </row>
    <row r="23" spans="1:32" ht="58.5" customHeight="1" x14ac:dyDescent="0.25">
      <c r="A23" s="104"/>
      <c r="B23" s="82"/>
      <c r="C23" s="82"/>
      <c r="D23" s="82"/>
      <c r="E23" s="82"/>
      <c r="F23" s="16" t="s">
        <v>350</v>
      </c>
      <c r="G23" s="12" t="s">
        <v>351</v>
      </c>
      <c r="H23" s="12">
        <v>0</v>
      </c>
      <c r="I23" s="50">
        <v>4</v>
      </c>
      <c r="J23" s="50" t="s">
        <v>39</v>
      </c>
      <c r="K23" s="50" t="s">
        <v>298</v>
      </c>
      <c r="L23" s="12" t="s">
        <v>352</v>
      </c>
      <c r="M23" s="14">
        <v>0</v>
      </c>
      <c r="N23" s="49">
        <f t="shared" si="0"/>
        <v>0</v>
      </c>
      <c r="O23" s="82"/>
      <c r="P23" s="16"/>
      <c r="Q23" s="17">
        <f t="shared" si="1"/>
        <v>0</v>
      </c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90"/>
      <c r="AD23" s="82"/>
      <c r="AE23" s="90"/>
      <c r="AF23" s="90"/>
    </row>
    <row r="24" spans="1:32" ht="47.25" customHeight="1" x14ac:dyDescent="0.25">
      <c r="A24" s="104"/>
      <c r="B24" s="113" t="s">
        <v>353</v>
      </c>
      <c r="C24" s="81" t="s">
        <v>354</v>
      </c>
      <c r="D24" s="81" t="s">
        <v>355</v>
      </c>
      <c r="E24" s="102">
        <v>93600000</v>
      </c>
      <c r="F24" s="16" t="s">
        <v>356</v>
      </c>
      <c r="G24" s="12" t="s">
        <v>322</v>
      </c>
      <c r="H24" s="12">
        <v>0</v>
      </c>
      <c r="I24" s="50">
        <v>1</v>
      </c>
      <c r="J24" s="50" t="s">
        <v>39</v>
      </c>
      <c r="K24" s="50" t="s">
        <v>298</v>
      </c>
      <c r="L24" s="81" t="s">
        <v>294</v>
      </c>
      <c r="M24" s="14">
        <v>0</v>
      </c>
      <c r="N24" s="49">
        <f t="shared" si="0"/>
        <v>0</v>
      </c>
      <c r="O24" s="83">
        <f>AVERAGE(N24:N26)</f>
        <v>0</v>
      </c>
      <c r="P24" s="16"/>
      <c r="Q24" s="17">
        <f t="shared" si="1"/>
        <v>0</v>
      </c>
      <c r="R24" s="102"/>
      <c r="S24" s="81"/>
      <c r="T24" s="81" t="s">
        <v>357</v>
      </c>
      <c r="U24" s="81">
        <v>220102600</v>
      </c>
      <c r="V24" s="81" t="s">
        <v>358</v>
      </c>
      <c r="W24" s="81" t="s">
        <v>39</v>
      </c>
      <c r="X24" s="81" t="s">
        <v>40</v>
      </c>
      <c r="Y24" s="81">
        <v>0</v>
      </c>
      <c r="Z24" s="81">
        <v>2</v>
      </c>
      <c r="AA24" s="81">
        <v>0.5</v>
      </c>
      <c r="AB24" s="122">
        <v>0</v>
      </c>
      <c r="AC24" s="83">
        <f>IF((AB24/Z24)&gt;1,1,AB24/Z24)</f>
        <v>0</v>
      </c>
      <c r="AD24" s="102">
        <f>+E24</f>
        <v>93600000</v>
      </c>
      <c r="AE24" s="102">
        <f>SUM(Q24:Q26)</f>
        <v>0</v>
      </c>
      <c r="AF24" s="83">
        <f>IF((AE24/AD24)&gt;1,1,AE24/AD24)</f>
        <v>0</v>
      </c>
    </row>
    <row r="25" spans="1:32" ht="47.25" customHeight="1" x14ac:dyDescent="0.25">
      <c r="A25" s="104"/>
      <c r="B25" s="104"/>
      <c r="C25" s="104"/>
      <c r="D25" s="104"/>
      <c r="E25" s="104"/>
      <c r="F25" s="16" t="s">
        <v>359</v>
      </c>
      <c r="G25" s="12" t="s">
        <v>327</v>
      </c>
      <c r="H25" s="12">
        <v>0</v>
      </c>
      <c r="I25" s="50">
        <v>1600</v>
      </c>
      <c r="J25" s="50" t="s">
        <v>39</v>
      </c>
      <c r="K25" s="50" t="s">
        <v>298</v>
      </c>
      <c r="L25" s="104"/>
      <c r="M25" s="14">
        <v>0</v>
      </c>
      <c r="N25" s="49">
        <f t="shared" si="0"/>
        <v>0</v>
      </c>
      <c r="O25" s="104"/>
      <c r="P25" s="16"/>
      <c r="Q25" s="17">
        <f t="shared" si="1"/>
        <v>0</v>
      </c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</row>
    <row r="26" spans="1:32" ht="47.25" customHeight="1" x14ac:dyDescent="0.25">
      <c r="A26" s="82"/>
      <c r="B26" s="82"/>
      <c r="C26" s="82"/>
      <c r="D26" s="82"/>
      <c r="E26" s="82"/>
      <c r="F26" s="16" t="s">
        <v>360</v>
      </c>
      <c r="G26" s="12" t="s">
        <v>361</v>
      </c>
      <c r="H26" s="12">
        <v>0</v>
      </c>
      <c r="I26" s="50">
        <v>2</v>
      </c>
      <c r="J26" s="50" t="s">
        <v>39</v>
      </c>
      <c r="K26" s="50" t="s">
        <v>298</v>
      </c>
      <c r="L26" s="82"/>
      <c r="M26" s="14">
        <v>0</v>
      </c>
      <c r="N26" s="49">
        <f t="shared" si="0"/>
        <v>0</v>
      </c>
      <c r="O26" s="82"/>
      <c r="P26" s="16"/>
      <c r="Q26" s="17">
        <f t="shared" si="1"/>
        <v>0</v>
      </c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</row>
    <row r="27" spans="1:32" ht="47.25" customHeight="1" x14ac:dyDescent="0.25">
      <c r="A27" s="81" t="s">
        <v>362</v>
      </c>
      <c r="B27" s="113" t="s">
        <v>363</v>
      </c>
      <c r="C27" s="81" t="s">
        <v>364</v>
      </c>
      <c r="D27" s="81" t="s">
        <v>365</v>
      </c>
      <c r="E27" s="102">
        <v>10000000</v>
      </c>
      <c r="F27" s="11" t="s">
        <v>366</v>
      </c>
      <c r="G27" s="12" t="s">
        <v>367</v>
      </c>
      <c r="H27" s="12">
        <v>1</v>
      </c>
      <c r="I27" s="13">
        <v>0.25</v>
      </c>
      <c r="J27" s="12" t="s">
        <v>88</v>
      </c>
      <c r="K27" s="12" t="s">
        <v>40</v>
      </c>
      <c r="L27" s="81" t="s">
        <v>368</v>
      </c>
      <c r="M27" s="14">
        <v>0</v>
      </c>
      <c r="N27" s="49">
        <f t="shared" si="0"/>
        <v>0</v>
      </c>
      <c r="O27" s="83">
        <f>AVERAGE(N27:N28)</f>
        <v>0</v>
      </c>
      <c r="P27" s="16"/>
      <c r="Q27" s="17">
        <f t="shared" si="1"/>
        <v>0</v>
      </c>
      <c r="R27" s="102"/>
      <c r="S27" s="81"/>
      <c r="T27" s="81" t="s">
        <v>369</v>
      </c>
      <c r="U27" s="81">
        <v>330106301</v>
      </c>
      <c r="V27" s="81" t="s">
        <v>370</v>
      </c>
      <c r="W27" s="81" t="s">
        <v>39</v>
      </c>
      <c r="X27" s="81" t="s">
        <v>40</v>
      </c>
      <c r="Y27" s="81">
        <v>0</v>
      </c>
      <c r="Z27" s="81">
        <v>1</v>
      </c>
      <c r="AA27" s="81">
        <v>0.5</v>
      </c>
      <c r="AB27" s="122">
        <v>0</v>
      </c>
      <c r="AC27" s="83">
        <f>IF((AB27/Z27)&gt;1,1,AB27/Z27)</f>
        <v>0</v>
      </c>
      <c r="AD27" s="102">
        <f>+E27</f>
        <v>10000000</v>
      </c>
      <c r="AE27" s="102">
        <f>SUM(Q27:Q28)</f>
        <v>0</v>
      </c>
      <c r="AF27" s="83">
        <f>IF((AE27/AD27)&gt;1,1,AE27/AD27)</f>
        <v>0</v>
      </c>
    </row>
    <row r="28" spans="1:32" ht="47.25" customHeight="1" x14ac:dyDescent="0.25">
      <c r="A28" s="104"/>
      <c r="B28" s="82"/>
      <c r="C28" s="82"/>
      <c r="D28" s="82"/>
      <c r="E28" s="82"/>
      <c r="F28" s="11" t="s">
        <v>371</v>
      </c>
      <c r="G28" s="12" t="s">
        <v>372</v>
      </c>
      <c r="H28" s="12">
        <v>0</v>
      </c>
      <c r="I28" s="13">
        <v>1</v>
      </c>
      <c r="J28" s="12" t="s">
        <v>88</v>
      </c>
      <c r="K28" s="12" t="s">
        <v>40</v>
      </c>
      <c r="L28" s="82"/>
      <c r="M28" s="14">
        <v>0</v>
      </c>
      <c r="N28" s="49">
        <f t="shared" si="0"/>
        <v>0</v>
      </c>
      <c r="O28" s="90"/>
      <c r="P28" s="16"/>
      <c r="Q28" s="17">
        <f t="shared" si="1"/>
        <v>0</v>
      </c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90"/>
      <c r="AD28" s="82"/>
      <c r="AE28" s="90"/>
      <c r="AF28" s="90"/>
    </row>
    <row r="29" spans="1:32" ht="47.25" customHeight="1" x14ac:dyDescent="0.25">
      <c r="A29" s="104"/>
      <c r="B29" s="113" t="s">
        <v>373</v>
      </c>
      <c r="C29" s="81" t="s">
        <v>374</v>
      </c>
      <c r="D29" s="81" t="s">
        <v>375</v>
      </c>
      <c r="E29" s="102">
        <v>520000000</v>
      </c>
      <c r="F29" s="11" t="s">
        <v>376</v>
      </c>
      <c r="G29" s="12" t="s">
        <v>377</v>
      </c>
      <c r="H29" s="12">
        <v>0</v>
      </c>
      <c r="I29" s="13">
        <v>20</v>
      </c>
      <c r="J29" s="12" t="s">
        <v>88</v>
      </c>
      <c r="K29" s="12" t="s">
        <v>40</v>
      </c>
      <c r="L29" s="81" t="s">
        <v>368</v>
      </c>
      <c r="M29" s="14">
        <v>0</v>
      </c>
      <c r="N29" s="49">
        <f t="shared" si="0"/>
        <v>0</v>
      </c>
      <c r="O29" s="83">
        <f>AVERAGE(N29:N30)</f>
        <v>0</v>
      </c>
      <c r="P29" s="16"/>
      <c r="Q29" s="17">
        <f t="shared" si="1"/>
        <v>0</v>
      </c>
      <c r="R29" s="102"/>
      <c r="S29" s="81"/>
      <c r="T29" s="81" t="s">
        <v>378</v>
      </c>
      <c r="U29" s="81">
        <v>330105100</v>
      </c>
      <c r="V29" s="81" t="s">
        <v>379</v>
      </c>
      <c r="W29" s="81" t="s">
        <v>39</v>
      </c>
      <c r="X29" s="81" t="s">
        <v>40</v>
      </c>
      <c r="Y29" s="81">
        <v>0</v>
      </c>
      <c r="Z29" s="81">
        <v>8220</v>
      </c>
      <c r="AA29" s="81">
        <v>2055</v>
      </c>
      <c r="AB29" s="122">
        <v>0</v>
      </c>
      <c r="AC29" s="83">
        <f>IF((AB29/Z29)&gt;1,1,AB29/Z29)</f>
        <v>0</v>
      </c>
      <c r="AD29" s="102">
        <f>+E29</f>
        <v>520000000</v>
      </c>
      <c r="AE29" s="102">
        <f>SUM(Q29:Q30)</f>
        <v>0</v>
      </c>
      <c r="AF29" s="83">
        <f>IF((AE29/AD29)&gt;1,1,AE29/AD29)</f>
        <v>0</v>
      </c>
    </row>
    <row r="30" spans="1:32" ht="47.25" customHeight="1" x14ac:dyDescent="0.25">
      <c r="A30" s="104"/>
      <c r="B30" s="82"/>
      <c r="C30" s="82"/>
      <c r="D30" s="82"/>
      <c r="E30" s="82"/>
      <c r="F30" s="11" t="s">
        <v>380</v>
      </c>
      <c r="G30" s="12" t="s">
        <v>379</v>
      </c>
      <c r="H30" s="12">
        <v>0</v>
      </c>
      <c r="I30" s="13">
        <v>2055</v>
      </c>
      <c r="J30" s="12" t="s">
        <v>88</v>
      </c>
      <c r="K30" s="12" t="s">
        <v>40</v>
      </c>
      <c r="L30" s="82"/>
      <c r="M30" s="14">
        <v>0</v>
      </c>
      <c r="N30" s="49">
        <f t="shared" si="0"/>
        <v>0</v>
      </c>
      <c r="O30" s="90"/>
      <c r="P30" s="16"/>
      <c r="Q30" s="17">
        <f t="shared" si="1"/>
        <v>0</v>
      </c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90"/>
      <c r="AD30" s="82"/>
      <c r="AE30" s="90"/>
      <c r="AF30" s="90"/>
    </row>
    <row r="31" spans="1:32" ht="47.25" customHeight="1" x14ac:dyDescent="0.25">
      <c r="A31" s="104"/>
      <c r="B31" s="113" t="s">
        <v>381</v>
      </c>
      <c r="C31" s="81" t="s">
        <v>382</v>
      </c>
      <c r="D31" s="81" t="s">
        <v>383</v>
      </c>
      <c r="E31" s="102">
        <v>40000000</v>
      </c>
      <c r="F31" s="11" t="s">
        <v>384</v>
      </c>
      <c r="G31" s="12" t="s">
        <v>385</v>
      </c>
      <c r="H31" s="12">
        <v>0</v>
      </c>
      <c r="I31" s="13">
        <v>1</v>
      </c>
      <c r="J31" s="12" t="s">
        <v>88</v>
      </c>
      <c r="K31" s="12" t="s">
        <v>40</v>
      </c>
      <c r="L31" s="81" t="s">
        <v>368</v>
      </c>
      <c r="M31" s="14">
        <v>0</v>
      </c>
      <c r="N31" s="49">
        <f t="shared" si="0"/>
        <v>0</v>
      </c>
      <c r="O31" s="83">
        <f>AVERAGE(N31:N32)</f>
        <v>0</v>
      </c>
      <c r="P31" s="16"/>
      <c r="Q31" s="17">
        <f t="shared" si="1"/>
        <v>0</v>
      </c>
      <c r="R31" s="102"/>
      <c r="S31" s="81"/>
      <c r="T31" s="81" t="s">
        <v>386</v>
      </c>
      <c r="U31" s="81">
        <v>330202201</v>
      </c>
      <c r="V31" s="81" t="s">
        <v>387</v>
      </c>
      <c r="W31" s="143" t="s">
        <v>39</v>
      </c>
      <c r="X31" s="144" t="s">
        <v>40</v>
      </c>
      <c r="Y31" s="81">
        <v>0</v>
      </c>
      <c r="Z31" s="81">
        <v>4</v>
      </c>
      <c r="AA31" s="81">
        <v>1</v>
      </c>
      <c r="AB31" s="122">
        <v>0</v>
      </c>
      <c r="AC31" s="83">
        <f>IF((AB31/Z31)&gt;1,1,AB31/Z31)</f>
        <v>0</v>
      </c>
      <c r="AD31" s="102">
        <f>+E31</f>
        <v>40000000</v>
      </c>
      <c r="AE31" s="102">
        <f>SUM(Q31:Q32)</f>
        <v>0</v>
      </c>
      <c r="AF31" s="83">
        <f>IF((AE31/AD31)&gt;1,1,AE31/AD31)</f>
        <v>0</v>
      </c>
    </row>
    <row r="32" spans="1:32" ht="47.25" customHeight="1" x14ac:dyDescent="0.25">
      <c r="A32" s="104"/>
      <c r="B32" s="82"/>
      <c r="C32" s="82"/>
      <c r="D32" s="82"/>
      <c r="E32" s="82"/>
      <c r="F32" s="11" t="s">
        <v>388</v>
      </c>
      <c r="G32" s="12" t="s">
        <v>389</v>
      </c>
      <c r="H32" s="12">
        <v>0</v>
      </c>
      <c r="I32" s="13">
        <v>1</v>
      </c>
      <c r="J32" s="12" t="s">
        <v>88</v>
      </c>
      <c r="K32" s="12" t="s">
        <v>40</v>
      </c>
      <c r="L32" s="82"/>
      <c r="M32" s="14">
        <v>0</v>
      </c>
      <c r="N32" s="49">
        <f t="shared" si="0"/>
        <v>0</v>
      </c>
      <c r="O32" s="90"/>
      <c r="P32" s="16"/>
      <c r="Q32" s="17">
        <f t="shared" si="1"/>
        <v>0</v>
      </c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90"/>
      <c r="AD32" s="82"/>
      <c r="AE32" s="90"/>
      <c r="AF32" s="90"/>
    </row>
    <row r="33" spans="1:32" ht="47.25" customHeight="1" x14ac:dyDescent="0.25">
      <c r="A33" s="104"/>
      <c r="B33" s="113" t="s">
        <v>390</v>
      </c>
      <c r="C33" s="81" t="s">
        <v>391</v>
      </c>
      <c r="D33" s="81" t="s">
        <v>392</v>
      </c>
      <c r="E33" s="102">
        <v>10000000</v>
      </c>
      <c r="F33" s="11" t="s">
        <v>393</v>
      </c>
      <c r="G33" s="12" t="s">
        <v>394</v>
      </c>
      <c r="H33" s="12">
        <v>0</v>
      </c>
      <c r="I33" s="13">
        <v>1</v>
      </c>
      <c r="J33" s="12" t="s">
        <v>88</v>
      </c>
      <c r="K33" s="12" t="s">
        <v>40</v>
      </c>
      <c r="L33" s="81" t="s">
        <v>368</v>
      </c>
      <c r="M33" s="14">
        <v>0</v>
      </c>
      <c r="N33" s="49">
        <f t="shared" si="0"/>
        <v>0</v>
      </c>
      <c r="O33" s="83">
        <f>AVERAGE(N33:N34)</f>
        <v>0</v>
      </c>
      <c r="P33" s="16"/>
      <c r="Q33" s="17">
        <f t="shared" si="1"/>
        <v>0</v>
      </c>
      <c r="R33" s="102"/>
      <c r="S33" s="81"/>
      <c r="T33" s="81" t="s">
        <v>395</v>
      </c>
      <c r="U33" s="81">
        <v>330106800</v>
      </c>
      <c r="V33" s="81" t="s">
        <v>396</v>
      </c>
      <c r="W33" s="81" t="s">
        <v>39</v>
      </c>
      <c r="X33" s="81" t="s">
        <v>40</v>
      </c>
      <c r="Y33" s="81">
        <v>0</v>
      </c>
      <c r="Z33" s="81">
        <v>2</v>
      </c>
      <c r="AA33" s="81">
        <v>0</v>
      </c>
      <c r="AB33" s="122">
        <v>0</v>
      </c>
      <c r="AC33" s="83">
        <f>IF((AB33/Z33)&gt;1,1,AB33/Z33)</f>
        <v>0</v>
      </c>
      <c r="AD33" s="102">
        <f>+E33</f>
        <v>10000000</v>
      </c>
      <c r="AE33" s="102">
        <f>SUM(Q33:Q34)</f>
        <v>0</v>
      </c>
      <c r="AF33" s="83">
        <f>IF((AE33/AD33)&gt;1,1,AE33/AD33)</f>
        <v>0</v>
      </c>
    </row>
    <row r="34" spans="1:32" ht="47.25" customHeight="1" x14ac:dyDescent="0.25">
      <c r="A34" s="104"/>
      <c r="B34" s="82"/>
      <c r="C34" s="82"/>
      <c r="D34" s="82"/>
      <c r="E34" s="82"/>
      <c r="F34" s="11" t="s">
        <v>397</v>
      </c>
      <c r="G34" s="12" t="s">
        <v>394</v>
      </c>
      <c r="H34" s="12">
        <v>0</v>
      </c>
      <c r="I34" s="13">
        <v>1</v>
      </c>
      <c r="J34" s="12" t="s">
        <v>88</v>
      </c>
      <c r="K34" s="12" t="s">
        <v>40</v>
      </c>
      <c r="L34" s="82"/>
      <c r="M34" s="14">
        <v>0</v>
      </c>
      <c r="N34" s="49">
        <f t="shared" si="0"/>
        <v>0</v>
      </c>
      <c r="O34" s="90"/>
      <c r="P34" s="16"/>
      <c r="Q34" s="17">
        <f t="shared" si="1"/>
        <v>0</v>
      </c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90"/>
      <c r="AD34" s="82"/>
      <c r="AE34" s="90"/>
      <c r="AF34" s="90"/>
    </row>
    <row r="35" spans="1:32" ht="47.25" customHeight="1" x14ac:dyDescent="0.25">
      <c r="A35" s="104"/>
      <c r="B35" s="113" t="s">
        <v>398</v>
      </c>
      <c r="C35" s="81" t="s">
        <v>399</v>
      </c>
      <c r="D35" s="81" t="s">
        <v>400</v>
      </c>
      <c r="E35" s="102">
        <v>120000000</v>
      </c>
      <c r="F35" s="11" t="s">
        <v>401</v>
      </c>
      <c r="G35" s="12" t="s">
        <v>402</v>
      </c>
      <c r="H35" s="12">
        <v>0</v>
      </c>
      <c r="I35" s="54">
        <v>14</v>
      </c>
      <c r="J35" s="12" t="s">
        <v>88</v>
      </c>
      <c r="K35" s="12" t="s">
        <v>40</v>
      </c>
      <c r="L35" s="81" t="s">
        <v>368</v>
      </c>
      <c r="M35" s="14">
        <v>0</v>
      </c>
      <c r="N35" s="49">
        <f t="shared" si="0"/>
        <v>0</v>
      </c>
      <c r="O35" s="83">
        <f>AVERAGE(N35:N38)</f>
        <v>0</v>
      </c>
      <c r="P35" s="16"/>
      <c r="Q35" s="17">
        <f t="shared" si="1"/>
        <v>0</v>
      </c>
      <c r="R35" s="102"/>
      <c r="S35" s="81"/>
      <c r="T35" s="81" t="s">
        <v>403</v>
      </c>
      <c r="U35" s="81">
        <v>330105300</v>
      </c>
      <c r="V35" s="81" t="s">
        <v>402</v>
      </c>
      <c r="W35" s="81" t="s">
        <v>39</v>
      </c>
      <c r="X35" s="81" t="s">
        <v>40</v>
      </c>
      <c r="Y35" s="81">
        <v>0</v>
      </c>
      <c r="Z35" s="81">
        <v>176</v>
      </c>
      <c r="AA35" s="81">
        <v>44</v>
      </c>
      <c r="AB35" s="122">
        <v>0</v>
      </c>
      <c r="AC35" s="83">
        <f>IF((AB35/Z35)&gt;1,1,AB35/Z35)</f>
        <v>0</v>
      </c>
      <c r="AD35" s="102">
        <f>+E35</f>
        <v>120000000</v>
      </c>
      <c r="AE35" s="102">
        <f>SUM(Q35:Q38)</f>
        <v>0</v>
      </c>
      <c r="AF35" s="83">
        <f>IF((AE35/AD35)&gt;1,1,AE35/AD35)</f>
        <v>0</v>
      </c>
    </row>
    <row r="36" spans="1:32" ht="47.25" customHeight="1" x14ac:dyDescent="0.25">
      <c r="A36" s="104"/>
      <c r="B36" s="104"/>
      <c r="C36" s="104"/>
      <c r="D36" s="104"/>
      <c r="E36" s="104"/>
      <c r="F36" s="11" t="s">
        <v>404</v>
      </c>
      <c r="G36" s="12" t="s">
        <v>402</v>
      </c>
      <c r="H36" s="12">
        <v>0</v>
      </c>
      <c r="I36" s="54">
        <v>14</v>
      </c>
      <c r="J36" s="12" t="s">
        <v>88</v>
      </c>
      <c r="K36" s="12" t="s">
        <v>40</v>
      </c>
      <c r="L36" s="104"/>
      <c r="M36" s="14">
        <v>0</v>
      </c>
      <c r="N36" s="49">
        <f t="shared" si="0"/>
        <v>0</v>
      </c>
      <c r="O36" s="104"/>
      <c r="P36" s="16"/>
      <c r="Q36" s="17">
        <f t="shared" si="1"/>
        <v>0</v>
      </c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</row>
    <row r="37" spans="1:32" ht="47.25" customHeight="1" x14ac:dyDescent="0.25">
      <c r="A37" s="104"/>
      <c r="B37" s="104"/>
      <c r="C37" s="104"/>
      <c r="D37" s="104"/>
      <c r="E37" s="104"/>
      <c r="F37" s="11" t="s">
        <v>405</v>
      </c>
      <c r="G37" s="12" t="s">
        <v>402</v>
      </c>
      <c r="H37" s="12">
        <v>0</v>
      </c>
      <c r="I37" s="54">
        <v>10</v>
      </c>
      <c r="J37" s="12" t="s">
        <v>88</v>
      </c>
      <c r="K37" s="12" t="s">
        <v>40</v>
      </c>
      <c r="L37" s="104"/>
      <c r="M37" s="14">
        <v>0</v>
      </c>
      <c r="N37" s="49">
        <f t="shared" si="0"/>
        <v>0</v>
      </c>
      <c r="O37" s="104"/>
      <c r="P37" s="16"/>
      <c r="Q37" s="17">
        <f t="shared" si="1"/>
        <v>0</v>
      </c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</row>
    <row r="38" spans="1:32" ht="38.25" customHeight="1" x14ac:dyDescent="0.25">
      <c r="A38" s="104"/>
      <c r="B38" s="82"/>
      <c r="C38" s="82"/>
      <c r="D38" s="82"/>
      <c r="E38" s="82"/>
      <c r="F38" s="11" t="s">
        <v>406</v>
      </c>
      <c r="G38" s="12" t="s">
        <v>402</v>
      </c>
      <c r="H38" s="12">
        <v>0</v>
      </c>
      <c r="I38" s="54">
        <v>6</v>
      </c>
      <c r="J38" s="12" t="s">
        <v>88</v>
      </c>
      <c r="K38" s="12" t="s">
        <v>40</v>
      </c>
      <c r="L38" s="82"/>
      <c r="M38" s="14">
        <v>0</v>
      </c>
      <c r="N38" s="49">
        <f t="shared" si="0"/>
        <v>0</v>
      </c>
      <c r="O38" s="82"/>
      <c r="P38" s="16"/>
      <c r="Q38" s="17">
        <f t="shared" si="1"/>
        <v>0</v>
      </c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</row>
    <row r="39" spans="1:32" ht="47.25" customHeight="1" x14ac:dyDescent="0.25">
      <c r="A39" s="104"/>
      <c r="B39" s="113" t="s">
        <v>407</v>
      </c>
      <c r="C39" s="81" t="s">
        <v>408</v>
      </c>
      <c r="D39" s="81" t="s">
        <v>409</v>
      </c>
      <c r="E39" s="102">
        <v>35000000</v>
      </c>
      <c r="F39" s="11" t="s">
        <v>410</v>
      </c>
      <c r="G39" s="12" t="s">
        <v>411</v>
      </c>
      <c r="H39" s="12">
        <v>0</v>
      </c>
      <c r="I39" s="54">
        <v>11</v>
      </c>
      <c r="J39" s="12" t="s">
        <v>88</v>
      </c>
      <c r="K39" s="12" t="s">
        <v>40</v>
      </c>
      <c r="L39" s="81" t="s">
        <v>368</v>
      </c>
      <c r="M39" s="14">
        <v>0</v>
      </c>
      <c r="N39" s="49">
        <f t="shared" si="0"/>
        <v>0</v>
      </c>
      <c r="O39" s="83">
        <f>AVERAGE(N39:N40)</f>
        <v>0</v>
      </c>
      <c r="P39" s="16"/>
      <c r="Q39" s="17">
        <f t="shared" si="1"/>
        <v>0</v>
      </c>
      <c r="R39" s="102"/>
      <c r="S39" s="81"/>
      <c r="T39" s="81" t="s">
        <v>412</v>
      </c>
      <c r="U39" s="81">
        <v>330105300</v>
      </c>
      <c r="V39" s="81" t="s">
        <v>413</v>
      </c>
      <c r="W39" s="143" t="s">
        <v>39</v>
      </c>
      <c r="X39" s="144" t="s">
        <v>40</v>
      </c>
      <c r="Y39" s="81">
        <v>0</v>
      </c>
      <c r="Z39" s="81">
        <v>44</v>
      </c>
      <c r="AA39" s="81">
        <v>11</v>
      </c>
      <c r="AB39" s="122">
        <v>0</v>
      </c>
      <c r="AC39" s="83">
        <f>IF((AB39/Z39)&gt;1,1,AB39/Z39)</f>
        <v>0</v>
      </c>
      <c r="AD39" s="102">
        <f>+E39</f>
        <v>35000000</v>
      </c>
      <c r="AE39" s="102">
        <f>SUM(Q39:Q40)</f>
        <v>0</v>
      </c>
      <c r="AF39" s="83">
        <f>IF((AE39/AD39)&gt;1,1,AE39/AD39)</f>
        <v>0</v>
      </c>
    </row>
    <row r="40" spans="1:32" ht="47.25" customHeight="1" x14ac:dyDescent="0.25">
      <c r="A40" s="82"/>
      <c r="B40" s="82"/>
      <c r="C40" s="82"/>
      <c r="D40" s="82"/>
      <c r="E40" s="82"/>
      <c r="F40" s="11" t="s">
        <v>414</v>
      </c>
      <c r="G40" s="12" t="s">
        <v>415</v>
      </c>
      <c r="H40" s="12">
        <v>0</v>
      </c>
      <c r="I40" s="54">
        <v>1</v>
      </c>
      <c r="J40" s="12" t="s">
        <v>88</v>
      </c>
      <c r="K40" s="12" t="s">
        <v>40</v>
      </c>
      <c r="L40" s="82"/>
      <c r="M40" s="14">
        <v>0</v>
      </c>
      <c r="N40" s="49">
        <f t="shared" si="0"/>
        <v>0</v>
      </c>
      <c r="O40" s="82"/>
      <c r="P40" s="16"/>
      <c r="Q40" s="17">
        <f t="shared" si="1"/>
        <v>0</v>
      </c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90"/>
      <c r="AD40" s="82"/>
      <c r="AE40" s="90"/>
      <c r="AF40" s="90"/>
    </row>
    <row r="41" spans="1:32" ht="47.25" customHeight="1" x14ac:dyDescent="0.25">
      <c r="A41" s="81" t="s">
        <v>416</v>
      </c>
      <c r="B41" s="113" t="s">
        <v>417</v>
      </c>
      <c r="C41" s="81" t="s">
        <v>418</v>
      </c>
      <c r="D41" s="81" t="s">
        <v>419</v>
      </c>
      <c r="E41" s="102">
        <v>500000000</v>
      </c>
      <c r="F41" s="11" t="s">
        <v>420</v>
      </c>
      <c r="G41" s="12" t="s">
        <v>421</v>
      </c>
      <c r="H41" s="12">
        <v>0</v>
      </c>
      <c r="I41" s="13">
        <v>2250</v>
      </c>
      <c r="J41" s="12" t="s">
        <v>39</v>
      </c>
      <c r="K41" s="12" t="s">
        <v>422</v>
      </c>
      <c r="L41" s="81" t="s">
        <v>423</v>
      </c>
      <c r="M41" s="14">
        <v>0</v>
      </c>
      <c r="N41" s="49">
        <f t="shared" si="0"/>
        <v>0</v>
      </c>
      <c r="O41" s="83">
        <f>AVERAGE(N41:N44)</f>
        <v>0</v>
      </c>
      <c r="P41" s="16"/>
      <c r="Q41" s="17">
        <f t="shared" si="1"/>
        <v>0</v>
      </c>
      <c r="R41" s="102"/>
      <c r="S41" s="81"/>
      <c r="T41" s="81" t="s">
        <v>424</v>
      </c>
      <c r="U41" s="81">
        <v>430103703</v>
      </c>
      <c r="V41" s="81" t="s">
        <v>425</v>
      </c>
      <c r="W41" s="81" t="s">
        <v>39</v>
      </c>
      <c r="X41" s="81" t="s">
        <v>40</v>
      </c>
      <c r="Y41" s="81">
        <v>0</v>
      </c>
      <c r="Z41" s="81">
        <v>44000</v>
      </c>
      <c r="AA41" s="81">
        <v>11000</v>
      </c>
      <c r="AB41" s="122">
        <v>0</v>
      </c>
      <c r="AC41" s="83">
        <f>IF((AB41/Z41)&gt;1,1,AB41/Z41)</f>
        <v>0</v>
      </c>
      <c r="AD41" s="102">
        <f>+E41</f>
        <v>500000000</v>
      </c>
      <c r="AE41" s="102">
        <f>SUM(Q41:Q44)</f>
        <v>0</v>
      </c>
      <c r="AF41" s="83">
        <f>IF((AE41/AD41)&gt;1,1,AE41/AD41)</f>
        <v>0</v>
      </c>
    </row>
    <row r="42" spans="1:32" ht="47.25" customHeight="1" x14ac:dyDescent="0.25">
      <c r="A42" s="104"/>
      <c r="B42" s="104"/>
      <c r="C42" s="104"/>
      <c r="D42" s="104"/>
      <c r="E42" s="104"/>
      <c r="F42" s="11" t="s">
        <v>426</v>
      </c>
      <c r="G42" s="12" t="s">
        <v>427</v>
      </c>
      <c r="H42" s="12">
        <v>0</v>
      </c>
      <c r="I42" s="13">
        <v>8000</v>
      </c>
      <c r="J42" s="12" t="s">
        <v>39</v>
      </c>
      <c r="K42" s="12" t="s">
        <v>422</v>
      </c>
      <c r="L42" s="104"/>
      <c r="M42" s="14">
        <v>0</v>
      </c>
      <c r="N42" s="49">
        <f t="shared" si="0"/>
        <v>0</v>
      </c>
      <c r="O42" s="104"/>
      <c r="P42" s="16"/>
      <c r="Q42" s="17">
        <f t="shared" si="1"/>
        <v>0</v>
      </c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</row>
    <row r="43" spans="1:32" ht="47.25" customHeight="1" x14ac:dyDescent="0.25">
      <c r="A43" s="104"/>
      <c r="B43" s="104"/>
      <c r="C43" s="104"/>
      <c r="D43" s="104"/>
      <c r="E43" s="104"/>
      <c r="F43" s="11" t="s">
        <v>428</v>
      </c>
      <c r="G43" s="12" t="s">
        <v>427</v>
      </c>
      <c r="H43" s="12">
        <v>0</v>
      </c>
      <c r="I43" s="13">
        <v>450</v>
      </c>
      <c r="J43" s="12" t="s">
        <v>39</v>
      </c>
      <c r="K43" s="12" t="s">
        <v>422</v>
      </c>
      <c r="L43" s="104"/>
      <c r="M43" s="14">
        <v>0</v>
      </c>
      <c r="N43" s="49">
        <f t="shared" si="0"/>
        <v>0</v>
      </c>
      <c r="O43" s="104"/>
      <c r="P43" s="16"/>
      <c r="Q43" s="17">
        <f t="shared" si="1"/>
        <v>0</v>
      </c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</row>
    <row r="44" spans="1:32" ht="47.25" customHeight="1" x14ac:dyDescent="0.25">
      <c r="A44" s="104"/>
      <c r="B44" s="82"/>
      <c r="C44" s="82"/>
      <c r="D44" s="82"/>
      <c r="E44" s="82"/>
      <c r="F44" s="11" t="s">
        <v>429</v>
      </c>
      <c r="G44" s="12" t="s">
        <v>427</v>
      </c>
      <c r="H44" s="12">
        <v>0</v>
      </c>
      <c r="I44" s="13">
        <v>300</v>
      </c>
      <c r="J44" s="12" t="s">
        <v>39</v>
      </c>
      <c r="K44" s="12" t="s">
        <v>422</v>
      </c>
      <c r="L44" s="82"/>
      <c r="M44" s="14">
        <v>0</v>
      </c>
      <c r="N44" s="49">
        <f t="shared" si="0"/>
        <v>0</v>
      </c>
      <c r="O44" s="82"/>
      <c r="P44" s="16"/>
      <c r="Q44" s="17">
        <f t="shared" si="1"/>
        <v>0</v>
      </c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</row>
    <row r="45" spans="1:32" ht="47.25" customHeight="1" x14ac:dyDescent="0.25">
      <c r="A45" s="104"/>
      <c r="B45" s="113" t="s">
        <v>430</v>
      </c>
      <c r="C45" s="81" t="s">
        <v>431</v>
      </c>
      <c r="D45" s="81" t="s">
        <v>432</v>
      </c>
      <c r="E45" s="102">
        <v>599911469</v>
      </c>
      <c r="F45" s="11" t="s">
        <v>433</v>
      </c>
      <c r="G45" s="12" t="s">
        <v>434</v>
      </c>
      <c r="H45" s="12">
        <v>0</v>
      </c>
      <c r="I45" s="13">
        <v>2</v>
      </c>
      <c r="J45" s="12" t="s">
        <v>39</v>
      </c>
      <c r="K45" s="12" t="s">
        <v>422</v>
      </c>
      <c r="L45" s="81" t="s">
        <v>423</v>
      </c>
      <c r="M45" s="14">
        <v>0</v>
      </c>
      <c r="N45" s="49">
        <f t="shared" si="0"/>
        <v>0</v>
      </c>
      <c r="O45" s="83">
        <f>AVERAGE(N45:N48)</f>
        <v>0</v>
      </c>
      <c r="P45" s="16"/>
      <c r="Q45" s="17">
        <f t="shared" si="1"/>
        <v>0</v>
      </c>
      <c r="R45" s="102"/>
      <c r="S45" s="81"/>
      <c r="T45" s="81" t="s">
        <v>435</v>
      </c>
      <c r="U45" s="81">
        <v>430100300</v>
      </c>
      <c r="V45" s="81" t="s">
        <v>436</v>
      </c>
      <c r="W45" s="81" t="s">
        <v>39</v>
      </c>
      <c r="X45" s="81" t="s">
        <v>40</v>
      </c>
      <c r="Y45" s="81">
        <v>0</v>
      </c>
      <c r="Z45" s="81">
        <v>14</v>
      </c>
      <c r="AA45" s="81">
        <v>4</v>
      </c>
      <c r="AB45" s="122">
        <v>0</v>
      </c>
      <c r="AC45" s="83">
        <f>IF((AB45/Z45)&gt;1,1,AB45/Z45)</f>
        <v>0</v>
      </c>
      <c r="AD45" s="102">
        <f>+E45</f>
        <v>599911469</v>
      </c>
      <c r="AE45" s="102">
        <f>SUM(Q45:Q48)</f>
        <v>0</v>
      </c>
      <c r="AF45" s="83">
        <f>IF((AE45/AD45)&gt;1,1,AE45/AD45)</f>
        <v>0</v>
      </c>
    </row>
    <row r="46" spans="1:32" ht="47.25" customHeight="1" x14ac:dyDescent="0.25">
      <c r="A46" s="104"/>
      <c r="B46" s="104"/>
      <c r="C46" s="104"/>
      <c r="D46" s="104"/>
      <c r="E46" s="104"/>
      <c r="F46" s="11" t="s">
        <v>437</v>
      </c>
      <c r="G46" s="12" t="s">
        <v>434</v>
      </c>
      <c r="H46" s="12">
        <v>0</v>
      </c>
      <c r="I46" s="13">
        <v>2</v>
      </c>
      <c r="J46" s="12" t="s">
        <v>39</v>
      </c>
      <c r="K46" s="12" t="s">
        <v>422</v>
      </c>
      <c r="L46" s="104"/>
      <c r="M46" s="14">
        <v>0</v>
      </c>
      <c r="N46" s="49">
        <f t="shared" si="0"/>
        <v>0</v>
      </c>
      <c r="O46" s="104"/>
      <c r="P46" s="16"/>
      <c r="Q46" s="17">
        <f t="shared" si="1"/>
        <v>0</v>
      </c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</row>
    <row r="47" spans="1:32" ht="47.25" customHeight="1" x14ac:dyDescent="0.25">
      <c r="A47" s="104"/>
      <c r="B47" s="104"/>
      <c r="C47" s="104"/>
      <c r="D47" s="104"/>
      <c r="E47" s="104"/>
      <c r="F47" s="11" t="s">
        <v>438</v>
      </c>
      <c r="G47" s="12" t="s">
        <v>439</v>
      </c>
      <c r="H47" s="12">
        <v>0</v>
      </c>
      <c r="I47" s="13">
        <v>2</v>
      </c>
      <c r="J47" s="12" t="s">
        <v>39</v>
      </c>
      <c r="K47" s="12" t="s">
        <v>40</v>
      </c>
      <c r="L47" s="104"/>
      <c r="M47" s="14">
        <v>0</v>
      </c>
      <c r="N47" s="49">
        <f t="shared" si="0"/>
        <v>0</v>
      </c>
      <c r="O47" s="104"/>
      <c r="P47" s="16"/>
      <c r="Q47" s="17">
        <f t="shared" si="1"/>
        <v>0</v>
      </c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</row>
    <row r="48" spans="1:32" ht="47.25" customHeight="1" x14ac:dyDescent="0.25">
      <c r="A48" s="104"/>
      <c r="B48" s="82"/>
      <c r="C48" s="82"/>
      <c r="D48" s="82"/>
      <c r="E48" s="82"/>
      <c r="F48" s="11" t="s">
        <v>440</v>
      </c>
      <c r="G48" s="12" t="s">
        <v>441</v>
      </c>
      <c r="H48" s="12">
        <v>0</v>
      </c>
      <c r="I48" s="13">
        <v>2</v>
      </c>
      <c r="J48" s="12" t="s">
        <v>39</v>
      </c>
      <c r="K48" s="12" t="s">
        <v>40</v>
      </c>
      <c r="L48" s="82"/>
      <c r="M48" s="14">
        <v>0</v>
      </c>
      <c r="N48" s="30">
        <f t="shared" si="0"/>
        <v>0</v>
      </c>
      <c r="O48" s="82"/>
      <c r="P48" s="16"/>
      <c r="Q48" s="17">
        <f t="shared" si="1"/>
        <v>0</v>
      </c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</row>
    <row r="49" spans="1:32" ht="47.25" customHeight="1" x14ac:dyDescent="0.25">
      <c r="A49" s="104"/>
      <c r="B49" s="113" t="s">
        <v>442</v>
      </c>
      <c r="C49" s="81" t="s">
        <v>443</v>
      </c>
      <c r="D49" s="81" t="s">
        <v>444</v>
      </c>
      <c r="E49" s="102">
        <v>122731881</v>
      </c>
      <c r="F49" s="11" t="s">
        <v>445</v>
      </c>
      <c r="G49" s="12" t="s">
        <v>446</v>
      </c>
      <c r="H49" s="12">
        <v>0</v>
      </c>
      <c r="I49" s="13">
        <v>1000</v>
      </c>
      <c r="J49" s="12" t="s">
        <v>39</v>
      </c>
      <c r="K49" s="12" t="s">
        <v>40</v>
      </c>
      <c r="L49" s="81" t="s">
        <v>423</v>
      </c>
      <c r="M49" s="14">
        <v>0</v>
      </c>
      <c r="N49" s="30">
        <f t="shared" si="0"/>
        <v>0</v>
      </c>
      <c r="O49" s="83">
        <f>AVERAGE(N49:N50)</f>
        <v>0</v>
      </c>
      <c r="P49" s="16"/>
      <c r="Q49" s="17">
        <f t="shared" si="1"/>
        <v>0</v>
      </c>
      <c r="R49" s="102"/>
      <c r="S49" s="81"/>
      <c r="T49" s="81" t="s">
        <v>447</v>
      </c>
      <c r="U49" s="81">
        <v>430100102</v>
      </c>
      <c r="V49" s="81" t="s">
        <v>446</v>
      </c>
      <c r="W49" s="81" t="s">
        <v>39</v>
      </c>
      <c r="X49" s="81" t="s">
        <v>40</v>
      </c>
      <c r="Y49" s="81">
        <v>0</v>
      </c>
      <c r="Z49" s="81">
        <v>3000</v>
      </c>
      <c r="AA49" s="81">
        <v>1000</v>
      </c>
      <c r="AB49" s="122">
        <v>0</v>
      </c>
      <c r="AC49" s="83">
        <f>IF((AB49/Z49)&gt;1,1,AB49/Z49)</f>
        <v>0</v>
      </c>
      <c r="AD49" s="102">
        <f>+E49</f>
        <v>122731881</v>
      </c>
      <c r="AE49" s="102">
        <f>SUM(Q49:Q50)</f>
        <v>0</v>
      </c>
      <c r="AF49" s="83">
        <f>IF((AE49/AD49)&gt;1,1,AE49/AD49)</f>
        <v>0</v>
      </c>
    </row>
    <row r="50" spans="1:32" ht="47.25" customHeight="1" x14ac:dyDescent="0.25">
      <c r="A50" s="104"/>
      <c r="B50" s="82"/>
      <c r="C50" s="82"/>
      <c r="D50" s="82"/>
      <c r="E50" s="82"/>
      <c r="F50" s="11" t="s">
        <v>448</v>
      </c>
      <c r="G50" s="12" t="s">
        <v>449</v>
      </c>
      <c r="H50" s="12">
        <v>0</v>
      </c>
      <c r="I50" s="13">
        <v>1</v>
      </c>
      <c r="J50" s="12" t="s">
        <v>39</v>
      </c>
      <c r="K50" s="12" t="s">
        <v>40</v>
      </c>
      <c r="L50" s="82"/>
      <c r="M50" s="14">
        <v>0</v>
      </c>
      <c r="N50" s="30">
        <f t="shared" si="0"/>
        <v>0</v>
      </c>
      <c r="O50" s="82"/>
      <c r="P50" s="16"/>
      <c r="Q50" s="17">
        <f t="shared" si="1"/>
        <v>0</v>
      </c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90"/>
      <c r="AD50" s="82"/>
      <c r="AE50" s="82"/>
      <c r="AF50" s="90"/>
    </row>
    <row r="51" spans="1:32" ht="47.25" customHeight="1" x14ac:dyDescent="0.25">
      <c r="A51" s="104"/>
      <c r="B51" s="113" t="s">
        <v>450</v>
      </c>
      <c r="C51" s="81" t="s">
        <v>451</v>
      </c>
      <c r="D51" s="81" t="s">
        <v>452</v>
      </c>
      <c r="E51" s="102">
        <v>50000000</v>
      </c>
      <c r="F51" s="11" t="s">
        <v>453</v>
      </c>
      <c r="G51" s="12" t="s">
        <v>235</v>
      </c>
      <c r="H51" s="12">
        <v>0</v>
      </c>
      <c r="I51" s="13">
        <v>1</v>
      </c>
      <c r="J51" s="12" t="s">
        <v>39</v>
      </c>
      <c r="K51" s="12" t="s">
        <v>40</v>
      </c>
      <c r="L51" s="81" t="s">
        <v>423</v>
      </c>
      <c r="M51" s="14">
        <v>0</v>
      </c>
      <c r="N51" s="30">
        <f t="shared" si="0"/>
        <v>0</v>
      </c>
      <c r="O51" s="83">
        <f>AVERAGE(N51:N52)</f>
        <v>0</v>
      </c>
      <c r="P51" s="16"/>
      <c r="Q51" s="17">
        <f t="shared" si="1"/>
        <v>0</v>
      </c>
      <c r="R51" s="102"/>
      <c r="S51" s="81"/>
      <c r="T51" s="81" t="s">
        <v>454</v>
      </c>
      <c r="U51" s="81">
        <v>430100600</v>
      </c>
      <c r="V51" s="81" t="s">
        <v>455</v>
      </c>
      <c r="W51" s="81" t="s">
        <v>39</v>
      </c>
      <c r="X51" s="81" t="s">
        <v>40</v>
      </c>
      <c r="Y51" s="81">
        <v>0</v>
      </c>
      <c r="Z51" s="81">
        <v>1</v>
      </c>
      <c r="AA51" s="81">
        <v>0.25</v>
      </c>
      <c r="AB51" s="122">
        <v>0</v>
      </c>
      <c r="AC51" s="83">
        <f>IF((AB51/Z51)&gt;1,1,AB51/Z51)</f>
        <v>0</v>
      </c>
      <c r="AD51" s="102">
        <f>+E51</f>
        <v>50000000</v>
      </c>
      <c r="AE51" s="102">
        <f>SUM(Q51:Q52)</f>
        <v>0</v>
      </c>
      <c r="AF51" s="83">
        <f>IF((AE51/AD51)&gt;1,1,AE51/AD51)</f>
        <v>0</v>
      </c>
    </row>
    <row r="52" spans="1:32" ht="47.25" customHeight="1" x14ac:dyDescent="0.25">
      <c r="A52" s="104"/>
      <c r="B52" s="82"/>
      <c r="C52" s="82"/>
      <c r="D52" s="82"/>
      <c r="E52" s="82"/>
      <c r="F52" s="11" t="s">
        <v>456</v>
      </c>
      <c r="G52" s="12" t="s">
        <v>457</v>
      </c>
      <c r="H52" s="12">
        <v>0</v>
      </c>
      <c r="I52" s="13">
        <v>1</v>
      </c>
      <c r="J52" s="12" t="s">
        <v>39</v>
      </c>
      <c r="K52" s="12" t="s">
        <v>40</v>
      </c>
      <c r="L52" s="82"/>
      <c r="M52" s="14">
        <v>0</v>
      </c>
      <c r="N52" s="30">
        <f t="shared" si="0"/>
        <v>0</v>
      </c>
      <c r="O52" s="82"/>
      <c r="P52" s="16"/>
      <c r="Q52" s="17">
        <f t="shared" si="1"/>
        <v>0</v>
      </c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90"/>
      <c r="AD52" s="82"/>
      <c r="AE52" s="82"/>
      <c r="AF52" s="90"/>
    </row>
    <row r="53" spans="1:32" ht="47.25" customHeight="1" x14ac:dyDescent="0.25">
      <c r="A53" s="104"/>
      <c r="B53" s="113" t="s">
        <v>458</v>
      </c>
      <c r="C53" s="81" t="s">
        <v>459</v>
      </c>
      <c r="D53" s="81" t="s">
        <v>460</v>
      </c>
      <c r="E53" s="102">
        <v>200000000</v>
      </c>
      <c r="F53" s="11" t="s">
        <v>461</v>
      </c>
      <c r="G53" s="12" t="s">
        <v>462</v>
      </c>
      <c r="H53" s="12">
        <v>0</v>
      </c>
      <c r="I53" s="13">
        <v>10</v>
      </c>
      <c r="J53" s="12" t="s">
        <v>39</v>
      </c>
      <c r="K53" s="12" t="s">
        <v>40</v>
      </c>
      <c r="L53" s="81" t="s">
        <v>423</v>
      </c>
      <c r="M53" s="31">
        <v>0</v>
      </c>
      <c r="N53" s="30">
        <f t="shared" si="0"/>
        <v>0</v>
      </c>
      <c r="O53" s="83">
        <f>AVERAGE(N53:N54)</f>
        <v>0</v>
      </c>
      <c r="P53" s="16"/>
      <c r="Q53" s="17">
        <f t="shared" si="1"/>
        <v>0</v>
      </c>
      <c r="R53" s="102"/>
      <c r="S53" s="81"/>
      <c r="T53" s="81" t="s">
        <v>463</v>
      </c>
      <c r="U53" s="81">
        <v>430100100</v>
      </c>
      <c r="V53" s="81" t="s">
        <v>462</v>
      </c>
      <c r="W53" s="81" t="s">
        <v>39</v>
      </c>
      <c r="X53" s="81" t="s">
        <v>40</v>
      </c>
      <c r="Y53" s="81">
        <v>0</v>
      </c>
      <c r="Z53" s="81">
        <v>60</v>
      </c>
      <c r="AA53" s="81">
        <v>15</v>
      </c>
      <c r="AB53" s="122">
        <v>0</v>
      </c>
      <c r="AC53" s="83">
        <f>IF((AB53/Z53)&gt;1,1,AB53/Z53)</f>
        <v>0</v>
      </c>
      <c r="AD53" s="102">
        <f>+E53</f>
        <v>200000000</v>
      </c>
      <c r="AE53" s="145">
        <f>SUM(Q53:Q54)</f>
        <v>0</v>
      </c>
      <c r="AF53" s="83">
        <f>IF((AE53/AD53)&gt;1,1,AE53/AD53)</f>
        <v>0</v>
      </c>
    </row>
    <row r="54" spans="1:32" ht="47.25" customHeight="1" x14ac:dyDescent="0.25">
      <c r="A54" s="104"/>
      <c r="B54" s="82"/>
      <c r="C54" s="82"/>
      <c r="D54" s="82"/>
      <c r="E54" s="82"/>
      <c r="F54" s="11" t="s">
        <v>464</v>
      </c>
      <c r="G54" s="12" t="s">
        <v>465</v>
      </c>
      <c r="H54" s="12">
        <v>0</v>
      </c>
      <c r="I54" s="13">
        <v>5</v>
      </c>
      <c r="J54" s="12" t="s">
        <v>39</v>
      </c>
      <c r="K54" s="12" t="s">
        <v>40</v>
      </c>
      <c r="L54" s="82"/>
      <c r="M54" s="31">
        <v>0</v>
      </c>
      <c r="N54" s="30">
        <f t="shared" si="0"/>
        <v>0</v>
      </c>
      <c r="O54" s="82"/>
      <c r="P54" s="16"/>
      <c r="Q54" s="17">
        <f t="shared" si="1"/>
        <v>0</v>
      </c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90"/>
      <c r="AD54" s="82"/>
      <c r="AE54" s="82"/>
      <c r="AF54" s="90"/>
    </row>
    <row r="55" spans="1:32" ht="47.25" customHeight="1" x14ac:dyDescent="0.25">
      <c r="A55" s="104"/>
      <c r="B55" s="113" t="s">
        <v>466</v>
      </c>
      <c r="C55" s="81" t="s">
        <v>467</v>
      </c>
      <c r="D55" s="81" t="s">
        <v>468</v>
      </c>
      <c r="E55" s="102">
        <v>130000000</v>
      </c>
      <c r="F55" s="11" t="s">
        <v>469</v>
      </c>
      <c r="G55" s="12" t="s">
        <v>277</v>
      </c>
      <c r="H55" s="12">
        <v>0</v>
      </c>
      <c r="I55" s="13">
        <v>3</v>
      </c>
      <c r="J55" s="12" t="s">
        <v>39</v>
      </c>
      <c r="K55" s="12" t="s">
        <v>40</v>
      </c>
      <c r="L55" s="81" t="s">
        <v>423</v>
      </c>
      <c r="M55" s="31">
        <v>0</v>
      </c>
      <c r="N55" s="30">
        <f t="shared" si="0"/>
        <v>0</v>
      </c>
      <c r="O55" s="83">
        <f>AVERAGE(N55:N56)</f>
        <v>0</v>
      </c>
      <c r="P55" s="16"/>
      <c r="Q55" s="17">
        <f t="shared" si="1"/>
        <v>0</v>
      </c>
      <c r="R55" s="102"/>
      <c r="S55" s="81"/>
      <c r="T55" s="81" t="s">
        <v>470</v>
      </c>
      <c r="U55" s="81">
        <v>430100104</v>
      </c>
      <c r="V55" s="81" t="s">
        <v>471</v>
      </c>
      <c r="W55" s="81" t="s">
        <v>39</v>
      </c>
      <c r="X55" s="81" t="s">
        <v>40</v>
      </c>
      <c r="Y55" s="81">
        <v>0</v>
      </c>
      <c r="Z55" s="81">
        <v>12</v>
      </c>
      <c r="AA55" s="81">
        <v>3</v>
      </c>
      <c r="AB55" s="122">
        <v>0</v>
      </c>
      <c r="AC55" s="83">
        <f>IF((AB55/Z55)&gt;1,1,AB55/Z55)</f>
        <v>0</v>
      </c>
      <c r="AD55" s="102">
        <f>+E55</f>
        <v>130000000</v>
      </c>
      <c r="AE55" s="102">
        <f>SUM(Q55:Q56)</f>
        <v>0</v>
      </c>
      <c r="AF55" s="83">
        <f>IF((AE55/AD55)&gt;1,1,AE55/AD55)</f>
        <v>0</v>
      </c>
    </row>
    <row r="56" spans="1:32" ht="47.25" customHeight="1" x14ac:dyDescent="0.25">
      <c r="A56" s="82"/>
      <c r="B56" s="82"/>
      <c r="C56" s="82"/>
      <c r="D56" s="82"/>
      <c r="E56" s="82"/>
      <c r="F56" s="11" t="s">
        <v>472</v>
      </c>
      <c r="G56" s="12" t="s">
        <v>473</v>
      </c>
      <c r="H56" s="12">
        <v>0</v>
      </c>
      <c r="I56" s="13">
        <v>2</v>
      </c>
      <c r="J56" s="12" t="s">
        <v>39</v>
      </c>
      <c r="K56" s="12" t="s">
        <v>40</v>
      </c>
      <c r="L56" s="82"/>
      <c r="M56" s="31">
        <v>0</v>
      </c>
      <c r="N56" s="15">
        <f t="shared" si="0"/>
        <v>0</v>
      </c>
      <c r="O56" s="82"/>
      <c r="P56" s="16"/>
      <c r="Q56" s="17">
        <f t="shared" si="1"/>
        <v>0</v>
      </c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90"/>
      <c r="AD56" s="82"/>
      <c r="AE56" s="82"/>
      <c r="AF56" s="90"/>
    </row>
    <row r="57" spans="1:32" ht="47.25" customHeight="1" x14ac:dyDescent="0.25">
      <c r="A57" s="81" t="s">
        <v>474</v>
      </c>
      <c r="B57" s="113" t="s">
        <v>475</v>
      </c>
      <c r="C57" s="81" t="s">
        <v>476</v>
      </c>
      <c r="D57" s="81" t="s">
        <v>477</v>
      </c>
      <c r="E57" s="102">
        <v>670000000</v>
      </c>
      <c r="F57" s="48" t="s">
        <v>478</v>
      </c>
      <c r="G57" s="12" t="s">
        <v>479</v>
      </c>
      <c r="H57" s="12">
        <v>250</v>
      </c>
      <c r="I57" s="12">
        <v>250</v>
      </c>
      <c r="J57" s="20" t="s">
        <v>62</v>
      </c>
      <c r="K57" s="12" t="s">
        <v>40</v>
      </c>
      <c r="L57" s="81" t="s">
        <v>480</v>
      </c>
      <c r="M57" s="31">
        <v>0</v>
      </c>
      <c r="N57" s="15">
        <f t="shared" si="0"/>
        <v>0</v>
      </c>
      <c r="O57" s="83">
        <f>AVERAGE(N57:N58)</f>
        <v>0</v>
      </c>
      <c r="P57" s="16"/>
      <c r="Q57" s="17">
        <f t="shared" si="1"/>
        <v>0</v>
      </c>
      <c r="R57" s="102"/>
      <c r="S57" s="81"/>
      <c r="T57" s="81" t="s">
        <v>481</v>
      </c>
      <c r="U57" s="81">
        <v>410205200</v>
      </c>
      <c r="V57" s="81" t="s">
        <v>482</v>
      </c>
      <c r="W57" s="103" t="s">
        <v>62</v>
      </c>
      <c r="X57" s="81" t="s">
        <v>40</v>
      </c>
      <c r="Y57" s="81">
        <v>0</v>
      </c>
      <c r="Z57" s="81">
        <v>350</v>
      </c>
      <c r="AA57" s="81">
        <v>350</v>
      </c>
      <c r="AB57" s="122">
        <v>0</v>
      </c>
      <c r="AC57" s="83">
        <f>IF((AB57/Z57)&gt;1,1,AB57/Z57)</f>
        <v>0</v>
      </c>
      <c r="AD57" s="102">
        <f>+E57</f>
        <v>670000000</v>
      </c>
      <c r="AE57" s="102">
        <f>SUM(Q57:Q58)</f>
        <v>0</v>
      </c>
      <c r="AF57" s="83">
        <f>IF((AE57/AD57)&gt;1,1,AE57/AD57)</f>
        <v>0</v>
      </c>
    </row>
    <row r="58" spans="1:32" ht="47.25" customHeight="1" x14ac:dyDescent="0.25">
      <c r="A58" s="104"/>
      <c r="B58" s="82"/>
      <c r="C58" s="82"/>
      <c r="D58" s="82"/>
      <c r="E58" s="82"/>
      <c r="F58" s="48" t="s">
        <v>483</v>
      </c>
      <c r="G58" s="12" t="s">
        <v>479</v>
      </c>
      <c r="H58" s="12">
        <v>100</v>
      </c>
      <c r="I58" s="12">
        <v>100</v>
      </c>
      <c r="J58" s="20" t="s">
        <v>62</v>
      </c>
      <c r="K58" s="12" t="s">
        <v>40</v>
      </c>
      <c r="L58" s="82"/>
      <c r="M58" s="14">
        <v>0</v>
      </c>
      <c r="N58" s="15">
        <f t="shared" si="0"/>
        <v>0</v>
      </c>
      <c r="O58" s="82"/>
      <c r="P58" s="16"/>
      <c r="Q58" s="17">
        <f t="shared" si="1"/>
        <v>0</v>
      </c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90"/>
      <c r="AD58" s="82"/>
      <c r="AE58" s="82"/>
      <c r="AF58" s="90"/>
    </row>
    <row r="59" spans="1:32" ht="47.25" customHeight="1" x14ac:dyDescent="0.25">
      <c r="A59" s="104"/>
      <c r="B59" s="113" t="s">
        <v>484</v>
      </c>
      <c r="C59" s="81" t="s">
        <v>485</v>
      </c>
      <c r="D59" s="81" t="s">
        <v>486</v>
      </c>
      <c r="E59" s="85">
        <v>100000000</v>
      </c>
      <c r="F59" s="23" t="s">
        <v>487</v>
      </c>
      <c r="G59" s="24" t="s">
        <v>488</v>
      </c>
      <c r="H59" s="24">
        <v>0</v>
      </c>
      <c r="I59" s="25">
        <v>1</v>
      </c>
      <c r="J59" s="20" t="s">
        <v>62</v>
      </c>
      <c r="K59" s="24" t="s">
        <v>40</v>
      </c>
      <c r="L59" s="126" t="s">
        <v>489</v>
      </c>
      <c r="M59" s="14">
        <v>0</v>
      </c>
      <c r="N59" s="15">
        <f t="shared" si="0"/>
        <v>0</v>
      </c>
      <c r="O59" s="83">
        <f>AVERAGE(N59:N61)</f>
        <v>0</v>
      </c>
      <c r="P59" s="16"/>
      <c r="Q59" s="17">
        <f t="shared" si="1"/>
        <v>0</v>
      </c>
      <c r="R59" s="102"/>
      <c r="S59" s="81"/>
      <c r="T59" s="81" t="s">
        <v>490</v>
      </c>
      <c r="U59" s="81">
        <v>410204200</v>
      </c>
      <c r="V59" s="81" t="s">
        <v>491</v>
      </c>
      <c r="W59" s="81" t="s">
        <v>39</v>
      </c>
      <c r="X59" s="81" t="s">
        <v>40</v>
      </c>
      <c r="Y59" s="81">
        <v>0</v>
      </c>
      <c r="Z59" s="81">
        <v>2</v>
      </c>
      <c r="AA59" s="81">
        <v>1</v>
      </c>
      <c r="AB59" s="122">
        <v>0</v>
      </c>
      <c r="AC59" s="83">
        <f>IF((AB59/Z59)&gt;1,1,AB59/Z59)</f>
        <v>0</v>
      </c>
      <c r="AD59" s="85">
        <f>+E59</f>
        <v>100000000</v>
      </c>
      <c r="AE59" s="102">
        <f>SUM(Q59:Q61)</f>
        <v>0</v>
      </c>
      <c r="AF59" s="83">
        <f>IF((AE59/AD59)&gt;1,1,AE59/AD59)</f>
        <v>0</v>
      </c>
    </row>
    <row r="60" spans="1:32" ht="47.25" customHeight="1" x14ac:dyDescent="0.25">
      <c r="A60" s="104"/>
      <c r="B60" s="104"/>
      <c r="C60" s="104"/>
      <c r="D60" s="104"/>
      <c r="E60" s="104"/>
      <c r="F60" s="23" t="s">
        <v>492</v>
      </c>
      <c r="G60" s="24" t="s">
        <v>493</v>
      </c>
      <c r="H60" s="24">
        <v>0</v>
      </c>
      <c r="I60" s="25">
        <v>1</v>
      </c>
      <c r="J60" s="24" t="s">
        <v>39</v>
      </c>
      <c r="K60" s="24" t="s">
        <v>40</v>
      </c>
      <c r="L60" s="104"/>
      <c r="M60" s="14">
        <v>0</v>
      </c>
      <c r="N60" s="15">
        <f t="shared" si="0"/>
        <v>0</v>
      </c>
      <c r="O60" s="104"/>
      <c r="P60" s="16"/>
      <c r="Q60" s="17">
        <f t="shared" si="1"/>
        <v>0</v>
      </c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</row>
    <row r="61" spans="1:32" ht="47.25" customHeight="1" x14ac:dyDescent="0.25">
      <c r="A61" s="104"/>
      <c r="B61" s="82"/>
      <c r="C61" s="82"/>
      <c r="D61" s="82"/>
      <c r="E61" s="82"/>
      <c r="F61" s="23" t="s">
        <v>494</v>
      </c>
      <c r="G61" s="24" t="s">
        <v>495</v>
      </c>
      <c r="H61" s="24">
        <v>0</v>
      </c>
      <c r="I61" s="25">
        <v>1</v>
      </c>
      <c r="J61" s="20" t="s">
        <v>62</v>
      </c>
      <c r="K61" s="24" t="s">
        <v>40</v>
      </c>
      <c r="L61" s="82"/>
      <c r="M61" s="14">
        <v>0</v>
      </c>
      <c r="N61" s="15">
        <f t="shared" si="0"/>
        <v>0</v>
      </c>
      <c r="O61" s="82"/>
      <c r="P61" s="16"/>
      <c r="Q61" s="17">
        <f t="shared" si="1"/>
        <v>0</v>
      </c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</row>
    <row r="62" spans="1:32" ht="47.25" customHeight="1" x14ac:dyDescent="0.25">
      <c r="A62" s="104"/>
      <c r="B62" s="113" t="s">
        <v>496</v>
      </c>
      <c r="C62" s="81" t="s">
        <v>497</v>
      </c>
      <c r="D62" s="81" t="s">
        <v>498</v>
      </c>
      <c r="E62" s="102">
        <v>45000000</v>
      </c>
      <c r="F62" s="48" t="s">
        <v>499</v>
      </c>
      <c r="G62" s="12" t="s">
        <v>500</v>
      </c>
      <c r="H62" s="12">
        <v>0</v>
      </c>
      <c r="I62" s="12">
        <v>1</v>
      </c>
      <c r="J62" s="12" t="s">
        <v>39</v>
      </c>
      <c r="K62" s="12" t="s">
        <v>40</v>
      </c>
      <c r="L62" s="81" t="s">
        <v>501</v>
      </c>
      <c r="M62" s="14">
        <v>0</v>
      </c>
      <c r="N62" s="15">
        <f t="shared" si="0"/>
        <v>0</v>
      </c>
      <c r="O62" s="83">
        <f>AVERAGE(N62:N63)</f>
        <v>0</v>
      </c>
      <c r="P62" s="16"/>
      <c r="Q62" s="17">
        <f t="shared" si="1"/>
        <v>0</v>
      </c>
      <c r="R62" s="102"/>
      <c r="S62" s="81"/>
      <c r="T62" s="81" t="s">
        <v>502</v>
      </c>
      <c r="U62" s="81">
        <v>410203501</v>
      </c>
      <c r="V62" s="81" t="s">
        <v>503</v>
      </c>
      <c r="W62" s="81" t="s">
        <v>39</v>
      </c>
      <c r="X62" s="81" t="s">
        <v>40</v>
      </c>
      <c r="Y62" s="81">
        <v>0</v>
      </c>
      <c r="Z62" s="81">
        <v>4</v>
      </c>
      <c r="AA62" s="81">
        <v>1</v>
      </c>
      <c r="AB62" s="122">
        <v>0</v>
      </c>
      <c r="AC62" s="83">
        <f>IF((AB62/Z62)&gt;1,1,AB62/Z62)</f>
        <v>0</v>
      </c>
      <c r="AD62" s="102">
        <f>+E62</f>
        <v>45000000</v>
      </c>
      <c r="AE62" s="102">
        <f>SUM(Q62:Q63)</f>
        <v>0</v>
      </c>
      <c r="AF62" s="83">
        <f>IF((AE62/AD62)&gt;1,1,AE62/AD62)</f>
        <v>0</v>
      </c>
    </row>
    <row r="63" spans="1:32" ht="58.5" customHeight="1" x14ac:dyDescent="0.25">
      <c r="A63" s="104"/>
      <c r="B63" s="82"/>
      <c r="C63" s="82"/>
      <c r="D63" s="82"/>
      <c r="E63" s="82"/>
      <c r="F63" s="16" t="s">
        <v>504</v>
      </c>
      <c r="G63" s="12" t="s">
        <v>505</v>
      </c>
      <c r="H63" s="12">
        <v>0</v>
      </c>
      <c r="I63" s="12">
        <v>1</v>
      </c>
      <c r="J63" s="12" t="s">
        <v>39</v>
      </c>
      <c r="K63" s="12" t="s">
        <v>40</v>
      </c>
      <c r="L63" s="82"/>
      <c r="M63" s="14">
        <v>0</v>
      </c>
      <c r="N63" s="15">
        <f t="shared" si="0"/>
        <v>0</v>
      </c>
      <c r="O63" s="82"/>
      <c r="P63" s="16"/>
      <c r="Q63" s="17">
        <f t="shared" si="1"/>
        <v>0</v>
      </c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90"/>
      <c r="AD63" s="82"/>
      <c r="AE63" s="82"/>
      <c r="AF63" s="90"/>
    </row>
    <row r="64" spans="1:32" ht="47.25" customHeight="1" x14ac:dyDescent="0.25">
      <c r="A64" s="104"/>
      <c r="B64" s="113" t="s">
        <v>506</v>
      </c>
      <c r="C64" s="81" t="s">
        <v>507</v>
      </c>
      <c r="D64" s="81" t="s">
        <v>508</v>
      </c>
      <c r="E64" s="85">
        <v>288951076</v>
      </c>
      <c r="F64" s="23" t="s">
        <v>509</v>
      </c>
      <c r="G64" s="24" t="s">
        <v>510</v>
      </c>
      <c r="H64" s="24">
        <v>0</v>
      </c>
      <c r="I64" s="25">
        <v>15</v>
      </c>
      <c r="J64" s="24" t="s">
        <v>39</v>
      </c>
      <c r="K64" s="24" t="s">
        <v>40</v>
      </c>
      <c r="L64" s="126" t="s">
        <v>489</v>
      </c>
      <c r="M64" s="14">
        <v>0</v>
      </c>
      <c r="N64" s="15">
        <f t="shared" si="0"/>
        <v>0</v>
      </c>
      <c r="O64" s="83">
        <f>AVERAGE(N64:N66)</f>
        <v>0</v>
      </c>
      <c r="P64" s="16"/>
      <c r="Q64" s="17">
        <f t="shared" si="1"/>
        <v>0</v>
      </c>
      <c r="R64" s="102"/>
      <c r="S64" s="81"/>
      <c r="T64" s="81" t="s">
        <v>511</v>
      </c>
      <c r="U64" s="81">
        <v>410306701</v>
      </c>
      <c r="V64" s="81" t="s">
        <v>512</v>
      </c>
      <c r="W64" s="81" t="s">
        <v>39</v>
      </c>
      <c r="X64" s="81" t="s">
        <v>40</v>
      </c>
      <c r="Y64" s="81">
        <v>0</v>
      </c>
      <c r="Z64" s="81">
        <v>1</v>
      </c>
      <c r="AA64" s="81">
        <v>0.25</v>
      </c>
      <c r="AB64" s="122">
        <v>0</v>
      </c>
      <c r="AC64" s="83">
        <f>IF((AB64/Z64)&gt;1,1,AB64/Z64)</f>
        <v>0</v>
      </c>
      <c r="AD64" s="85">
        <f>+E64</f>
        <v>288951076</v>
      </c>
      <c r="AE64" s="102">
        <f>SUM(Q64:Q66)</f>
        <v>0</v>
      </c>
      <c r="AF64" s="83">
        <f>IF((AE64/AD64)&gt;1,1,AE64/AD64)</f>
        <v>0</v>
      </c>
    </row>
    <row r="65" spans="1:32" ht="47.25" customHeight="1" x14ac:dyDescent="0.25">
      <c r="A65" s="104"/>
      <c r="B65" s="104"/>
      <c r="C65" s="104"/>
      <c r="D65" s="104"/>
      <c r="E65" s="104"/>
      <c r="F65" s="23" t="s">
        <v>513</v>
      </c>
      <c r="G65" s="24" t="s">
        <v>514</v>
      </c>
      <c r="H65" s="24">
        <v>0</v>
      </c>
      <c r="I65" s="25">
        <v>2</v>
      </c>
      <c r="J65" s="24" t="s">
        <v>39</v>
      </c>
      <c r="K65" s="24" t="s">
        <v>40</v>
      </c>
      <c r="L65" s="104"/>
      <c r="M65" s="14">
        <v>0</v>
      </c>
      <c r="N65" s="15">
        <f t="shared" si="0"/>
        <v>0</v>
      </c>
      <c r="O65" s="104"/>
      <c r="P65" s="16"/>
      <c r="Q65" s="17">
        <f t="shared" si="1"/>
        <v>0</v>
      </c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</row>
    <row r="66" spans="1:32" ht="47.25" customHeight="1" x14ac:dyDescent="0.25">
      <c r="A66" s="104"/>
      <c r="B66" s="82"/>
      <c r="C66" s="82"/>
      <c r="D66" s="82"/>
      <c r="E66" s="82"/>
      <c r="F66" s="23" t="s">
        <v>515</v>
      </c>
      <c r="G66" s="24" t="s">
        <v>516</v>
      </c>
      <c r="H66" s="24">
        <v>0</v>
      </c>
      <c r="I66" s="25">
        <v>0.25</v>
      </c>
      <c r="J66" s="24" t="s">
        <v>39</v>
      </c>
      <c r="K66" s="24" t="s">
        <v>40</v>
      </c>
      <c r="L66" s="82"/>
      <c r="M66" s="14">
        <v>0</v>
      </c>
      <c r="N66" s="15">
        <f t="shared" si="0"/>
        <v>0</v>
      </c>
      <c r="O66" s="82"/>
      <c r="P66" s="16"/>
      <c r="Q66" s="17">
        <f t="shared" si="1"/>
        <v>0</v>
      </c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</row>
    <row r="67" spans="1:32" ht="47.25" customHeight="1" x14ac:dyDescent="0.25">
      <c r="A67" s="104"/>
      <c r="B67" s="113" t="s">
        <v>517</v>
      </c>
      <c r="C67" s="81" t="s">
        <v>518</v>
      </c>
      <c r="D67" s="81" t="s">
        <v>519</v>
      </c>
      <c r="E67" s="85">
        <v>1235322925</v>
      </c>
      <c r="F67" s="23" t="s">
        <v>520</v>
      </c>
      <c r="G67" s="24" t="s">
        <v>521</v>
      </c>
      <c r="H67" s="24">
        <v>0</v>
      </c>
      <c r="I67" s="25">
        <v>52</v>
      </c>
      <c r="J67" s="24" t="s">
        <v>39</v>
      </c>
      <c r="K67" s="24" t="s">
        <v>40</v>
      </c>
      <c r="L67" s="126" t="s">
        <v>489</v>
      </c>
      <c r="M67" s="14">
        <v>0</v>
      </c>
      <c r="N67" s="15">
        <f t="shared" si="0"/>
        <v>0</v>
      </c>
      <c r="O67" s="83">
        <f>AVERAGE(N67:N71)</f>
        <v>0</v>
      </c>
      <c r="P67" s="16"/>
      <c r="Q67" s="17">
        <f t="shared" si="1"/>
        <v>0</v>
      </c>
      <c r="R67" s="102"/>
      <c r="S67" s="81"/>
      <c r="T67" s="81" t="s">
        <v>522</v>
      </c>
      <c r="U67" s="81">
        <v>410400800</v>
      </c>
      <c r="V67" s="81" t="s">
        <v>523</v>
      </c>
      <c r="W67" s="81" t="s">
        <v>39</v>
      </c>
      <c r="X67" s="81" t="s">
        <v>40</v>
      </c>
      <c r="Y67" s="81">
        <v>0</v>
      </c>
      <c r="Z67" s="81">
        <v>1600</v>
      </c>
      <c r="AA67" s="81">
        <v>400</v>
      </c>
      <c r="AB67" s="122">
        <v>0</v>
      </c>
      <c r="AC67" s="83">
        <f>IF((AB67/Z67)&gt;1,1,AB67/Z67)</f>
        <v>0</v>
      </c>
      <c r="AD67" s="85">
        <f>+E67</f>
        <v>1235322925</v>
      </c>
      <c r="AE67" s="102">
        <f>SUM(Q67:Q71)</f>
        <v>0</v>
      </c>
      <c r="AF67" s="83">
        <f>IF((AE67/AD67)&gt;1,1,AE67/AD67)</f>
        <v>0</v>
      </c>
    </row>
    <row r="68" spans="1:32" ht="47.25" customHeight="1" x14ac:dyDescent="0.25">
      <c r="A68" s="104"/>
      <c r="B68" s="104"/>
      <c r="C68" s="104"/>
      <c r="D68" s="104"/>
      <c r="E68" s="104"/>
      <c r="F68" s="23" t="s">
        <v>524</v>
      </c>
      <c r="G68" s="24" t="s">
        <v>525</v>
      </c>
      <c r="H68" s="24">
        <v>0</v>
      </c>
      <c r="I68" s="25">
        <v>14</v>
      </c>
      <c r="J68" s="24" t="s">
        <v>39</v>
      </c>
      <c r="K68" s="24" t="s">
        <v>40</v>
      </c>
      <c r="L68" s="104"/>
      <c r="M68" s="14">
        <v>0</v>
      </c>
      <c r="N68" s="15">
        <f t="shared" si="0"/>
        <v>0</v>
      </c>
      <c r="O68" s="104"/>
      <c r="P68" s="16"/>
      <c r="Q68" s="17">
        <f t="shared" si="1"/>
        <v>0</v>
      </c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</row>
    <row r="69" spans="1:32" ht="47.25" customHeight="1" x14ac:dyDescent="0.25">
      <c r="A69" s="104"/>
      <c r="B69" s="104"/>
      <c r="C69" s="104"/>
      <c r="D69" s="104"/>
      <c r="E69" s="104"/>
      <c r="F69" s="23" t="s">
        <v>526</v>
      </c>
      <c r="G69" s="24" t="s">
        <v>525</v>
      </c>
      <c r="H69" s="24">
        <v>0</v>
      </c>
      <c r="I69" s="25">
        <v>319</v>
      </c>
      <c r="J69" s="24" t="s">
        <v>39</v>
      </c>
      <c r="K69" s="24" t="s">
        <v>40</v>
      </c>
      <c r="L69" s="104"/>
      <c r="M69" s="14">
        <v>0</v>
      </c>
      <c r="N69" s="15">
        <f t="shared" si="0"/>
        <v>0</v>
      </c>
      <c r="O69" s="104"/>
      <c r="P69" s="16"/>
      <c r="Q69" s="17">
        <f t="shared" si="1"/>
        <v>0</v>
      </c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</row>
    <row r="70" spans="1:32" ht="47.25" customHeight="1" x14ac:dyDescent="0.25">
      <c r="A70" s="104"/>
      <c r="B70" s="104"/>
      <c r="C70" s="104"/>
      <c r="D70" s="104"/>
      <c r="E70" s="104"/>
      <c r="F70" s="23" t="s">
        <v>527</v>
      </c>
      <c r="G70" s="24" t="s">
        <v>528</v>
      </c>
      <c r="H70" s="24">
        <v>0</v>
      </c>
      <c r="I70" s="25">
        <v>1</v>
      </c>
      <c r="J70" s="24" t="s">
        <v>39</v>
      </c>
      <c r="K70" s="24" t="s">
        <v>40</v>
      </c>
      <c r="L70" s="104"/>
      <c r="M70" s="14">
        <v>0</v>
      </c>
      <c r="N70" s="15">
        <f t="shared" si="0"/>
        <v>0</v>
      </c>
      <c r="O70" s="104"/>
      <c r="P70" s="16"/>
      <c r="Q70" s="17">
        <f t="shared" si="1"/>
        <v>0</v>
      </c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</row>
    <row r="71" spans="1:32" ht="47.25" customHeight="1" x14ac:dyDescent="0.25">
      <c r="A71" s="104"/>
      <c r="B71" s="82"/>
      <c r="C71" s="82"/>
      <c r="D71" s="82"/>
      <c r="E71" s="82"/>
      <c r="F71" s="55" t="s">
        <v>529</v>
      </c>
      <c r="G71" s="24" t="s">
        <v>525</v>
      </c>
      <c r="H71" s="24">
        <v>0</v>
      </c>
      <c r="I71" s="25">
        <v>15</v>
      </c>
      <c r="J71" s="24" t="s">
        <v>39</v>
      </c>
      <c r="K71" s="24" t="s">
        <v>40</v>
      </c>
      <c r="L71" s="82"/>
      <c r="M71" s="14">
        <v>0</v>
      </c>
      <c r="N71" s="15">
        <f t="shared" si="0"/>
        <v>0</v>
      </c>
      <c r="O71" s="82"/>
      <c r="P71" s="16"/>
      <c r="Q71" s="17">
        <f t="shared" si="1"/>
        <v>0</v>
      </c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</row>
    <row r="72" spans="1:32" ht="47.25" customHeight="1" x14ac:dyDescent="0.25">
      <c r="A72" s="104"/>
      <c r="B72" s="113" t="s">
        <v>530</v>
      </c>
      <c r="C72" s="81" t="s">
        <v>531</v>
      </c>
      <c r="D72" s="81" t="s">
        <v>532</v>
      </c>
      <c r="E72" s="85">
        <v>275000000</v>
      </c>
      <c r="F72" s="23" t="s">
        <v>533</v>
      </c>
      <c r="G72" s="24" t="s">
        <v>534</v>
      </c>
      <c r="H72" s="24">
        <v>0</v>
      </c>
      <c r="I72" s="25">
        <v>10</v>
      </c>
      <c r="J72" s="24" t="s">
        <v>39</v>
      </c>
      <c r="K72" s="24" t="s">
        <v>40</v>
      </c>
      <c r="L72" s="126" t="s">
        <v>489</v>
      </c>
      <c r="M72" s="14">
        <v>0</v>
      </c>
      <c r="N72" s="15">
        <f t="shared" si="0"/>
        <v>0</v>
      </c>
      <c r="O72" s="83">
        <f>AVERAGE(N72:N74)</f>
        <v>0</v>
      </c>
      <c r="P72" s="16"/>
      <c r="Q72" s="17">
        <f t="shared" si="1"/>
        <v>0</v>
      </c>
      <c r="R72" s="102"/>
      <c r="S72" s="81"/>
      <c r="T72" s="81" t="s">
        <v>535</v>
      </c>
      <c r="U72" s="81">
        <v>410402000</v>
      </c>
      <c r="V72" s="81" t="s">
        <v>536</v>
      </c>
      <c r="W72" s="81" t="s">
        <v>39</v>
      </c>
      <c r="X72" s="81" t="s">
        <v>40</v>
      </c>
      <c r="Y72" s="81">
        <v>0</v>
      </c>
      <c r="Z72" s="81">
        <v>120</v>
      </c>
      <c r="AA72" s="81">
        <v>30</v>
      </c>
      <c r="AB72" s="122">
        <v>0</v>
      </c>
      <c r="AC72" s="83">
        <f>IF((AB72/Z72)&gt;1,1,AB72/Z72)</f>
        <v>0</v>
      </c>
      <c r="AD72" s="85">
        <f>+E72</f>
        <v>275000000</v>
      </c>
      <c r="AE72" s="102">
        <f>SUM(Q72:Q74)</f>
        <v>0</v>
      </c>
      <c r="AF72" s="83">
        <f>IF((AE72/AD72)&gt;1,1,AE72/AD72)</f>
        <v>0</v>
      </c>
    </row>
    <row r="73" spans="1:32" ht="47.25" customHeight="1" x14ac:dyDescent="0.25">
      <c r="A73" s="104"/>
      <c r="B73" s="104"/>
      <c r="C73" s="104"/>
      <c r="D73" s="104"/>
      <c r="E73" s="104"/>
      <c r="F73" s="23" t="s">
        <v>537</v>
      </c>
      <c r="G73" s="24" t="s">
        <v>536</v>
      </c>
      <c r="H73" s="24">
        <v>0</v>
      </c>
      <c r="I73" s="25">
        <v>8</v>
      </c>
      <c r="J73" s="24" t="s">
        <v>39</v>
      </c>
      <c r="K73" s="24" t="s">
        <v>422</v>
      </c>
      <c r="L73" s="104"/>
      <c r="M73" s="14">
        <v>0</v>
      </c>
      <c r="N73" s="15">
        <f t="shared" si="0"/>
        <v>0</v>
      </c>
      <c r="O73" s="104"/>
      <c r="P73" s="16"/>
      <c r="Q73" s="17">
        <f t="shared" si="1"/>
        <v>0</v>
      </c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</row>
    <row r="74" spans="1:32" ht="47.25" customHeight="1" x14ac:dyDescent="0.25">
      <c r="A74" s="104"/>
      <c r="B74" s="82"/>
      <c r="C74" s="82"/>
      <c r="D74" s="82"/>
      <c r="E74" s="82"/>
      <c r="F74" s="23" t="s">
        <v>538</v>
      </c>
      <c r="G74" s="24" t="s">
        <v>536</v>
      </c>
      <c r="H74" s="24">
        <v>0</v>
      </c>
      <c r="I74" s="25">
        <v>12</v>
      </c>
      <c r="J74" s="24" t="s">
        <v>39</v>
      </c>
      <c r="K74" s="24" t="s">
        <v>40</v>
      </c>
      <c r="L74" s="82"/>
      <c r="M74" s="14">
        <v>0</v>
      </c>
      <c r="N74" s="15">
        <f t="shared" si="0"/>
        <v>0</v>
      </c>
      <c r="O74" s="90"/>
      <c r="P74" s="16"/>
      <c r="Q74" s="17">
        <f t="shared" si="1"/>
        <v>0</v>
      </c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90"/>
    </row>
    <row r="75" spans="1:32" ht="47.25" customHeight="1" x14ac:dyDescent="0.25">
      <c r="A75" s="104"/>
      <c r="B75" s="113" t="s">
        <v>539</v>
      </c>
      <c r="C75" s="81" t="s">
        <v>540</v>
      </c>
      <c r="D75" s="81" t="s">
        <v>541</v>
      </c>
      <c r="E75" s="85">
        <v>150000000</v>
      </c>
      <c r="F75" s="23" t="s">
        <v>542</v>
      </c>
      <c r="G75" s="24" t="s">
        <v>543</v>
      </c>
      <c r="H75" s="24">
        <v>0</v>
      </c>
      <c r="I75" s="25">
        <v>12</v>
      </c>
      <c r="J75" s="24" t="s">
        <v>39</v>
      </c>
      <c r="K75" s="24" t="s">
        <v>40</v>
      </c>
      <c r="L75" s="126" t="s">
        <v>489</v>
      </c>
      <c r="M75" s="14">
        <v>0</v>
      </c>
      <c r="N75" s="15">
        <f t="shared" si="0"/>
        <v>0</v>
      </c>
      <c r="O75" s="83">
        <f>AVERAGE(N75:N77)</f>
        <v>0</v>
      </c>
      <c r="P75" s="16"/>
      <c r="Q75" s="17">
        <f t="shared" si="1"/>
        <v>0</v>
      </c>
      <c r="R75" s="102"/>
      <c r="S75" s="81"/>
      <c r="T75" s="81" t="s">
        <v>544</v>
      </c>
      <c r="U75" s="81">
        <v>410103802</v>
      </c>
      <c r="V75" s="81" t="s">
        <v>545</v>
      </c>
      <c r="W75" s="81" t="s">
        <v>39</v>
      </c>
      <c r="X75" s="81" t="s">
        <v>40</v>
      </c>
      <c r="Y75" s="81">
        <v>0</v>
      </c>
      <c r="Z75" s="81">
        <v>400</v>
      </c>
      <c r="AA75" s="81">
        <v>100</v>
      </c>
      <c r="AB75" s="122">
        <v>0</v>
      </c>
      <c r="AC75" s="83">
        <f>IF((AB75/Z75)&gt;1,1,AB75/Z75)</f>
        <v>0</v>
      </c>
      <c r="AD75" s="85">
        <f>+E75</f>
        <v>150000000</v>
      </c>
      <c r="AE75" s="102">
        <f>SUM(Q75:Q77)</f>
        <v>0</v>
      </c>
      <c r="AF75" s="83">
        <f>IF((AE75/AD75)&gt;1,1,AE75/AD75)</f>
        <v>0</v>
      </c>
    </row>
    <row r="76" spans="1:32" ht="47.25" customHeight="1" x14ac:dyDescent="0.25">
      <c r="A76" s="104"/>
      <c r="B76" s="104"/>
      <c r="C76" s="104"/>
      <c r="D76" s="104"/>
      <c r="E76" s="104"/>
      <c r="F76" s="23" t="s">
        <v>546</v>
      </c>
      <c r="G76" s="24" t="s">
        <v>547</v>
      </c>
      <c r="H76" s="24">
        <v>0</v>
      </c>
      <c r="I76" s="25">
        <v>38</v>
      </c>
      <c r="J76" s="24" t="s">
        <v>39</v>
      </c>
      <c r="K76" s="24" t="s">
        <v>40</v>
      </c>
      <c r="L76" s="104"/>
      <c r="M76" s="14">
        <v>0</v>
      </c>
      <c r="N76" s="15">
        <f t="shared" si="0"/>
        <v>0</v>
      </c>
      <c r="O76" s="104"/>
      <c r="P76" s="16"/>
      <c r="Q76" s="17">
        <f t="shared" si="1"/>
        <v>0</v>
      </c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</row>
    <row r="77" spans="1:32" ht="47.25" customHeight="1" x14ac:dyDescent="0.25">
      <c r="A77" s="104"/>
      <c r="B77" s="82"/>
      <c r="C77" s="82"/>
      <c r="D77" s="82"/>
      <c r="E77" s="82"/>
      <c r="F77" s="23" t="s">
        <v>548</v>
      </c>
      <c r="G77" s="24" t="s">
        <v>549</v>
      </c>
      <c r="H77" s="24">
        <v>0</v>
      </c>
      <c r="I77" s="25">
        <v>50</v>
      </c>
      <c r="J77" s="24" t="s">
        <v>39</v>
      </c>
      <c r="K77" s="24" t="s">
        <v>40</v>
      </c>
      <c r="L77" s="82"/>
      <c r="M77" s="14">
        <v>0</v>
      </c>
      <c r="N77" s="15">
        <f t="shared" si="0"/>
        <v>0</v>
      </c>
      <c r="O77" s="90"/>
      <c r="P77" s="16"/>
      <c r="Q77" s="17">
        <f t="shared" si="1"/>
        <v>0</v>
      </c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90"/>
    </row>
    <row r="78" spans="1:32" ht="47.25" customHeight="1" x14ac:dyDescent="0.25">
      <c r="A78" s="104"/>
      <c r="B78" s="113" t="s">
        <v>550</v>
      </c>
      <c r="C78" s="81" t="s">
        <v>551</v>
      </c>
      <c r="D78" s="81" t="s">
        <v>552</v>
      </c>
      <c r="E78" s="85">
        <v>50000000</v>
      </c>
      <c r="F78" s="11" t="s">
        <v>553</v>
      </c>
      <c r="G78" s="12" t="s">
        <v>554</v>
      </c>
      <c r="H78" s="12">
        <v>0</v>
      </c>
      <c r="I78" s="13">
        <v>250</v>
      </c>
      <c r="J78" s="12" t="s">
        <v>39</v>
      </c>
      <c r="K78" s="12" t="s">
        <v>40</v>
      </c>
      <c r="L78" s="81" t="s">
        <v>489</v>
      </c>
      <c r="M78" s="14">
        <v>0</v>
      </c>
      <c r="N78" s="15">
        <f t="shared" si="0"/>
        <v>0</v>
      </c>
      <c r="O78" s="83">
        <f>AVERAGE(N78:N80)</f>
        <v>0</v>
      </c>
      <c r="P78" s="16"/>
      <c r="Q78" s="17">
        <f t="shared" si="1"/>
        <v>0</v>
      </c>
      <c r="R78" s="102"/>
      <c r="S78" s="81"/>
      <c r="T78" s="81" t="s">
        <v>555</v>
      </c>
      <c r="U78" s="81">
        <v>450203800</v>
      </c>
      <c r="V78" s="81" t="s">
        <v>556</v>
      </c>
      <c r="W78" s="81" t="s">
        <v>39</v>
      </c>
      <c r="X78" s="81" t="s">
        <v>40</v>
      </c>
      <c r="Y78" s="81">
        <v>0</v>
      </c>
      <c r="Z78" s="81">
        <v>6000</v>
      </c>
      <c r="AA78" s="81">
        <v>1500</v>
      </c>
      <c r="AB78" s="122">
        <v>0</v>
      </c>
      <c r="AC78" s="83">
        <f>IF((AB78/Z78)&gt;1,1,AB78/Z78)</f>
        <v>0</v>
      </c>
      <c r="AD78" s="85">
        <f>+E78</f>
        <v>50000000</v>
      </c>
      <c r="AE78" s="102">
        <f>SUM(Q78:Q80)</f>
        <v>0</v>
      </c>
      <c r="AF78" s="83">
        <f>IF((AE78/AD78)&gt;1,1,AE78/AD78)</f>
        <v>0</v>
      </c>
    </row>
    <row r="79" spans="1:32" ht="47.25" customHeight="1" x14ac:dyDescent="0.25">
      <c r="A79" s="104"/>
      <c r="B79" s="104"/>
      <c r="C79" s="104"/>
      <c r="D79" s="104"/>
      <c r="E79" s="104"/>
      <c r="F79" s="11" t="s">
        <v>557</v>
      </c>
      <c r="G79" s="12" t="s">
        <v>554</v>
      </c>
      <c r="H79" s="12">
        <v>0</v>
      </c>
      <c r="I79" s="13">
        <v>950</v>
      </c>
      <c r="J79" s="12" t="s">
        <v>39</v>
      </c>
      <c r="K79" s="12" t="s">
        <v>40</v>
      </c>
      <c r="L79" s="104"/>
      <c r="M79" s="14">
        <v>0</v>
      </c>
      <c r="N79" s="15">
        <f t="shared" si="0"/>
        <v>0</v>
      </c>
      <c r="O79" s="104"/>
      <c r="P79" s="16"/>
      <c r="Q79" s="17">
        <f t="shared" si="1"/>
        <v>0</v>
      </c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  <c r="AF79" s="104"/>
    </row>
    <row r="80" spans="1:32" ht="47.25" customHeight="1" x14ac:dyDescent="0.25">
      <c r="A80" s="104"/>
      <c r="B80" s="82"/>
      <c r="C80" s="82"/>
      <c r="D80" s="82"/>
      <c r="E80" s="82"/>
      <c r="F80" s="11" t="s">
        <v>558</v>
      </c>
      <c r="G80" s="12" t="s">
        <v>554</v>
      </c>
      <c r="H80" s="12">
        <v>0</v>
      </c>
      <c r="I80" s="13">
        <v>300</v>
      </c>
      <c r="J80" s="12" t="s">
        <v>39</v>
      </c>
      <c r="K80" s="12" t="s">
        <v>40</v>
      </c>
      <c r="L80" s="82"/>
      <c r="M80" s="14">
        <v>0</v>
      </c>
      <c r="N80" s="15">
        <f t="shared" si="0"/>
        <v>0</v>
      </c>
      <c r="O80" s="90"/>
      <c r="P80" s="16"/>
      <c r="Q80" s="17">
        <f t="shared" si="1"/>
        <v>0</v>
      </c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90"/>
    </row>
    <row r="81" spans="1:32" ht="47.25" customHeight="1" x14ac:dyDescent="0.25">
      <c r="A81" s="104"/>
      <c r="B81" s="113" t="s">
        <v>559</v>
      </c>
      <c r="C81" s="81" t="s">
        <v>560</v>
      </c>
      <c r="D81" s="81" t="s">
        <v>561</v>
      </c>
      <c r="E81" s="102">
        <v>175000000</v>
      </c>
      <c r="F81" s="11" t="s">
        <v>562</v>
      </c>
      <c r="G81" s="12" t="s">
        <v>563</v>
      </c>
      <c r="H81" s="12">
        <v>0</v>
      </c>
      <c r="I81" s="13">
        <v>1</v>
      </c>
      <c r="J81" s="12" t="s">
        <v>39</v>
      </c>
      <c r="K81" s="12" t="s">
        <v>40</v>
      </c>
      <c r="L81" s="12" t="s">
        <v>564</v>
      </c>
      <c r="M81" s="14">
        <v>0</v>
      </c>
      <c r="N81" s="15">
        <f t="shared" si="0"/>
        <v>0</v>
      </c>
      <c r="O81" s="83">
        <f>AVERAGE(N81:N82)</f>
        <v>0</v>
      </c>
      <c r="P81" s="16"/>
      <c r="Q81" s="17">
        <f t="shared" si="1"/>
        <v>0</v>
      </c>
      <c r="R81" s="102"/>
      <c r="S81" s="81"/>
      <c r="T81" s="81" t="s">
        <v>565</v>
      </c>
      <c r="U81" s="81">
        <v>450203800</v>
      </c>
      <c r="V81" s="81" t="s">
        <v>563</v>
      </c>
      <c r="W81" s="81" t="s">
        <v>39</v>
      </c>
      <c r="X81" s="81" t="s">
        <v>40</v>
      </c>
      <c r="Y81" s="81">
        <v>0</v>
      </c>
      <c r="Z81" s="81">
        <v>1</v>
      </c>
      <c r="AA81" s="81">
        <v>0</v>
      </c>
      <c r="AB81" s="122">
        <v>0</v>
      </c>
      <c r="AC81" s="83">
        <f>IF((AB81/Z81)&gt;1,1,AB81/Z81)</f>
        <v>0</v>
      </c>
      <c r="AD81" s="102">
        <f>+E81</f>
        <v>175000000</v>
      </c>
      <c r="AE81" s="102">
        <f>SUM(Q81:Q82)</f>
        <v>0</v>
      </c>
      <c r="AF81" s="83">
        <f>IF((AE81/AD81)&gt;1,1,AE81/AD81)</f>
        <v>0</v>
      </c>
    </row>
    <row r="82" spans="1:32" ht="47.25" customHeight="1" x14ac:dyDescent="0.25">
      <c r="A82" s="104"/>
      <c r="B82" s="82"/>
      <c r="C82" s="82"/>
      <c r="D82" s="82"/>
      <c r="E82" s="82"/>
      <c r="F82" s="11" t="s">
        <v>566</v>
      </c>
      <c r="G82" s="12" t="s">
        <v>567</v>
      </c>
      <c r="H82" s="12">
        <v>0</v>
      </c>
      <c r="I82" s="13">
        <v>1</v>
      </c>
      <c r="J82" s="12" t="s">
        <v>39</v>
      </c>
      <c r="K82" s="12" t="s">
        <v>40</v>
      </c>
      <c r="L82" s="12" t="s">
        <v>489</v>
      </c>
      <c r="M82" s="14">
        <v>0</v>
      </c>
      <c r="N82" s="15">
        <f t="shared" si="0"/>
        <v>0</v>
      </c>
      <c r="O82" s="82"/>
      <c r="P82" s="16"/>
      <c r="Q82" s="17">
        <f t="shared" si="1"/>
        <v>0</v>
      </c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90"/>
      <c r="AD82" s="82"/>
      <c r="AE82" s="82"/>
      <c r="AF82" s="90"/>
    </row>
    <row r="83" spans="1:32" ht="47.25" customHeight="1" x14ac:dyDescent="0.25">
      <c r="A83" s="104"/>
      <c r="B83" s="113" t="s">
        <v>568</v>
      </c>
      <c r="C83" s="81" t="s">
        <v>569</v>
      </c>
      <c r="D83" s="81" t="s">
        <v>570</v>
      </c>
      <c r="E83" s="85">
        <v>13951076</v>
      </c>
      <c r="F83" s="11" t="s">
        <v>571</v>
      </c>
      <c r="G83" s="12" t="s">
        <v>572</v>
      </c>
      <c r="H83" s="12">
        <v>0</v>
      </c>
      <c r="I83" s="21">
        <v>0.3</v>
      </c>
      <c r="J83" s="12" t="s">
        <v>39</v>
      </c>
      <c r="K83" s="12" t="s">
        <v>40</v>
      </c>
      <c r="L83" s="81" t="s">
        <v>489</v>
      </c>
      <c r="M83" s="14">
        <v>0</v>
      </c>
      <c r="N83" s="15">
        <f t="shared" si="0"/>
        <v>0</v>
      </c>
      <c r="O83" s="83">
        <f>AVERAGE(N83:N84)</f>
        <v>0</v>
      </c>
      <c r="P83" s="16"/>
      <c r="Q83" s="17">
        <f t="shared" si="1"/>
        <v>0</v>
      </c>
      <c r="R83" s="102"/>
      <c r="S83" s="81"/>
      <c r="T83" s="81" t="s">
        <v>573</v>
      </c>
      <c r="U83" s="81">
        <v>450203800</v>
      </c>
      <c r="V83" s="81" t="s">
        <v>556</v>
      </c>
      <c r="W83" s="81" t="s">
        <v>39</v>
      </c>
      <c r="X83" s="81" t="s">
        <v>40</v>
      </c>
      <c r="Y83" s="81">
        <v>0</v>
      </c>
      <c r="Z83" s="81">
        <v>1</v>
      </c>
      <c r="AA83" s="81">
        <v>0.3</v>
      </c>
      <c r="AB83" s="122">
        <v>0</v>
      </c>
      <c r="AC83" s="83">
        <f>IF((AB83/Z83)&gt;1,1,AB83/Z83)</f>
        <v>0</v>
      </c>
      <c r="AD83" s="85">
        <f>+E83</f>
        <v>13951076</v>
      </c>
      <c r="AE83" s="102">
        <f>SUM(Q83:Q84)</f>
        <v>0</v>
      </c>
      <c r="AF83" s="83">
        <f>IF((AE83/AD83)&gt;1,1,AE83/AD83)</f>
        <v>0</v>
      </c>
    </row>
    <row r="84" spans="1:32" ht="47.25" customHeight="1" x14ac:dyDescent="0.25">
      <c r="A84" s="104"/>
      <c r="B84" s="82"/>
      <c r="C84" s="82"/>
      <c r="D84" s="82"/>
      <c r="E84" s="82"/>
      <c r="F84" s="11" t="s">
        <v>574</v>
      </c>
      <c r="G84" s="12" t="s">
        <v>575</v>
      </c>
      <c r="H84" s="12">
        <v>0</v>
      </c>
      <c r="I84" s="13">
        <v>1</v>
      </c>
      <c r="J84" s="12" t="s">
        <v>39</v>
      </c>
      <c r="K84" s="12" t="s">
        <v>40</v>
      </c>
      <c r="L84" s="82"/>
      <c r="M84" s="14">
        <v>0</v>
      </c>
      <c r="N84" s="15">
        <f t="shared" si="0"/>
        <v>0</v>
      </c>
      <c r="O84" s="82"/>
      <c r="P84" s="16"/>
      <c r="Q84" s="17">
        <f t="shared" si="1"/>
        <v>0</v>
      </c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90"/>
      <c r="AD84" s="82"/>
      <c r="AE84" s="82"/>
      <c r="AF84" s="90"/>
    </row>
    <row r="85" spans="1:32" ht="47.25" customHeight="1" x14ac:dyDescent="0.25">
      <c r="A85" s="104"/>
      <c r="B85" s="113" t="s">
        <v>576</v>
      </c>
      <c r="C85" s="81" t="s">
        <v>577</v>
      </c>
      <c r="D85" s="81" t="s">
        <v>578</v>
      </c>
      <c r="E85" s="85">
        <v>68951076</v>
      </c>
      <c r="F85" s="11" t="s">
        <v>579</v>
      </c>
      <c r="G85" s="12" t="s">
        <v>580</v>
      </c>
      <c r="H85" s="12">
        <v>0</v>
      </c>
      <c r="I85" s="13">
        <v>5</v>
      </c>
      <c r="J85" s="12" t="s">
        <v>39</v>
      </c>
      <c r="K85" s="12" t="s">
        <v>40</v>
      </c>
      <c r="L85" s="81" t="s">
        <v>489</v>
      </c>
      <c r="M85" s="14">
        <v>0</v>
      </c>
      <c r="N85" s="15">
        <f t="shared" si="0"/>
        <v>0</v>
      </c>
      <c r="O85" s="83">
        <f>AVERAGE(N85:N86)</f>
        <v>0</v>
      </c>
      <c r="P85" s="16"/>
      <c r="Q85" s="17">
        <f t="shared" si="1"/>
        <v>0</v>
      </c>
      <c r="R85" s="102"/>
      <c r="S85" s="81"/>
      <c r="T85" s="81" t="s">
        <v>581</v>
      </c>
      <c r="U85" s="81">
        <v>450202201</v>
      </c>
      <c r="V85" s="81" t="s">
        <v>582</v>
      </c>
      <c r="W85" s="81" t="s">
        <v>39</v>
      </c>
      <c r="X85" s="81" t="s">
        <v>40</v>
      </c>
      <c r="Y85" s="81">
        <v>0</v>
      </c>
      <c r="Z85" s="81">
        <v>44</v>
      </c>
      <c r="AA85" s="81">
        <v>11</v>
      </c>
      <c r="AB85" s="122">
        <v>0</v>
      </c>
      <c r="AC85" s="83">
        <f>IF((AB85/Z85)&gt;1,1,AB85/Z85)</f>
        <v>0</v>
      </c>
      <c r="AD85" s="85">
        <f>+E85</f>
        <v>68951076</v>
      </c>
      <c r="AE85" s="102">
        <f>SUM(Q85:Q86)</f>
        <v>0</v>
      </c>
      <c r="AF85" s="83">
        <f>IF((AE85/AD85)&gt;1,1,AE85/AD85)</f>
        <v>0</v>
      </c>
    </row>
    <row r="86" spans="1:32" ht="47.25" customHeight="1" x14ac:dyDescent="0.25">
      <c r="A86" s="104"/>
      <c r="B86" s="82"/>
      <c r="C86" s="82"/>
      <c r="D86" s="82"/>
      <c r="E86" s="82"/>
      <c r="F86" s="11" t="s">
        <v>583</v>
      </c>
      <c r="G86" s="12" t="s">
        <v>580</v>
      </c>
      <c r="H86" s="12">
        <v>0</v>
      </c>
      <c r="I86" s="13">
        <v>6</v>
      </c>
      <c r="J86" s="12" t="s">
        <v>39</v>
      </c>
      <c r="K86" s="12" t="s">
        <v>40</v>
      </c>
      <c r="L86" s="82"/>
      <c r="M86" s="14">
        <v>0</v>
      </c>
      <c r="N86" s="15">
        <f t="shared" si="0"/>
        <v>0</v>
      </c>
      <c r="O86" s="82"/>
      <c r="P86" s="16"/>
      <c r="Q86" s="17">
        <f t="shared" si="1"/>
        <v>0</v>
      </c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90"/>
      <c r="AD86" s="82"/>
      <c r="AE86" s="82"/>
      <c r="AF86" s="82"/>
    </row>
    <row r="87" spans="1:32" ht="47.25" customHeight="1" x14ac:dyDescent="0.25">
      <c r="A87" s="104"/>
      <c r="B87" s="113" t="s">
        <v>584</v>
      </c>
      <c r="C87" s="81" t="s">
        <v>585</v>
      </c>
      <c r="D87" s="81" t="s">
        <v>586</v>
      </c>
      <c r="E87" s="102">
        <v>50000000</v>
      </c>
      <c r="F87" s="11" t="s">
        <v>587</v>
      </c>
      <c r="G87" s="12" t="s">
        <v>563</v>
      </c>
      <c r="H87" s="12">
        <v>0</v>
      </c>
      <c r="I87" s="13">
        <v>1</v>
      </c>
      <c r="J87" s="12" t="s">
        <v>39</v>
      </c>
      <c r="K87" s="12" t="s">
        <v>40</v>
      </c>
      <c r="L87" s="81" t="s">
        <v>489</v>
      </c>
      <c r="M87" s="14">
        <v>0</v>
      </c>
      <c r="N87" s="15">
        <f t="shared" si="0"/>
        <v>0</v>
      </c>
      <c r="O87" s="83">
        <f>AVERAGE(N87:N88)</f>
        <v>0</v>
      </c>
      <c r="P87" s="16"/>
      <c r="Q87" s="17">
        <f t="shared" si="1"/>
        <v>0</v>
      </c>
      <c r="R87" s="102"/>
      <c r="S87" s="81"/>
      <c r="T87" s="81" t="s">
        <v>588</v>
      </c>
      <c r="U87" s="81">
        <v>450202402</v>
      </c>
      <c r="V87" s="81" t="s">
        <v>563</v>
      </c>
      <c r="W87" s="81" t="s">
        <v>39</v>
      </c>
      <c r="X87" s="81" t="s">
        <v>40</v>
      </c>
      <c r="Y87" s="81">
        <v>0</v>
      </c>
      <c r="Z87" s="81">
        <v>1</v>
      </c>
      <c r="AA87" s="81">
        <v>0.25</v>
      </c>
      <c r="AB87" s="122">
        <v>0</v>
      </c>
      <c r="AC87" s="83">
        <f>IF((AB87/Z87)&gt;1,1,AB87/Z87)</f>
        <v>0</v>
      </c>
      <c r="AD87" s="102">
        <f>+E87</f>
        <v>50000000</v>
      </c>
      <c r="AE87" s="102">
        <f>SUM(Q87:Q88)</f>
        <v>0</v>
      </c>
      <c r="AF87" s="83">
        <f>IF((AE87/AD87)&gt;1,1,AE87/AD87)</f>
        <v>0</v>
      </c>
    </row>
    <row r="88" spans="1:32" ht="47.25" customHeight="1" x14ac:dyDescent="0.25">
      <c r="A88" s="82"/>
      <c r="B88" s="82"/>
      <c r="C88" s="82"/>
      <c r="D88" s="82"/>
      <c r="E88" s="82"/>
      <c r="F88" s="11" t="s">
        <v>589</v>
      </c>
      <c r="G88" s="12" t="s">
        <v>590</v>
      </c>
      <c r="H88" s="12">
        <v>0</v>
      </c>
      <c r="I88" s="13">
        <v>1</v>
      </c>
      <c r="J88" s="12" t="s">
        <v>39</v>
      </c>
      <c r="K88" s="12" t="s">
        <v>40</v>
      </c>
      <c r="L88" s="82"/>
      <c r="M88" s="14">
        <v>0</v>
      </c>
      <c r="N88" s="15">
        <f t="shared" si="0"/>
        <v>0</v>
      </c>
      <c r="O88" s="82"/>
      <c r="P88" s="16"/>
      <c r="Q88" s="17">
        <f t="shared" si="1"/>
        <v>0</v>
      </c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90"/>
      <c r="AD88" s="82"/>
      <c r="AE88" s="82"/>
      <c r="AF88" s="82"/>
    </row>
    <row r="89" spans="1:32" ht="58.5" customHeight="1" x14ac:dyDescent="0.25">
      <c r="A89" s="56"/>
      <c r="B89" s="56"/>
      <c r="C89" s="56"/>
      <c r="D89" s="56"/>
      <c r="E89" s="57"/>
      <c r="F89" s="58"/>
      <c r="G89" s="56"/>
      <c r="H89" s="56"/>
      <c r="I89" s="59"/>
      <c r="J89" s="56"/>
      <c r="K89" s="56"/>
      <c r="L89" s="56"/>
      <c r="M89" s="60" t="s">
        <v>282</v>
      </c>
      <c r="N89" s="39">
        <f t="shared" ref="N89:O89" si="2">AVERAGE(N4:N88)</f>
        <v>0</v>
      </c>
      <c r="O89" s="39">
        <f t="shared" si="2"/>
        <v>0</v>
      </c>
      <c r="P89" s="60" t="s">
        <v>282</v>
      </c>
      <c r="Q89" s="61">
        <f>SUM(Q4:Q88)</f>
        <v>0</v>
      </c>
      <c r="R89" s="1"/>
      <c r="S89" s="1"/>
      <c r="T89" s="56"/>
      <c r="U89" s="56"/>
      <c r="V89" s="56"/>
      <c r="W89" s="56"/>
      <c r="X89" s="56"/>
      <c r="Y89" s="56"/>
      <c r="Z89" s="56"/>
      <c r="AA89" s="56"/>
      <c r="AB89" s="60" t="s">
        <v>282</v>
      </c>
      <c r="AC89" s="39">
        <f>AVERAGE(AC4:AC88)</f>
        <v>0</v>
      </c>
      <c r="AD89" s="62" t="s">
        <v>282</v>
      </c>
      <c r="AE89" s="40">
        <f>SUM(AE31:AE88)</f>
        <v>0</v>
      </c>
      <c r="AF89" s="39">
        <f>AVERAGE(AF4:AF88)</f>
        <v>0</v>
      </c>
    </row>
    <row r="90" spans="1:32" ht="58.5" customHeight="1" x14ac:dyDescent="0.25">
      <c r="A90" s="56"/>
      <c r="B90" s="56"/>
      <c r="C90" s="56"/>
      <c r="D90" s="56"/>
      <c r="E90" s="57"/>
      <c r="F90" s="58"/>
      <c r="G90" s="56"/>
      <c r="H90" s="56"/>
      <c r="I90" s="59"/>
      <c r="J90" s="56"/>
      <c r="K90" s="56"/>
      <c r="L90" s="56"/>
      <c r="M90" s="1"/>
      <c r="N90" s="1"/>
      <c r="O90" s="1"/>
      <c r="P90" s="1"/>
      <c r="Q90" s="1"/>
      <c r="R90" s="1"/>
      <c r="S90" s="1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</row>
    <row r="91" spans="1:32" ht="58.5" customHeight="1" x14ac:dyDescent="0.25">
      <c r="A91" s="56"/>
      <c r="B91" s="56"/>
      <c r="C91" s="56"/>
      <c r="D91" s="56"/>
      <c r="E91" s="57"/>
      <c r="F91" s="58"/>
      <c r="G91" s="56"/>
      <c r="H91" s="56"/>
      <c r="I91" s="59"/>
      <c r="J91" s="56"/>
      <c r="K91" s="56"/>
      <c r="L91" s="56"/>
      <c r="M91" s="1"/>
      <c r="N91" s="1"/>
      <c r="O91" s="1"/>
      <c r="P91" s="1"/>
      <c r="Q91" s="1"/>
      <c r="R91" s="1"/>
      <c r="S91" s="1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</row>
    <row r="92" spans="1:32" ht="58.5" customHeight="1" x14ac:dyDescent="0.25">
      <c r="A92" s="56"/>
      <c r="B92" s="56"/>
      <c r="C92" s="56"/>
      <c r="D92" s="56"/>
      <c r="E92" s="57"/>
      <c r="F92" s="58"/>
      <c r="G92" s="56"/>
      <c r="H92" s="56"/>
      <c r="I92" s="59"/>
      <c r="J92" s="56"/>
      <c r="K92" s="56"/>
      <c r="L92" s="56"/>
      <c r="M92" s="1"/>
      <c r="N92" s="1"/>
      <c r="O92" s="1"/>
      <c r="P92" s="1"/>
      <c r="Q92" s="1"/>
      <c r="R92" s="1"/>
      <c r="S92" s="1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</row>
    <row r="93" spans="1:32" ht="58.5" customHeight="1" x14ac:dyDescent="0.25">
      <c r="A93" s="56"/>
      <c r="B93" s="56"/>
      <c r="C93" s="56"/>
      <c r="D93" s="56"/>
      <c r="E93" s="57"/>
      <c r="F93" s="58"/>
      <c r="G93" s="56"/>
      <c r="H93" s="56"/>
      <c r="I93" s="59"/>
      <c r="J93" s="56"/>
      <c r="K93" s="56"/>
      <c r="L93" s="56"/>
      <c r="M93" s="1"/>
      <c r="N93" s="1"/>
      <c r="O93" s="1"/>
      <c r="P93" s="1"/>
      <c r="Q93" s="1"/>
      <c r="R93" s="1"/>
      <c r="S93" s="1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</row>
    <row r="94" spans="1:32" ht="58.5" customHeight="1" x14ac:dyDescent="0.25">
      <c r="A94" s="56"/>
      <c r="B94" s="56"/>
      <c r="C94" s="56"/>
      <c r="D94" s="56"/>
      <c r="E94" s="57"/>
      <c r="F94" s="58"/>
      <c r="G94" s="56"/>
      <c r="H94" s="56"/>
      <c r="I94" s="59"/>
      <c r="J94" s="56"/>
      <c r="K94" s="56"/>
      <c r="L94" s="56"/>
      <c r="M94" s="1"/>
      <c r="N94" s="1"/>
      <c r="O94" s="1"/>
      <c r="P94" s="1"/>
      <c r="Q94" s="1"/>
      <c r="R94" s="1"/>
      <c r="S94" s="1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</row>
    <row r="95" spans="1:32" ht="58.5" customHeight="1" x14ac:dyDescent="0.25">
      <c r="A95" s="56"/>
      <c r="B95" s="56"/>
      <c r="C95" s="56"/>
      <c r="D95" s="56"/>
      <c r="E95" s="57"/>
      <c r="F95" s="58"/>
      <c r="G95" s="56"/>
      <c r="H95" s="56"/>
      <c r="I95" s="59"/>
      <c r="J95" s="56"/>
      <c r="K95" s="56"/>
      <c r="L95" s="56"/>
      <c r="M95" s="1"/>
      <c r="N95" s="1"/>
      <c r="O95" s="1"/>
      <c r="P95" s="1"/>
      <c r="Q95" s="1"/>
      <c r="R95" s="1"/>
      <c r="S95" s="1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</row>
    <row r="96" spans="1:32" ht="58.5" customHeight="1" x14ac:dyDescent="0.25">
      <c r="A96" s="56"/>
      <c r="B96" s="56"/>
      <c r="C96" s="56"/>
      <c r="D96" s="56"/>
      <c r="E96" s="57"/>
      <c r="F96" s="58"/>
      <c r="G96" s="56"/>
      <c r="H96" s="56"/>
      <c r="I96" s="59"/>
      <c r="J96" s="56"/>
      <c r="K96" s="56"/>
      <c r="L96" s="56"/>
      <c r="M96" s="1"/>
      <c r="N96" s="1"/>
      <c r="O96" s="1"/>
      <c r="P96" s="1"/>
      <c r="Q96" s="1"/>
      <c r="R96" s="1"/>
      <c r="S96" s="1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</row>
    <row r="97" spans="1:32" ht="58.5" customHeight="1" x14ac:dyDescent="0.25">
      <c r="A97" s="56"/>
      <c r="B97" s="56"/>
      <c r="C97" s="56"/>
      <c r="D97" s="56"/>
      <c r="E97" s="57"/>
      <c r="F97" s="58"/>
      <c r="G97" s="56"/>
      <c r="H97" s="56"/>
      <c r="I97" s="59"/>
      <c r="J97" s="56"/>
      <c r="K97" s="56"/>
      <c r="L97" s="56"/>
      <c r="M97" s="1"/>
      <c r="N97" s="1"/>
      <c r="O97" s="1"/>
      <c r="P97" s="1"/>
      <c r="Q97" s="1"/>
      <c r="R97" s="1"/>
      <c r="S97" s="1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</row>
    <row r="98" spans="1:32" ht="58.5" customHeight="1" x14ac:dyDescent="0.25">
      <c r="A98" s="56"/>
      <c r="B98" s="56"/>
      <c r="C98" s="56"/>
      <c r="D98" s="56"/>
      <c r="E98" s="57"/>
      <c r="F98" s="58"/>
      <c r="G98" s="56"/>
      <c r="H98" s="56"/>
      <c r="I98" s="59"/>
      <c r="J98" s="56"/>
      <c r="K98" s="56"/>
      <c r="L98" s="56"/>
      <c r="M98" s="1"/>
      <c r="N98" s="1"/>
      <c r="O98" s="1"/>
      <c r="P98" s="1"/>
      <c r="Q98" s="1"/>
      <c r="R98" s="1"/>
      <c r="S98" s="1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</row>
    <row r="99" spans="1:32" ht="58.5" customHeight="1" x14ac:dyDescent="0.25">
      <c r="A99" s="56"/>
      <c r="B99" s="56"/>
      <c r="C99" s="56"/>
      <c r="D99" s="56"/>
      <c r="E99" s="57"/>
      <c r="F99" s="58"/>
      <c r="G99" s="56"/>
      <c r="H99" s="56"/>
      <c r="I99" s="59"/>
      <c r="J99" s="56"/>
      <c r="K99" s="56"/>
      <c r="L99" s="56"/>
      <c r="M99" s="1"/>
      <c r="N99" s="1"/>
      <c r="O99" s="1"/>
      <c r="P99" s="1"/>
      <c r="Q99" s="1"/>
      <c r="R99" s="1"/>
      <c r="S99" s="1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</row>
    <row r="100" spans="1:32" ht="58.5" customHeight="1" x14ac:dyDescent="0.25">
      <c r="A100" s="56"/>
      <c r="B100" s="56"/>
      <c r="C100" s="56"/>
      <c r="D100" s="56"/>
      <c r="E100" s="57"/>
      <c r="F100" s="58"/>
      <c r="G100" s="56"/>
      <c r="H100" s="56"/>
      <c r="I100" s="59"/>
      <c r="J100" s="56"/>
      <c r="K100" s="56"/>
      <c r="L100" s="56"/>
      <c r="M100" s="1"/>
      <c r="N100" s="1"/>
      <c r="O100" s="1"/>
      <c r="P100" s="1"/>
      <c r="Q100" s="1"/>
      <c r="R100" s="1"/>
      <c r="S100" s="1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</row>
    <row r="101" spans="1:32" ht="58.5" customHeight="1" x14ac:dyDescent="0.25">
      <c r="A101" s="56"/>
      <c r="B101" s="56"/>
      <c r="C101" s="56"/>
      <c r="D101" s="56"/>
      <c r="E101" s="57"/>
      <c r="F101" s="58"/>
      <c r="G101" s="56"/>
      <c r="H101" s="56"/>
      <c r="I101" s="59"/>
      <c r="J101" s="56"/>
      <c r="K101" s="56"/>
      <c r="L101" s="56"/>
      <c r="M101" s="1"/>
      <c r="N101" s="1"/>
      <c r="O101" s="1"/>
      <c r="P101" s="1"/>
      <c r="Q101" s="1"/>
      <c r="R101" s="1"/>
      <c r="S101" s="1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</row>
    <row r="102" spans="1:32" ht="58.5" customHeight="1" x14ac:dyDescent="0.25">
      <c r="A102" s="56"/>
      <c r="B102" s="56"/>
      <c r="C102" s="56"/>
      <c r="D102" s="56"/>
      <c r="E102" s="57"/>
      <c r="F102" s="58"/>
      <c r="G102" s="56"/>
      <c r="H102" s="56"/>
      <c r="I102" s="59"/>
      <c r="J102" s="56"/>
      <c r="K102" s="56"/>
      <c r="L102" s="56"/>
      <c r="M102" s="1"/>
      <c r="N102" s="1"/>
      <c r="O102" s="1"/>
      <c r="P102" s="1"/>
      <c r="Q102" s="1"/>
      <c r="R102" s="1"/>
      <c r="S102" s="1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</row>
    <row r="103" spans="1:32" ht="58.5" customHeight="1" x14ac:dyDescent="0.25">
      <c r="A103" s="56"/>
      <c r="B103" s="56"/>
      <c r="C103" s="56"/>
      <c r="D103" s="56"/>
      <c r="E103" s="57"/>
      <c r="F103" s="58"/>
      <c r="G103" s="56"/>
      <c r="H103" s="56"/>
      <c r="I103" s="59"/>
      <c r="J103" s="56"/>
      <c r="K103" s="56"/>
      <c r="L103" s="56"/>
      <c r="M103" s="1"/>
      <c r="N103" s="1"/>
      <c r="O103" s="1"/>
      <c r="P103" s="1"/>
      <c r="Q103" s="1"/>
      <c r="R103" s="1"/>
      <c r="S103" s="1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</row>
    <row r="104" spans="1:32" ht="58.5" customHeight="1" x14ac:dyDescent="0.25">
      <c r="A104" s="56"/>
      <c r="B104" s="56"/>
      <c r="C104" s="56"/>
      <c r="D104" s="56"/>
      <c r="E104" s="57"/>
      <c r="F104" s="58"/>
      <c r="G104" s="56"/>
      <c r="H104" s="56"/>
      <c r="I104" s="59"/>
      <c r="J104" s="56"/>
      <c r="K104" s="56"/>
      <c r="L104" s="56"/>
      <c r="M104" s="1"/>
      <c r="N104" s="1"/>
      <c r="O104" s="1"/>
      <c r="P104" s="1"/>
      <c r="Q104" s="1"/>
      <c r="R104" s="1"/>
      <c r="S104" s="1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</row>
    <row r="105" spans="1:32" ht="58.5" customHeight="1" x14ac:dyDescent="0.25">
      <c r="A105" s="56"/>
      <c r="B105" s="56"/>
      <c r="C105" s="56"/>
      <c r="D105" s="56"/>
      <c r="E105" s="57"/>
      <c r="F105" s="58"/>
      <c r="G105" s="56"/>
      <c r="H105" s="56"/>
      <c r="I105" s="59"/>
      <c r="J105" s="56"/>
      <c r="K105" s="56"/>
      <c r="L105" s="56"/>
      <c r="M105" s="1"/>
      <c r="N105" s="1"/>
      <c r="O105" s="1"/>
      <c r="P105" s="1"/>
      <c r="Q105" s="1"/>
      <c r="R105" s="1"/>
      <c r="S105" s="1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</row>
    <row r="106" spans="1:32" ht="58.5" customHeight="1" x14ac:dyDescent="0.25">
      <c r="A106" s="56"/>
      <c r="B106" s="56"/>
      <c r="C106" s="56"/>
      <c r="D106" s="56"/>
      <c r="E106" s="57"/>
      <c r="F106" s="58"/>
      <c r="G106" s="56"/>
      <c r="H106" s="56"/>
      <c r="I106" s="59"/>
      <c r="J106" s="56"/>
      <c r="K106" s="56"/>
      <c r="L106" s="56"/>
      <c r="M106" s="1"/>
      <c r="N106" s="1"/>
      <c r="O106" s="1"/>
      <c r="P106" s="1"/>
      <c r="Q106" s="1"/>
      <c r="R106" s="1"/>
      <c r="S106" s="1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</row>
    <row r="107" spans="1:32" ht="58.5" customHeight="1" x14ac:dyDescent="0.25">
      <c r="A107" s="56"/>
      <c r="B107" s="56"/>
      <c r="C107" s="56"/>
      <c r="D107" s="56"/>
      <c r="E107" s="57"/>
      <c r="F107" s="58"/>
      <c r="G107" s="56"/>
      <c r="H107" s="56"/>
      <c r="I107" s="59"/>
      <c r="J107" s="56"/>
      <c r="K107" s="56"/>
      <c r="L107" s="56"/>
      <c r="M107" s="1"/>
      <c r="N107" s="46"/>
      <c r="O107" s="46"/>
      <c r="P107" s="1"/>
      <c r="Q107" s="1"/>
      <c r="R107" s="1"/>
      <c r="S107" s="1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</row>
    <row r="108" spans="1:32" ht="58.5" customHeight="1" x14ac:dyDescent="0.25">
      <c r="A108" s="56"/>
      <c r="B108" s="56"/>
      <c r="C108" s="56"/>
      <c r="D108" s="56"/>
      <c r="E108" s="57"/>
      <c r="F108" s="58"/>
      <c r="G108" s="56"/>
      <c r="H108" s="56"/>
      <c r="I108" s="59"/>
      <c r="J108" s="56"/>
      <c r="K108" s="56"/>
      <c r="L108" s="56"/>
      <c r="M108" s="1"/>
      <c r="N108" s="46"/>
      <c r="O108" s="46"/>
      <c r="P108" s="1"/>
      <c r="Q108" s="1"/>
      <c r="R108" s="1"/>
      <c r="S108" s="1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</row>
    <row r="109" spans="1:32" ht="58.5" customHeight="1" x14ac:dyDescent="0.25">
      <c r="A109" s="56"/>
      <c r="B109" s="56"/>
      <c r="C109" s="56"/>
      <c r="D109" s="56"/>
      <c r="E109" s="57"/>
      <c r="F109" s="58"/>
      <c r="G109" s="56"/>
      <c r="H109" s="56"/>
      <c r="I109" s="59"/>
      <c r="J109" s="56"/>
      <c r="K109" s="56"/>
      <c r="L109" s="56"/>
      <c r="M109" s="1"/>
      <c r="N109" s="1"/>
      <c r="O109" s="1"/>
      <c r="P109" s="1"/>
      <c r="Q109" s="1"/>
      <c r="R109" s="1"/>
      <c r="S109" s="1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</row>
    <row r="110" spans="1:32" ht="58.5" customHeight="1" x14ac:dyDescent="0.25">
      <c r="A110" s="56"/>
      <c r="B110" s="56"/>
      <c r="C110" s="56"/>
      <c r="D110" s="56"/>
      <c r="E110" s="57"/>
      <c r="F110" s="58"/>
      <c r="G110" s="56"/>
      <c r="H110" s="56"/>
      <c r="I110" s="59"/>
      <c r="J110" s="56"/>
      <c r="K110" s="56"/>
      <c r="L110" s="56"/>
      <c r="M110" s="1"/>
      <c r="N110" s="1"/>
      <c r="O110" s="1"/>
      <c r="P110" s="1"/>
      <c r="Q110" s="1"/>
      <c r="R110" s="1"/>
      <c r="S110" s="1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</row>
    <row r="111" spans="1:32" ht="58.5" customHeight="1" x14ac:dyDescent="0.25">
      <c r="A111" s="56"/>
      <c r="B111" s="56"/>
      <c r="C111" s="56"/>
      <c r="D111" s="56"/>
      <c r="E111" s="57"/>
      <c r="F111" s="58"/>
      <c r="G111" s="56"/>
      <c r="H111" s="56"/>
      <c r="I111" s="59"/>
      <c r="J111" s="56"/>
      <c r="K111" s="56"/>
      <c r="L111" s="56"/>
      <c r="M111" s="1"/>
      <c r="N111" s="1"/>
      <c r="O111" s="1"/>
      <c r="P111" s="1"/>
      <c r="Q111" s="1"/>
      <c r="R111" s="1"/>
      <c r="S111" s="1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</row>
    <row r="112" spans="1:32" ht="58.5" customHeight="1" x14ac:dyDescent="0.25">
      <c r="A112" s="56"/>
      <c r="B112" s="56"/>
      <c r="C112" s="56"/>
      <c r="D112" s="56"/>
      <c r="E112" s="57"/>
      <c r="F112" s="58"/>
      <c r="G112" s="56"/>
      <c r="H112" s="56"/>
      <c r="I112" s="59"/>
      <c r="J112" s="56"/>
      <c r="K112" s="56"/>
      <c r="L112" s="56"/>
      <c r="M112" s="1"/>
      <c r="N112" s="1"/>
      <c r="O112" s="1"/>
      <c r="P112" s="1"/>
      <c r="Q112" s="1"/>
      <c r="R112" s="1"/>
      <c r="S112" s="1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</row>
    <row r="113" spans="1:32" ht="58.5" customHeight="1" x14ac:dyDescent="0.25">
      <c r="A113" s="56"/>
      <c r="B113" s="56"/>
      <c r="C113" s="56"/>
      <c r="D113" s="56"/>
      <c r="E113" s="57"/>
      <c r="F113" s="58"/>
      <c r="G113" s="56"/>
      <c r="H113" s="56"/>
      <c r="I113" s="59"/>
      <c r="J113" s="56"/>
      <c r="K113" s="56"/>
      <c r="L113" s="56"/>
      <c r="M113" s="1"/>
      <c r="N113" s="1"/>
      <c r="O113" s="1"/>
      <c r="P113" s="1"/>
      <c r="Q113" s="1"/>
      <c r="R113" s="1"/>
      <c r="S113" s="1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</row>
    <row r="114" spans="1:32" ht="58.5" customHeight="1" x14ac:dyDescent="0.25">
      <c r="A114" s="56"/>
      <c r="B114" s="56"/>
      <c r="C114" s="56"/>
      <c r="D114" s="56"/>
      <c r="E114" s="57"/>
      <c r="F114" s="58"/>
      <c r="G114" s="56"/>
      <c r="H114" s="56"/>
      <c r="I114" s="59"/>
      <c r="J114" s="56"/>
      <c r="K114" s="56"/>
      <c r="L114" s="56"/>
      <c r="M114" s="1"/>
      <c r="N114" s="1"/>
      <c r="O114" s="1"/>
      <c r="P114" s="1"/>
      <c r="Q114" s="1"/>
      <c r="R114" s="1"/>
      <c r="S114" s="1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</row>
    <row r="115" spans="1:32" ht="58.5" customHeight="1" x14ac:dyDescent="0.25">
      <c r="A115" s="56"/>
      <c r="B115" s="56"/>
      <c r="C115" s="56"/>
      <c r="D115" s="56"/>
      <c r="E115" s="57"/>
      <c r="F115" s="58"/>
      <c r="G115" s="56"/>
      <c r="H115" s="56"/>
      <c r="I115" s="59"/>
      <c r="J115" s="56"/>
      <c r="K115" s="56"/>
      <c r="L115" s="56"/>
      <c r="M115" s="1"/>
      <c r="N115" s="1"/>
      <c r="O115" s="1"/>
      <c r="P115" s="1"/>
      <c r="Q115" s="1"/>
      <c r="R115" s="1"/>
      <c r="S115" s="1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</row>
    <row r="116" spans="1:32" ht="58.5" customHeight="1" x14ac:dyDescent="0.25">
      <c r="A116" s="56"/>
      <c r="B116" s="56"/>
      <c r="C116" s="56"/>
      <c r="D116" s="56"/>
      <c r="E116" s="57"/>
      <c r="F116" s="58"/>
      <c r="G116" s="56"/>
      <c r="H116" s="56"/>
      <c r="I116" s="59"/>
      <c r="J116" s="56"/>
      <c r="K116" s="56"/>
      <c r="L116" s="56"/>
      <c r="M116" s="1"/>
      <c r="N116" s="1"/>
      <c r="O116" s="1"/>
      <c r="P116" s="1"/>
      <c r="Q116" s="1"/>
      <c r="R116" s="1"/>
      <c r="S116" s="1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</row>
    <row r="117" spans="1:32" ht="58.5" customHeight="1" x14ac:dyDescent="0.25">
      <c r="A117" s="56"/>
      <c r="B117" s="56"/>
      <c r="C117" s="56"/>
      <c r="D117" s="56"/>
      <c r="E117" s="57"/>
      <c r="F117" s="58"/>
      <c r="G117" s="56"/>
      <c r="H117" s="56"/>
      <c r="I117" s="59"/>
      <c r="J117" s="56"/>
      <c r="K117" s="56"/>
      <c r="L117" s="56"/>
      <c r="M117" s="1"/>
      <c r="N117" s="1"/>
      <c r="O117" s="1"/>
      <c r="P117" s="1"/>
      <c r="Q117" s="1"/>
      <c r="R117" s="1"/>
      <c r="S117" s="1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</row>
    <row r="118" spans="1:32" ht="58.5" customHeight="1" x14ac:dyDescent="0.25">
      <c r="A118" s="56"/>
      <c r="B118" s="56"/>
      <c r="C118" s="56"/>
      <c r="D118" s="56"/>
      <c r="E118" s="57"/>
      <c r="F118" s="58"/>
      <c r="G118" s="56"/>
      <c r="H118" s="56"/>
      <c r="I118" s="59"/>
      <c r="J118" s="56"/>
      <c r="K118" s="56"/>
      <c r="L118" s="56"/>
      <c r="M118" s="1"/>
      <c r="N118" s="1"/>
      <c r="O118" s="1"/>
      <c r="P118" s="1"/>
      <c r="Q118" s="1"/>
      <c r="R118" s="1"/>
      <c r="S118" s="1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</row>
    <row r="119" spans="1:32" ht="58.5" customHeight="1" x14ac:dyDescent="0.25">
      <c r="A119" s="56"/>
      <c r="B119" s="56"/>
      <c r="C119" s="56"/>
      <c r="D119" s="56"/>
      <c r="E119" s="57"/>
      <c r="F119" s="58"/>
      <c r="G119" s="56"/>
      <c r="H119" s="56"/>
      <c r="I119" s="59"/>
      <c r="J119" s="56"/>
      <c r="K119" s="56"/>
      <c r="L119" s="56"/>
      <c r="M119" s="1"/>
      <c r="N119" s="1"/>
      <c r="O119" s="1"/>
      <c r="P119" s="1"/>
      <c r="Q119" s="1"/>
      <c r="R119" s="1"/>
      <c r="S119" s="1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</row>
    <row r="120" spans="1:32" ht="58.5" customHeight="1" x14ac:dyDescent="0.25">
      <c r="A120" s="56"/>
      <c r="B120" s="56"/>
      <c r="C120" s="56"/>
      <c r="D120" s="56"/>
      <c r="E120" s="57"/>
      <c r="F120" s="58"/>
      <c r="G120" s="56"/>
      <c r="H120" s="56"/>
      <c r="I120" s="59"/>
      <c r="J120" s="56"/>
      <c r="K120" s="56"/>
      <c r="L120" s="56"/>
      <c r="M120" s="1"/>
      <c r="N120" s="1"/>
      <c r="O120" s="1"/>
      <c r="P120" s="1"/>
      <c r="Q120" s="1"/>
      <c r="R120" s="1"/>
      <c r="S120" s="1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</row>
    <row r="121" spans="1:32" ht="58.5" customHeight="1" x14ac:dyDescent="0.25">
      <c r="A121" s="56"/>
      <c r="B121" s="56"/>
      <c r="C121" s="56"/>
      <c r="D121" s="56"/>
      <c r="E121" s="57"/>
      <c r="F121" s="58"/>
      <c r="G121" s="56"/>
      <c r="H121" s="56"/>
      <c r="I121" s="59"/>
      <c r="J121" s="56"/>
      <c r="K121" s="56"/>
      <c r="L121" s="56"/>
      <c r="M121" s="1"/>
      <c r="N121" s="1"/>
      <c r="O121" s="1"/>
      <c r="P121" s="1"/>
      <c r="Q121" s="1"/>
      <c r="R121" s="1"/>
      <c r="S121" s="1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</row>
    <row r="122" spans="1:32" ht="58.5" customHeight="1" x14ac:dyDescent="0.25">
      <c r="A122" s="56"/>
      <c r="B122" s="56"/>
      <c r="C122" s="56"/>
      <c r="D122" s="56"/>
      <c r="E122" s="57"/>
      <c r="F122" s="58"/>
      <c r="G122" s="56"/>
      <c r="H122" s="56"/>
      <c r="I122" s="59"/>
      <c r="J122" s="56"/>
      <c r="K122" s="56"/>
      <c r="L122" s="56"/>
      <c r="M122" s="1"/>
      <c r="N122" s="1"/>
      <c r="O122" s="1"/>
      <c r="P122" s="1"/>
      <c r="Q122" s="1"/>
      <c r="R122" s="1"/>
      <c r="S122" s="1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</row>
    <row r="123" spans="1:32" ht="58.5" customHeight="1" x14ac:dyDescent="0.25">
      <c r="A123" s="56"/>
      <c r="B123" s="56"/>
      <c r="C123" s="56"/>
      <c r="D123" s="56"/>
      <c r="E123" s="57"/>
      <c r="F123" s="58"/>
      <c r="G123" s="56"/>
      <c r="H123" s="56"/>
      <c r="I123" s="59"/>
      <c r="J123" s="56"/>
      <c r="K123" s="56"/>
      <c r="L123" s="56"/>
      <c r="M123" s="1"/>
      <c r="N123" s="1"/>
      <c r="O123" s="1"/>
      <c r="P123" s="1"/>
      <c r="Q123" s="1"/>
      <c r="R123" s="1"/>
      <c r="S123" s="1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</row>
    <row r="124" spans="1:32" ht="58.5" customHeight="1" x14ac:dyDescent="0.25">
      <c r="A124" s="56"/>
      <c r="B124" s="56"/>
      <c r="C124" s="56"/>
      <c r="D124" s="56"/>
      <c r="E124" s="57"/>
      <c r="F124" s="58"/>
      <c r="G124" s="56"/>
      <c r="H124" s="56"/>
      <c r="I124" s="59"/>
      <c r="J124" s="56"/>
      <c r="K124" s="56"/>
      <c r="L124" s="56"/>
      <c r="M124" s="1"/>
      <c r="N124" s="1"/>
      <c r="O124" s="1"/>
      <c r="P124" s="1"/>
      <c r="Q124" s="1"/>
      <c r="R124" s="1"/>
      <c r="S124" s="1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</row>
    <row r="125" spans="1:32" ht="58.5" customHeight="1" x14ac:dyDescent="0.25">
      <c r="A125" s="56"/>
      <c r="B125" s="56"/>
      <c r="C125" s="56"/>
      <c r="D125" s="56"/>
      <c r="E125" s="57"/>
      <c r="F125" s="58"/>
      <c r="G125" s="56"/>
      <c r="H125" s="56"/>
      <c r="I125" s="59"/>
      <c r="J125" s="56"/>
      <c r="K125" s="56"/>
      <c r="L125" s="56"/>
      <c r="M125" s="1"/>
      <c r="N125" s="1"/>
      <c r="O125" s="1"/>
      <c r="P125" s="1"/>
      <c r="Q125" s="1"/>
      <c r="R125" s="1"/>
      <c r="S125" s="1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</row>
    <row r="126" spans="1:32" ht="58.5" customHeight="1" x14ac:dyDescent="0.25">
      <c r="A126" s="56"/>
      <c r="B126" s="56"/>
      <c r="C126" s="56"/>
      <c r="D126" s="56"/>
      <c r="E126" s="57"/>
      <c r="F126" s="58"/>
      <c r="G126" s="56"/>
      <c r="H126" s="56"/>
      <c r="I126" s="59"/>
      <c r="J126" s="56"/>
      <c r="K126" s="56"/>
      <c r="L126" s="56"/>
      <c r="M126" s="1"/>
      <c r="N126" s="1"/>
      <c r="O126" s="1"/>
      <c r="P126" s="1"/>
      <c r="Q126" s="1"/>
      <c r="R126" s="1"/>
      <c r="S126" s="1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</row>
    <row r="127" spans="1:32" ht="58.5" customHeight="1" x14ac:dyDescent="0.25">
      <c r="A127" s="56"/>
      <c r="B127" s="56"/>
      <c r="C127" s="56"/>
      <c r="D127" s="56"/>
      <c r="E127" s="57"/>
      <c r="F127" s="58"/>
      <c r="G127" s="56"/>
      <c r="H127" s="56"/>
      <c r="I127" s="59"/>
      <c r="J127" s="56"/>
      <c r="K127" s="56"/>
      <c r="L127" s="56"/>
      <c r="M127" s="1"/>
      <c r="N127" s="1"/>
      <c r="O127" s="1"/>
      <c r="P127" s="1"/>
      <c r="Q127" s="1"/>
      <c r="R127" s="1"/>
      <c r="S127" s="1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</row>
    <row r="128" spans="1:32" ht="58.5" customHeight="1" x14ac:dyDescent="0.25">
      <c r="A128" s="56"/>
      <c r="B128" s="56"/>
      <c r="C128" s="56"/>
      <c r="D128" s="56"/>
      <c r="E128" s="57"/>
      <c r="F128" s="58"/>
      <c r="G128" s="56"/>
      <c r="H128" s="56"/>
      <c r="I128" s="59"/>
      <c r="J128" s="56"/>
      <c r="K128" s="56"/>
      <c r="L128" s="56"/>
      <c r="M128" s="1"/>
      <c r="N128" s="1"/>
      <c r="O128" s="1"/>
      <c r="P128" s="1"/>
      <c r="Q128" s="1"/>
      <c r="R128" s="1"/>
      <c r="S128" s="1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</row>
    <row r="129" spans="1:32" ht="58.5" customHeight="1" x14ac:dyDescent="0.25">
      <c r="A129" s="56"/>
      <c r="B129" s="56"/>
      <c r="C129" s="56"/>
      <c r="D129" s="56"/>
      <c r="E129" s="57"/>
      <c r="F129" s="58"/>
      <c r="G129" s="56"/>
      <c r="H129" s="56"/>
      <c r="I129" s="59"/>
      <c r="J129" s="56"/>
      <c r="K129" s="56"/>
      <c r="L129" s="56"/>
      <c r="M129" s="1"/>
      <c r="N129" s="1"/>
      <c r="O129" s="1"/>
      <c r="P129" s="1"/>
      <c r="Q129" s="1"/>
      <c r="R129" s="1"/>
      <c r="S129" s="1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</row>
    <row r="130" spans="1:32" ht="58.5" customHeight="1" x14ac:dyDescent="0.25">
      <c r="A130" s="56"/>
      <c r="B130" s="56"/>
      <c r="C130" s="56"/>
      <c r="D130" s="56"/>
      <c r="E130" s="57"/>
      <c r="F130" s="58"/>
      <c r="G130" s="56"/>
      <c r="H130" s="56"/>
      <c r="I130" s="59"/>
      <c r="J130" s="56"/>
      <c r="K130" s="56"/>
      <c r="L130" s="56"/>
      <c r="M130" s="1"/>
      <c r="N130" s="1"/>
      <c r="O130" s="1"/>
      <c r="P130" s="1"/>
      <c r="Q130" s="1"/>
      <c r="R130" s="1"/>
      <c r="S130" s="1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</row>
    <row r="131" spans="1:32" ht="58.5" customHeight="1" x14ac:dyDescent="0.25">
      <c r="A131" s="56"/>
      <c r="B131" s="56"/>
      <c r="C131" s="56"/>
      <c r="D131" s="56"/>
      <c r="E131" s="57"/>
      <c r="F131" s="58"/>
      <c r="G131" s="56"/>
      <c r="H131" s="56"/>
      <c r="I131" s="59"/>
      <c r="J131" s="56"/>
      <c r="K131" s="56"/>
      <c r="L131" s="56"/>
      <c r="M131" s="1"/>
      <c r="N131" s="1"/>
      <c r="O131" s="1"/>
      <c r="P131" s="1"/>
      <c r="Q131" s="1"/>
      <c r="R131" s="1"/>
      <c r="S131" s="1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</row>
    <row r="132" spans="1:32" ht="58.5" customHeight="1" x14ac:dyDescent="0.25">
      <c r="A132" s="56"/>
      <c r="B132" s="56"/>
      <c r="C132" s="56"/>
      <c r="D132" s="56"/>
      <c r="E132" s="57"/>
      <c r="F132" s="58"/>
      <c r="G132" s="56"/>
      <c r="H132" s="56"/>
      <c r="I132" s="59"/>
      <c r="J132" s="56"/>
      <c r="K132" s="56"/>
      <c r="L132" s="56"/>
      <c r="M132" s="1"/>
      <c r="N132" s="1"/>
      <c r="O132" s="1"/>
      <c r="P132" s="1"/>
      <c r="Q132" s="1"/>
      <c r="R132" s="1"/>
      <c r="S132" s="1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</row>
    <row r="133" spans="1:32" ht="58.5" customHeight="1" x14ac:dyDescent="0.25">
      <c r="A133" s="56"/>
      <c r="B133" s="56"/>
      <c r="C133" s="56"/>
      <c r="D133" s="56"/>
      <c r="E133" s="57"/>
      <c r="F133" s="58"/>
      <c r="G133" s="56"/>
      <c r="H133" s="56"/>
      <c r="I133" s="59"/>
      <c r="J133" s="56"/>
      <c r="K133" s="56"/>
      <c r="L133" s="56"/>
      <c r="M133" s="1"/>
      <c r="N133" s="1"/>
      <c r="O133" s="1"/>
      <c r="P133" s="1"/>
      <c r="Q133" s="1"/>
      <c r="R133" s="1"/>
      <c r="S133" s="1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</row>
    <row r="134" spans="1:32" ht="58.5" customHeight="1" x14ac:dyDescent="0.25">
      <c r="A134" s="56"/>
      <c r="B134" s="56"/>
      <c r="C134" s="56"/>
      <c r="D134" s="56"/>
      <c r="E134" s="57"/>
      <c r="F134" s="58"/>
      <c r="G134" s="56"/>
      <c r="H134" s="56"/>
      <c r="I134" s="59"/>
      <c r="J134" s="56"/>
      <c r="K134" s="56"/>
      <c r="L134" s="56"/>
      <c r="M134" s="1"/>
      <c r="N134" s="1"/>
      <c r="O134" s="1"/>
      <c r="P134" s="1"/>
      <c r="Q134" s="1"/>
      <c r="R134" s="1"/>
      <c r="S134" s="1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</row>
    <row r="135" spans="1:32" ht="58.5" customHeight="1" x14ac:dyDescent="0.25">
      <c r="A135" s="56"/>
      <c r="B135" s="56"/>
      <c r="C135" s="56"/>
      <c r="D135" s="56"/>
      <c r="E135" s="57"/>
      <c r="F135" s="58"/>
      <c r="G135" s="56"/>
      <c r="H135" s="56"/>
      <c r="I135" s="59"/>
      <c r="J135" s="56"/>
      <c r="K135" s="56"/>
      <c r="L135" s="56"/>
      <c r="M135" s="1"/>
      <c r="N135" s="1"/>
      <c r="O135" s="1"/>
      <c r="P135" s="1"/>
      <c r="Q135" s="1"/>
      <c r="R135" s="1"/>
      <c r="S135" s="1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</row>
    <row r="136" spans="1:32" ht="58.5" customHeight="1" x14ac:dyDescent="0.25">
      <c r="A136" s="56"/>
      <c r="B136" s="56"/>
      <c r="C136" s="56"/>
      <c r="D136" s="56"/>
      <c r="E136" s="57"/>
      <c r="F136" s="58"/>
      <c r="G136" s="56"/>
      <c r="H136" s="56"/>
      <c r="I136" s="59"/>
      <c r="J136" s="56"/>
      <c r="K136" s="56"/>
      <c r="L136" s="56"/>
      <c r="M136" s="1"/>
      <c r="N136" s="1"/>
      <c r="O136" s="1"/>
      <c r="P136" s="1"/>
      <c r="Q136" s="1"/>
      <c r="R136" s="1"/>
      <c r="S136" s="1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</row>
    <row r="137" spans="1:32" ht="58.5" customHeight="1" x14ac:dyDescent="0.25">
      <c r="A137" s="56"/>
      <c r="B137" s="56"/>
      <c r="C137" s="56"/>
      <c r="D137" s="56"/>
      <c r="E137" s="57"/>
      <c r="F137" s="58"/>
      <c r="G137" s="56"/>
      <c r="H137" s="56"/>
      <c r="I137" s="59"/>
      <c r="J137" s="56"/>
      <c r="K137" s="56"/>
      <c r="L137" s="56"/>
      <c r="M137" s="1"/>
      <c r="N137" s="1"/>
      <c r="O137" s="1"/>
      <c r="P137" s="1"/>
      <c r="Q137" s="1"/>
      <c r="R137" s="1"/>
      <c r="S137" s="1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</row>
    <row r="138" spans="1:32" ht="58.5" customHeight="1" x14ac:dyDescent="0.25">
      <c r="A138" s="56"/>
      <c r="B138" s="56"/>
      <c r="C138" s="56"/>
      <c r="D138" s="56"/>
      <c r="E138" s="57"/>
      <c r="F138" s="58"/>
      <c r="G138" s="56"/>
      <c r="H138" s="56"/>
      <c r="I138" s="59"/>
      <c r="J138" s="56"/>
      <c r="K138" s="56"/>
      <c r="L138" s="56"/>
      <c r="M138" s="1"/>
      <c r="N138" s="1"/>
      <c r="O138" s="1"/>
      <c r="P138" s="1"/>
      <c r="Q138" s="1"/>
      <c r="R138" s="1"/>
      <c r="S138" s="1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</row>
    <row r="139" spans="1:32" ht="58.5" customHeight="1" x14ac:dyDescent="0.25">
      <c r="A139" s="56"/>
      <c r="B139" s="56"/>
      <c r="C139" s="56"/>
      <c r="D139" s="56"/>
      <c r="E139" s="57"/>
      <c r="F139" s="58"/>
      <c r="G139" s="56"/>
      <c r="H139" s="56"/>
      <c r="I139" s="59"/>
      <c r="J139" s="56"/>
      <c r="K139" s="56"/>
      <c r="L139" s="56"/>
      <c r="M139" s="1"/>
      <c r="N139" s="1"/>
      <c r="O139" s="1"/>
      <c r="P139" s="1"/>
      <c r="Q139" s="1"/>
      <c r="R139" s="1"/>
      <c r="S139" s="1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</row>
    <row r="140" spans="1:32" ht="58.5" customHeight="1" x14ac:dyDescent="0.25">
      <c r="A140" s="56"/>
      <c r="B140" s="56"/>
      <c r="C140" s="56"/>
      <c r="D140" s="56"/>
      <c r="E140" s="57"/>
      <c r="F140" s="58"/>
      <c r="G140" s="56"/>
      <c r="H140" s="56"/>
      <c r="I140" s="59"/>
      <c r="J140" s="56"/>
      <c r="K140" s="56"/>
      <c r="L140" s="56"/>
      <c r="M140" s="1"/>
      <c r="N140" s="1"/>
      <c r="O140" s="1"/>
      <c r="P140" s="1"/>
      <c r="Q140" s="1"/>
      <c r="R140" s="1"/>
      <c r="S140" s="1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</row>
    <row r="141" spans="1:32" ht="58.5" customHeight="1" x14ac:dyDescent="0.25">
      <c r="A141" s="56"/>
      <c r="B141" s="56"/>
      <c r="C141" s="56"/>
      <c r="D141" s="56"/>
      <c r="E141" s="57"/>
      <c r="F141" s="58"/>
      <c r="G141" s="56"/>
      <c r="H141" s="56"/>
      <c r="I141" s="59"/>
      <c r="J141" s="56"/>
      <c r="K141" s="56"/>
      <c r="L141" s="56"/>
      <c r="M141" s="1"/>
      <c r="N141" s="1"/>
      <c r="O141" s="1"/>
      <c r="P141" s="1"/>
      <c r="Q141" s="1"/>
      <c r="R141" s="1"/>
      <c r="S141" s="1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</row>
    <row r="142" spans="1:32" ht="58.5" customHeight="1" x14ac:dyDescent="0.25">
      <c r="A142" s="56"/>
      <c r="B142" s="56"/>
      <c r="C142" s="56"/>
      <c r="D142" s="56"/>
      <c r="E142" s="57"/>
      <c r="F142" s="58"/>
      <c r="G142" s="56"/>
      <c r="H142" s="56"/>
      <c r="I142" s="59"/>
      <c r="J142" s="56"/>
      <c r="K142" s="56"/>
      <c r="L142" s="56"/>
      <c r="M142" s="1"/>
      <c r="N142" s="1"/>
      <c r="O142" s="1"/>
      <c r="P142" s="1"/>
      <c r="Q142" s="1"/>
      <c r="R142" s="1"/>
      <c r="S142" s="1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</row>
    <row r="143" spans="1:32" ht="58.5" customHeight="1" x14ac:dyDescent="0.25">
      <c r="A143" s="56"/>
      <c r="B143" s="56"/>
      <c r="C143" s="56"/>
      <c r="D143" s="56"/>
      <c r="E143" s="57"/>
      <c r="F143" s="58"/>
      <c r="G143" s="56"/>
      <c r="H143" s="56"/>
      <c r="I143" s="59"/>
      <c r="J143" s="56"/>
      <c r="K143" s="56"/>
      <c r="L143" s="56"/>
      <c r="M143" s="1"/>
      <c r="N143" s="1"/>
      <c r="O143" s="1"/>
      <c r="P143" s="1"/>
      <c r="Q143" s="1"/>
      <c r="R143" s="1"/>
      <c r="S143" s="1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</row>
    <row r="144" spans="1:32" ht="58.5" customHeight="1" x14ac:dyDescent="0.25">
      <c r="A144" s="56"/>
      <c r="B144" s="56"/>
      <c r="C144" s="56"/>
      <c r="D144" s="56"/>
      <c r="E144" s="57"/>
      <c r="F144" s="58"/>
      <c r="G144" s="56"/>
      <c r="H144" s="56"/>
      <c r="I144" s="59"/>
      <c r="J144" s="56"/>
      <c r="K144" s="56"/>
      <c r="L144" s="56"/>
      <c r="M144" s="1"/>
      <c r="N144" s="1"/>
      <c r="O144" s="1"/>
      <c r="P144" s="1"/>
      <c r="Q144" s="1"/>
      <c r="R144" s="1"/>
      <c r="S144" s="1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</row>
    <row r="145" spans="1:32" ht="58.5" customHeight="1" x14ac:dyDescent="0.25">
      <c r="A145" s="56"/>
      <c r="B145" s="56"/>
      <c r="C145" s="56"/>
      <c r="D145" s="56"/>
      <c r="E145" s="57"/>
      <c r="F145" s="58"/>
      <c r="G145" s="56"/>
      <c r="H145" s="56"/>
      <c r="I145" s="59"/>
      <c r="J145" s="56"/>
      <c r="K145" s="56"/>
      <c r="L145" s="56"/>
      <c r="M145" s="1"/>
      <c r="N145" s="1"/>
      <c r="O145" s="1"/>
      <c r="P145" s="1"/>
      <c r="Q145" s="1"/>
      <c r="R145" s="1"/>
      <c r="S145" s="1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</row>
    <row r="146" spans="1:32" ht="58.5" customHeight="1" x14ac:dyDescent="0.25">
      <c r="A146" s="56"/>
      <c r="B146" s="56"/>
      <c r="C146" s="56"/>
      <c r="D146" s="56"/>
      <c r="E146" s="57"/>
      <c r="F146" s="58"/>
      <c r="G146" s="56"/>
      <c r="H146" s="56"/>
      <c r="I146" s="59"/>
      <c r="J146" s="56"/>
      <c r="K146" s="56"/>
      <c r="L146" s="56"/>
      <c r="M146" s="1"/>
      <c r="N146" s="1"/>
      <c r="O146" s="1"/>
      <c r="P146" s="1"/>
      <c r="Q146" s="1"/>
      <c r="R146" s="1"/>
      <c r="S146" s="1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</row>
    <row r="147" spans="1:32" ht="58.5" customHeight="1" x14ac:dyDescent="0.25">
      <c r="A147" s="56"/>
      <c r="B147" s="56"/>
      <c r="C147" s="56"/>
      <c r="D147" s="56"/>
      <c r="E147" s="57"/>
      <c r="F147" s="58"/>
      <c r="G147" s="56"/>
      <c r="H147" s="56"/>
      <c r="I147" s="59"/>
      <c r="J147" s="56"/>
      <c r="K147" s="56"/>
      <c r="L147" s="56"/>
      <c r="M147" s="1"/>
      <c r="N147" s="1"/>
      <c r="O147" s="1"/>
      <c r="P147" s="1"/>
      <c r="Q147" s="1"/>
      <c r="R147" s="1"/>
      <c r="S147" s="1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</row>
    <row r="148" spans="1:32" ht="58.5" customHeight="1" x14ac:dyDescent="0.25">
      <c r="A148" s="56"/>
      <c r="B148" s="56"/>
      <c r="C148" s="56"/>
      <c r="D148" s="56"/>
      <c r="E148" s="57"/>
      <c r="F148" s="58"/>
      <c r="G148" s="56"/>
      <c r="H148" s="56"/>
      <c r="I148" s="59"/>
      <c r="J148" s="56"/>
      <c r="K148" s="56"/>
      <c r="L148" s="56"/>
      <c r="M148" s="1"/>
      <c r="N148" s="1"/>
      <c r="O148" s="1"/>
      <c r="P148" s="1"/>
      <c r="Q148" s="1"/>
      <c r="R148" s="1"/>
      <c r="S148" s="1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</row>
    <row r="149" spans="1:32" ht="58.5" customHeight="1" x14ac:dyDescent="0.25">
      <c r="A149" s="56"/>
      <c r="B149" s="56"/>
      <c r="C149" s="56"/>
      <c r="D149" s="56"/>
      <c r="E149" s="57"/>
      <c r="F149" s="58"/>
      <c r="G149" s="56"/>
      <c r="H149" s="56"/>
      <c r="I149" s="59"/>
      <c r="J149" s="56"/>
      <c r="K149" s="56"/>
      <c r="L149" s="56"/>
      <c r="M149" s="1"/>
      <c r="N149" s="1"/>
      <c r="O149" s="1"/>
      <c r="P149" s="1"/>
      <c r="Q149" s="1"/>
      <c r="R149" s="1"/>
      <c r="S149" s="1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</row>
    <row r="150" spans="1:32" ht="58.5" customHeight="1" x14ac:dyDescent="0.25">
      <c r="A150" s="56"/>
      <c r="B150" s="56"/>
      <c r="C150" s="56"/>
      <c r="D150" s="56"/>
      <c r="E150" s="57"/>
      <c r="F150" s="58"/>
      <c r="G150" s="56"/>
      <c r="H150" s="56"/>
      <c r="I150" s="59"/>
      <c r="J150" s="56"/>
      <c r="K150" s="56"/>
      <c r="L150" s="56"/>
      <c r="M150" s="1"/>
      <c r="N150" s="1"/>
      <c r="O150" s="1"/>
      <c r="P150" s="1"/>
      <c r="Q150" s="1"/>
      <c r="R150" s="1"/>
      <c r="S150" s="1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</row>
    <row r="151" spans="1:32" ht="58.5" customHeight="1" x14ac:dyDescent="0.25">
      <c r="A151" s="56"/>
      <c r="B151" s="56"/>
      <c r="C151" s="56"/>
      <c r="D151" s="56"/>
      <c r="E151" s="57"/>
      <c r="F151" s="58"/>
      <c r="G151" s="56"/>
      <c r="H151" s="56"/>
      <c r="I151" s="59"/>
      <c r="J151" s="56"/>
      <c r="K151" s="56"/>
      <c r="L151" s="56"/>
      <c r="M151" s="1"/>
      <c r="N151" s="1"/>
      <c r="O151" s="1"/>
      <c r="P151" s="1"/>
      <c r="Q151" s="1"/>
      <c r="R151" s="1"/>
      <c r="S151" s="1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</row>
    <row r="152" spans="1:32" ht="58.5" customHeight="1" x14ac:dyDescent="0.25">
      <c r="A152" s="56"/>
      <c r="B152" s="56"/>
      <c r="C152" s="56"/>
      <c r="D152" s="56"/>
      <c r="E152" s="57"/>
      <c r="F152" s="58"/>
      <c r="G152" s="56"/>
      <c r="H152" s="56"/>
      <c r="I152" s="59"/>
      <c r="J152" s="56"/>
      <c r="K152" s="56"/>
      <c r="L152" s="56"/>
      <c r="M152" s="1"/>
      <c r="N152" s="1"/>
      <c r="O152" s="1"/>
      <c r="P152" s="1"/>
      <c r="Q152" s="1"/>
      <c r="R152" s="1"/>
      <c r="S152" s="1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</row>
    <row r="153" spans="1:32" ht="58.5" customHeight="1" x14ac:dyDescent="0.25">
      <c r="A153" s="56"/>
      <c r="B153" s="56"/>
      <c r="C153" s="56"/>
      <c r="D153" s="56"/>
      <c r="E153" s="57"/>
      <c r="F153" s="58"/>
      <c r="G153" s="56"/>
      <c r="H153" s="56"/>
      <c r="I153" s="59"/>
      <c r="J153" s="56"/>
      <c r="K153" s="56"/>
      <c r="L153" s="56"/>
      <c r="M153" s="1"/>
      <c r="N153" s="1"/>
      <c r="O153" s="1"/>
      <c r="P153" s="1"/>
      <c r="Q153" s="1"/>
      <c r="R153" s="1"/>
      <c r="S153" s="1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</row>
    <row r="154" spans="1:32" ht="58.5" customHeight="1" x14ac:dyDescent="0.25">
      <c r="A154" s="56"/>
      <c r="B154" s="56"/>
      <c r="C154" s="56"/>
      <c r="D154" s="56"/>
      <c r="E154" s="57"/>
      <c r="F154" s="58"/>
      <c r="G154" s="56"/>
      <c r="H154" s="56"/>
      <c r="I154" s="59"/>
      <c r="J154" s="56"/>
      <c r="K154" s="56"/>
      <c r="L154" s="56"/>
      <c r="M154" s="1"/>
      <c r="N154" s="1"/>
      <c r="O154" s="1"/>
      <c r="P154" s="1"/>
      <c r="Q154" s="1"/>
      <c r="R154" s="1"/>
      <c r="S154" s="1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</row>
    <row r="155" spans="1:32" ht="58.5" customHeight="1" x14ac:dyDescent="0.25">
      <c r="A155" s="56"/>
      <c r="B155" s="56"/>
      <c r="C155" s="56"/>
      <c r="D155" s="56"/>
      <c r="E155" s="57"/>
      <c r="F155" s="58"/>
      <c r="G155" s="56"/>
      <c r="H155" s="56"/>
      <c r="I155" s="59"/>
      <c r="J155" s="56"/>
      <c r="K155" s="56"/>
      <c r="L155" s="56"/>
      <c r="M155" s="1"/>
      <c r="N155" s="1"/>
      <c r="O155" s="1"/>
      <c r="P155" s="1"/>
      <c r="Q155" s="1"/>
      <c r="R155" s="1"/>
      <c r="S155" s="1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</row>
    <row r="156" spans="1:32" ht="58.5" customHeight="1" x14ac:dyDescent="0.25">
      <c r="A156" s="56"/>
      <c r="B156" s="56"/>
      <c r="C156" s="56"/>
      <c r="D156" s="56"/>
      <c r="E156" s="57"/>
      <c r="F156" s="58"/>
      <c r="G156" s="56"/>
      <c r="H156" s="56"/>
      <c r="I156" s="59"/>
      <c r="J156" s="56"/>
      <c r="K156" s="56"/>
      <c r="L156" s="56"/>
      <c r="M156" s="1"/>
      <c r="N156" s="1"/>
      <c r="O156" s="1"/>
      <c r="P156" s="1"/>
      <c r="Q156" s="1"/>
      <c r="R156" s="1"/>
      <c r="S156" s="1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</row>
    <row r="157" spans="1:32" ht="58.5" customHeight="1" x14ac:dyDescent="0.25">
      <c r="A157" s="56"/>
      <c r="B157" s="56"/>
      <c r="C157" s="56"/>
      <c r="D157" s="56"/>
      <c r="E157" s="57"/>
      <c r="F157" s="58"/>
      <c r="G157" s="56"/>
      <c r="H157" s="56"/>
      <c r="I157" s="59"/>
      <c r="J157" s="56"/>
      <c r="K157" s="56"/>
      <c r="L157" s="56"/>
      <c r="M157" s="1"/>
      <c r="N157" s="1"/>
      <c r="O157" s="1"/>
      <c r="P157" s="1"/>
      <c r="Q157" s="1"/>
      <c r="R157" s="1"/>
      <c r="S157" s="1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</row>
    <row r="158" spans="1:32" ht="58.5" customHeight="1" x14ac:dyDescent="0.25">
      <c r="A158" s="56"/>
      <c r="B158" s="56"/>
      <c r="C158" s="56"/>
      <c r="D158" s="56"/>
      <c r="E158" s="57"/>
      <c r="F158" s="58"/>
      <c r="G158" s="56"/>
      <c r="H158" s="56"/>
      <c r="I158" s="59"/>
      <c r="J158" s="56"/>
      <c r="K158" s="56"/>
      <c r="L158" s="56"/>
      <c r="M158" s="1"/>
      <c r="N158" s="1"/>
      <c r="O158" s="1"/>
      <c r="P158" s="1"/>
      <c r="Q158" s="1"/>
      <c r="R158" s="1"/>
      <c r="S158" s="1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</row>
    <row r="159" spans="1:32" ht="58.5" customHeight="1" x14ac:dyDescent="0.25">
      <c r="A159" s="56"/>
      <c r="B159" s="56"/>
      <c r="C159" s="56"/>
      <c r="D159" s="56"/>
      <c r="E159" s="57"/>
      <c r="F159" s="58"/>
      <c r="G159" s="56"/>
      <c r="H159" s="56"/>
      <c r="I159" s="59"/>
      <c r="J159" s="56"/>
      <c r="K159" s="56"/>
      <c r="L159" s="56"/>
      <c r="M159" s="1"/>
      <c r="N159" s="1"/>
      <c r="O159" s="1"/>
      <c r="P159" s="1"/>
      <c r="Q159" s="1"/>
      <c r="R159" s="1"/>
      <c r="S159" s="1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</row>
    <row r="160" spans="1:32" ht="58.5" customHeight="1" x14ac:dyDescent="0.25">
      <c r="A160" s="56"/>
      <c r="B160" s="56"/>
      <c r="C160" s="56"/>
      <c r="D160" s="56"/>
      <c r="E160" s="57"/>
      <c r="F160" s="58"/>
      <c r="G160" s="56"/>
      <c r="H160" s="56"/>
      <c r="I160" s="59"/>
      <c r="J160" s="56"/>
      <c r="K160" s="56"/>
      <c r="L160" s="56"/>
      <c r="M160" s="1"/>
      <c r="N160" s="1"/>
      <c r="O160" s="1"/>
      <c r="P160" s="1"/>
      <c r="Q160" s="1"/>
      <c r="R160" s="1"/>
      <c r="S160" s="1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</row>
    <row r="161" spans="1:32" ht="58.5" customHeight="1" x14ac:dyDescent="0.25">
      <c r="A161" s="56"/>
      <c r="B161" s="56"/>
      <c r="C161" s="56"/>
      <c r="D161" s="56"/>
      <c r="E161" s="57"/>
      <c r="F161" s="58"/>
      <c r="G161" s="56"/>
      <c r="H161" s="56"/>
      <c r="I161" s="59"/>
      <c r="J161" s="56"/>
      <c r="K161" s="56"/>
      <c r="L161" s="56"/>
      <c r="M161" s="1"/>
      <c r="N161" s="1"/>
      <c r="O161" s="1"/>
      <c r="P161" s="1"/>
      <c r="Q161" s="1"/>
      <c r="R161" s="1"/>
      <c r="S161" s="1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</row>
    <row r="162" spans="1:32" ht="58.5" customHeight="1" x14ac:dyDescent="0.25">
      <c r="A162" s="56"/>
      <c r="B162" s="56"/>
      <c r="C162" s="56"/>
      <c r="D162" s="56"/>
      <c r="E162" s="57"/>
      <c r="F162" s="58"/>
      <c r="G162" s="56"/>
      <c r="H162" s="56"/>
      <c r="I162" s="59"/>
      <c r="J162" s="56"/>
      <c r="K162" s="56"/>
      <c r="L162" s="56"/>
      <c r="M162" s="1"/>
      <c r="N162" s="1"/>
      <c r="O162" s="1"/>
      <c r="P162" s="1"/>
      <c r="Q162" s="1"/>
      <c r="R162" s="1"/>
      <c r="S162" s="1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</row>
    <row r="163" spans="1:32" ht="58.5" customHeight="1" x14ac:dyDescent="0.25">
      <c r="A163" s="56"/>
      <c r="B163" s="56"/>
      <c r="C163" s="56"/>
      <c r="D163" s="56"/>
      <c r="E163" s="57"/>
      <c r="F163" s="58"/>
      <c r="G163" s="56"/>
      <c r="H163" s="56"/>
      <c r="I163" s="59"/>
      <c r="J163" s="56"/>
      <c r="K163" s="56"/>
      <c r="L163" s="56"/>
      <c r="M163" s="1"/>
      <c r="N163" s="1"/>
      <c r="O163" s="1"/>
      <c r="P163" s="1"/>
      <c r="Q163" s="1"/>
      <c r="R163" s="1"/>
      <c r="S163" s="1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</row>
    <row r="164" spans="1:32" ht="58.5" customHeight="1" x14ac:dyDescent="0.25">
      <c r="A164" s="56"/>
      <c r="B164" s="56"/>
      <c r="C164" s="56"/>
      <c r="D164" s="56"/>
      <c r="E164" s="57"/>
      <c r="F164" s="58"/>
      <c r="G164" s="56"/>
      <c r="H164" s="56"/>
      <c r="I164" s="59"/>
      <c r="J164" s="56"/>
      <c r="K164" s="56"/>
      <c r="L164" s="56"/>
      <c r="M164" s="1"/>
      <c r="N164" s="1"/>
      <c r="O164" s="1"/>
      <c r="P164" s="1"/>
      <c r="Q164" s="1"/>
      <c r="R164" s="1"/>
      <c r="S164" s="1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</row>
    <row r="165" spans="1:32" ht="58.5" customHeight="1" x14ac:dyDescent="0.25">
      <c r="A165" s="56"/>
      <c r="B165" s="56"/>
      <c r="C165" s="56"/>
      <c r="D165" s="56"/>
      <c r="E165" s="57"/>
      <c r="F165" s="58"/>
      <c r="G165" s="56"/>
      <c r="H165" s="56"/>
      <c r="I165" s="59"/>
      <c r="J165" s="56"/>
      <c r="K165" s="56"/>
      <c r="L165" s="56"/>
      <c r="M165" s="1"/>
      <c r="N165" s="1"/>
      <c r="O165" s="1"/>
      <c r="P165" s="1"/>
      <c r="Q165" s="1"/>
      <c r="R165" s="1"/>
      <c r="S165" s="1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</row>
    <row r="166" spans="1:32" ht="58.5" customHeight="1" x14ac:dyDescent="0.25">
      <c r="A166" s="56"/>
      <c r="B166" s="56"/>
      <c r="C166" s="56"/>
      <c r="D166" s="56"/>
      <c r="E166" s="57"/>
      <c r="F166" s="58"/>
      <c r="G166" s="56"/>
      <c r="H166" s="56"/>
      <c r="I166" s="59"/>
      <c r="J166" s="56"/>
      <c r="K166" s="56"/>
      <c r="L166" s="56"/>
      <c r="M166" s="1"/>
      <c r="N166" s="1"/>
      <c r="O166" s="1"/>
      <c r="P166" s="1"/>
      <c r="Q166" s="1"/>
      <c r="R166" s="1"/>
      <c r="S166" s="1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</row>
    <row r="167" spans="1:32" ht="58.5" customHeight="1" x14ac:dyDescent="0.25">
      <c r="A167" s="56"/>
      <c r="B167" s="56"/>
      <c r="C167" s="56"/>
      <c r="D167" s="56"/>
      <c r="E167" s="57"/>
      <c r="F167" s="58"/>
      <c r="G167" s="56"/>
      <c r="H167" s="56"/>
      <c r="I167" s="59"/>
      <c r="J167" s="56"/>
      <c r="K167" s="56"/>
      <c r="L167" s="56"/>
      <c r="M167" s="1"/>
      <c r="N167" s="1"/>
      <c r="O167" s="1"/>
      <c r="P167" s="1"/>
      <c r="Q167" s="1"/>
      <c r="R167" s="1"/>
      <c r="S167" s="1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</row>
    <row r="168" spans="1:32" ht="58.5" customHeight="1" x14ac:dyDescent="0.25">
      <c r="A168" s="56"/>
      <c r="B168" s="56"/>
      <c r="C168" s="56"/>
      <c r="D168" s="56"/>
      <c r="E168" s="57"/>
      <c r="F168" s="58"/>
      <c r="G168" s="56"/>
      <c r="H168" s="56"/>
      <c r="I168" s="59"/>
      <c r="J168" s="56"/>
      <c r="K168" s="56"/>
      <c r="L168" s="56"/>
      <c r="M168" s="1"/>
      <c r="N168" s="1"/>
      <c r="O168" s="1"/>
      <c r="P168" s="1"/>
      <c r="Q168" s="1"/>
      <c r="R168" s="1"/>
      <c r="S168" s="1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</row>
    <row r="169" spans="1:32" ht="58.5" customHeight="1" x14ac:dyDescent="0.25">
      <c r="A169" s="56"/>
      <c r="B169" s="56"/>
      <c r="C169" s="56"/>
      <c r="D169" s="56"/>
      <c r="E169" s="57"/>
      <c r="F169" s="58"/>
      <c r="G169" s="56"/>
      <c r="H169" s="56"/>
      <c r="I169" s="59"/>
      <c r="J169" s="56"/>
      <c r="K169" s="56"/>
      <c r="L169" s="56"/>
      <c r="M169" s="1"/>
      <c r="N169" s="1"/>
      <c r="O169" s="1"/>
      <c r="P169" s="1"/>
      <c r="Q169" s="1"/>
      <c r="R169" s="1"/>
      <c r="S169" s="1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</row>
    <row r="170" spans="1:32" ht="58.5" customHeight="1" x14ac:dyDescent="0.25">
      <c r="A170" s="56"/>
      <c r="B170" s="56"/>
      <c r="C170" s="56"/>
      <c r="D170" s="56"/>
      <c r="E170" s="57"/>
      <c r="F170" s="58"/>
      <c r="G170" s="56"/>
      <c r="H170" s="56"/>
      <c r="I170" s="59"/>
      <c r="J170" s="56"/>
      <c r="K170" s="56"/>
      <c r="L170" s="56"/>
      <c r="M170" s="1"/>
      <c r="N170" s="1"/>
      <c r="O170" s="1"/>
      <c r="P170" s="1"/>
      <c r="Q170" s="1"/>
      <c r="R170" s="1"/>
      <c r="S170" s="1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</row>
    <row r="171" spans="1:32" ht="58.5" customHeight="1" x14ac:dyDescent="0.25">
      <c r="A171" s="56"/>
      <c r="B171" s="56"/>
      <c r="C171" s="56"/>
      <c r="D171" s="56"/>
      <c r="E171" s="57"/>
      <c r="F171" s="58"/>
      <c r="G171" s="56"/>
      <c r="H171" s="56"/>
      <c r="I171" s="59"/>
      <c r="J171" s="56"/>
      <c r="K171" s="56"/>
      <c r="L171" s="56"/>
      <c r="M171" s="1"/>
      <c r="N171" s="1"/>
      <c r="O171" s="1"/>
      <c r="P171" s="1"/>
      <c r="Q171" s="1"/>
      <c r="R171" s="1"/>
      <c r="S171" s="1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</row>
    <row r="172" spans="1:32" ht="58.5" customHeight="1" x14ac:dyDescent="0.25">
      <c r="A172" s="56"/>
      <c r="B172" s="56"/>
      <c r="C172" s="56"/>
      <c r="D172" s="56"/>
      <c r="E172" s="57"/>
      <c r="F172" s="58"/>
      <c r="G172" s="56"/>
      <c r="H172" s="56"/>
      <c r="I172" s="59"/>
      <c r="J172" s="56"/>
      <c r="K172" s="56"/>
      <c r="L172" s="56"/>
      <c r="M172" s="1"/>
      <c r="N172" s="1"/>
      <c r="O172" s="1"/>
      <c r="P172" s="1"/>
      <c r="Q172" s="1"/>
      <c r="R172" s="1"/>
      <c r="S172" s="1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</row>
    <row r="173" spans="1:32" ht="58.5" customHeight="1" x14ac:dyDescent="0.25">
      <c r="A173" s="56"/>
      <c r="B173" s="56"/>
      <c r="C173" s="56"/>
      <c r="D173" s="56"/>
      <c r="E173" s="57"/>
      <c r="F173" s="58"/>
      <c r="G173" s="56"/>
      <c r="H173" s="56"/>
      <c r="I173" s="59"/>
      <c r="J173" s="56"/>
      <c r="K173" s="56"/>
      <c r="L173" s="56"/>
      <c r="M173" s="1"/>
      <c r="N173" s="1"/>
      <c r="O173" s="1"/>
      <c r="P173" s="1"/>
      <c r="Q173" s="1"/>
      <c r="R173" s="1"/>
      <c r="S173" s="1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</row>
    <row r="174" spans="1:32" ht="58.5" customHeight="1" x14ac:dyDescent="0.25">
      <c r="A174" s="56"/>
      <c r="B174" s="56"/>
      <c r="C174" s="56"/>
      <c r="D174" s="56"/>
      <c r="E174" s="57"/>
      <c r="F174" s="58"/>
      <c r="G174" s="56"/>
      <c r="H174" s="56"/>
      <c r="I174" s="59"/>
      <c r="J174" s="56"/>
      <c r="K174" s="56"/>
      <c r="L174" s="56"/>
      <c r="M174" s="1"/>
      <c r="N174" s="1"/>
      <c r="O174" s="1"/>
      <c r="P174" s="1"/>
      <c r="Q174" s="1"/>
      <c r="R174" s="1"/>
      <c r="S174" s="1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</row>
    <row r="175" spans="1:32" ht="58.5" customHeight="1" x14ac:dyDescent="0.25">
      <c r="A175" s="56"/>
      <c r="B175" s="56"/>
      <c r="C175" s="56"/>
      <c r="D175" s="56"/>
      <c r="E175" s="57"/>
      <c r="F175" s="58"/>
      <c r="G175" s="56"/>
      <c r="H175" s="56"/>
      <c r="I175" s="59"/>
      <c r="J175" s="56"/>
      <c r="K175" s="56"/>
      <c r="L175" s="56"/>
      <c r="M175" s="1"/>
      <c r="N175" s="1"/>
      <c r="O175" s="1"/>
      <c r="P175" s="1"/>
      <c r="Q175" s="1"/>
      <c r="R175" s="1"/>
      <c r="S175" s="1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</row>
    <row r="176" spans="1:32" ht="58.5" customHeight="1" x14ac:dyDescent="0.25">
      <c r="A176" s="56"/>
      <c r="B176" s="56"/>
      <c r="C176" s="56"/>
      <c r="D176" s="56"/>
      <c r="E176" s="57"/>
      <c r="F176" s="58"/>
      <c r="G176" s="56"/>
      <c r="H176" s="56"/>
      <c r="I176" s="59"/>
      <c r="J176" s="56"/>
      <c r="K176" s="56"/>
      <c r="L176" s="56"/>
      <c r="M176" s="1"/>
      <c r="N176" s="1"/>
      <c r="O176" s="1"/>
      <c r="P176" s="1"/>
      <c r="Q176" s="1"/>
      <c r="R176" s="1"/>
      <c r="S176" s="1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</row>
    <row r="177" spans="1:32" ht="58.5" customHeight="1" x14ac:dyDescent="0.25">
      <c r="A177" s="56"/>
      <c r="B177" s="56"/>
      <c r="C177" s="56"/>
      <c r="D177" s="56"/>
      <c r="E177" s="57"/>
      <c r="F177" s="58"/>
      <c r="G177" s="56"/>
      <c r="H177" s="56"/>
      <c r="I177" s="59"/>
      <c r="J177" s="56"/>
      <c r="K177" s="56"/>
      <c r="L177" s="56"/>
      <c r="M177" s="1"/>
      <c r="N177" s="1"/>
      <c r="O177" s="1"/>
      <c r="P177" s="1"/>
      <c r="Q177" s="1"/>
      <c r="R177" s="1"/>
      <c r="S177" s="1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</row>
    <row r="178" spans="1:32" ht="58.5" customHeight="1" x14ac:dyDescent="0.25">
      <c r="A178" s="56"/>
      <c r="B178" s="56"/>
      <c r="C178" s="56"/>
      <c r="D178" s="56"/>
      <c r="E178" s="57"/>
      <c r="F178" s="58"/>
      <c r="G178" s="56"/>
      <c r="H178" s="56"/>
      <c r="I178" s="59"/>
      <c r="J178" s="56"/>
      <c r="K178" s="56"/>
      <c r="L178" s="56"/>
      <c r="M178" s="1"/>
      <c r="N178" s="1"/>
      <c r="O178" s="1"/>
      <c r="P178" s="1"/>
      <c r="Q178" s="1"/>
      <c r="R178" s="1"/>
      <c r="S178" s="1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</row>
    <row r="179" spans="1:32" ht="58.5" customHeight="1" x14ac:dyDescent="0.25">
      <c r="A179" s="56"/>
      <c r="B179" s="56"/>
      <c r="C179" s="56"/>
      <c r="D179" s="56"/>
      <c r="E179" s="57"/>
      <c r="F179" s="58"/>
      <c r="G179" s="56"/>
      <c r="H179" s="56"/>
      <c r="I179" s="59"/>
      <c r="J179" s="56"/>
      <c r="K179" s="56"/>
      <c r="L179" s="56"/>
      <c r="M179" s="1"/>
      <c r="N179" s="1"/>
      <c r="O179" s="1"/>
      <c r="P179" s="1"/>
      <c r="Q179" s="1"/>
      <c r="R179" s="1"/>
      <c r="S179" s="1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</row>
    <row r="180" spans="1:32" ht="58.5" customHeight="1" x14ac:dyDescent="0.25">
      <c r="A180" s="56"/>
      <c r="B180" s="56"/>
      <c r="C180" s="56"/>
      <c r="D180" s="56"/>
      <c r="E180" s="57"/>
      <c r="F180" s="58"/>
      <c r="G180" s="56"/>
      <c r="H180" s="56"/>
      <c r="I180" s="59"/>
      <c r="J180" s="56"/>
      <c r="K180" s="56"/>
      <c r="L180" s="56"/>
      <c r="M180" s="1"/>
      <c r="N180" s="1"/>
      <c r="O180" s="1"/>
      <c r="P180" s="1"/>
      <c r="Q180" s="1"/>
      <c r="R180" s="1"/>
      <c r="S180" s="1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</row>
    <row r="181" spans="1:32" ht="58.5" customHeight="1" x14ac:dyDescent="0.25">
      <c r="A181" s="56"/>
      <c r="B181" s="56"/>
      <c r="C181" s="56"/>
      <c r="D181" s="56"/>
      <c r="E181" s="57"/>
      <c r="F181" s="58"/>
      <c r="G181" s="56"/>
      <c r="H181" s="56"/>
      <c r="I181" s="59"/>
      <c r="J181" s="56"/>
      <c r="K181" s="56"/>
      <c r="L181" s="56"/>
      <c r="M181" s="1"/>
      <c r="N181" s="1"/>
      <c r="O181" s="1"/>
      <c r="P181" s="1"/>
      <c r="Q181" s="1"/>
      <c r="R181" s="1"/>
      <c r="S181" s="1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</row>
    <row r="182" spans="1:32" ht="58.5" customHeight="1" x14ac:dyDescent="0.25">
      <c r="A182" s="56"/>
      <c r="B182" s="56"/>
      <c r="C182" s="56"/>
      <c r="D182" s="56"/>
      <c r="E182" s="57"/>
      <c r="F182" s="58"/>
      <c r="G182" s="56"/>
      <c r="H182" s="56"/>
      <c r="I182" s="59"/>
      <c r="J182" s="56"/>
      <c r="K182" s="56"/>
      <c r="L182" s="56"/>
      <c r="M182" s="1"/>
      <c r="N182" s="1"/>
      <c r="O182" s="1"/>
      <c r="P182" s="1"/>
      <c r="Q182" s="1"/>
      <c r="R182" s="1"/>
      <c r="S182" s="1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</row>
    <row r="183" spans="1:32" ht="58.5" customHeight="1" x14ac:dyDescent="0.25">
      <c r="A183" s="56"/>
      <c r="B183" s="56"/>
      <c r="C183" s="56"/>
      <c r="D183" s="56"/>
      <c r="E183" s="57"/>
      <c r="F183" s="58"/>
      <c r="G183" s="56"/>
      <c r="H183" s="56"/>
      <c r="I183" s="59"/>
      <c r="J183" s="56"/>
      <c r="K183" s="56"/>
      <c r="L183" s="56"/>
      <c r="M183" s="1"/>
      <c r="N183" s="1"/>
      <c r="O183" s="1"/>
      <c r="P183" s="1"/>
      <c r="Q183" s="1"/>
      <c r="R183" s="1"/>
      <c r="S183" s="1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</row>
    <row r="184" spans="1:32" ht="58.5" customHeight="1" x14ac:dyDescent="0.25">
      <c r="A184" s="56"/>
      <c r="B184" s="56"/>
      <c r="C184" s="56"/>
      <c r="D184" s="56"/>
      <c r="E184" s="57"/>
      <c r="F184" s="58"/>
      <c r="G184" s="56"/>
      <c r="H184" s="56"/>
      <c r="I184" s="59"/>
      <c r="J184" s="56"/>
      <c r="K184" s="56"/>
      <c r="L184" s="56"/>
      <c r="M184" s="1"/>
      <c r="N184" s="1"/>
      <c r="O184" s="1"/>
      <c r="P184" s="1"/>
      <c r="Q184" s="1"/>
      <c r="R184" s="1"/>
      <c r="S184" s="1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</row>
    <row r="185" spans="1:32" ht="58.5" customHeight="1" x14ac:dyDescent="0.25">
      <c r="A185" s="56"/>
      <c r="B185" s="56"/>
      <c r="C185" s="56"/>
      <c r="D185" s="56"/>
      <c r="E185" s="57"/>
      <c r="F185" s="58"/>
      <c r="G185" s="56"/>
      <c r="H185" s="56"/>
      <c r="I185" s="59"/>
      <c r="J185" s="56"/>
      <c r="K185" s="56"/>
      <c r="L185" s="56"/>
      <c r="M185" s="1"/>
      <c r="N185" s="1"/>
      <c r="O185" s="1"/>
      <c r="P185" s="1"/>
      <c r="Q185" s="1"/>
      <c r="R185" s="1"/>
      <c r="S185" s="1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</row>
    <row r="186" spans="1:32" ht="58.5" customHeight="1" x14ac:dyDescent="0.25">
      <c r="A186" s="56"/>
      <c r="B186" s="56"/>
      <c r="C186" s="56"/>
      <c r="D186" s="56"/>
      <c r="E186" s="57"/>
      <c r="F186" s="58"/>
      <c r="G186" s="56"/>
      <c r="H186" s="56"/>
      <c r="I186" s="59"/>
      <c r="J186" s="56"/>
      <c r="K186" s="56"/>
      <c r="L186" s="56"/>
      <c r="M186" s="1"/>
      <c r="N186" s="1"/>
      <c r="O186" s="1"/>
      <c r="P186" s="1"/>
      <c r="Q186" s="1"/>
      <c r="R186" s="1"/>
      <c r="S186" s="1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</row>
    <row r="187" spans="1:32" ht="58.5" customHeight="1" x14ac:dyDescent="0.25">
      <c r="A187" s="56"/>
      <c r="B187" s="56"/>
      <c r="C187" s="56"/>
      <c r="D187" s="56"/>
      <c r="E187" s="57"/>
      <c r="F187" s="58"/>
      <c r="G187" s="56"/>
      <c r="H187" s="56"/>
      <c r="I187" s="59"/>
      <c r="J187" s="56"/>
      <c r="K187" s="56"/>
      <c r="L187" s="56"/>
      <c r="M187" s="1"/>
      <c r="N187" s="1"/>
      <c r="O187" s="1"/>
      <c r="P187" s="1"/>
      <c r="Q187" s="1"/>
      <c r="R187" s="1"/>
      <c r="S187" s="1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</row>
    <row r="188" spans="1:32" ht="58.5" customHeight="1" x14ac:dyDescent="0.25">
      <c r="A188" s="56"/>
      <c r="B188" s="56"/>
      <c r="C188" s="56"/>
      <c r="D188" s="56"/>
      <c r="E188" s="57"/>
      <c r="F188" s="58"/>
      <c r="G188" s="56"/>
      <c r="H188" s="56"/>
      <c r="I188" s="59"/>
      <c r="J188" s="56"/>
      <c r="K188" s="56"/>
      <c r="L188" s="56"/>
      <c r="M188" s="1"/>
      <c r="N188" s="1"/>
      <c r="O188" s="1"/>
      <c r="P188" s="1"/>
      <c r="Q188" s="1"/>
      <c r="R188" s="1"/>
      <c r="S188" s="1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</row>
    <row r="189" spans="1:32" ht="58.5" customHeight="1" x14ac:dyDescent="0.25">
      <c r="A189" s="56"/>
      <c r="B189" s="56"/>
      <c r="C189" s="56"/>
      <c r="D189" s="56"/>
      <c r="E189" s="57"/>
      <c r="F189" s="58"/>
      <c r="G189" s="56"/>
      <c r="H189" s="56"/>
      <c r="I189" s="59"/>
      <c r="J189" s="56"/>
      <c r="K189" s="56"/>
      <c r="L189" s="56"/>
      <c r="M189" s="1"/>
      <c r="N189" s="1"/>
      <c r="O189" s="1"/>
      <c r="P189" s="1"/>
      <c r="Q189" s="1"/>
      <c r="R189" s="1"/>
      <c r="S189" s="1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</row>
    <row r="190" spans="1:32" ht="58.5" customHeight="1" x14ac:dyDescent="0.25">
      <c r="A190" s="56"/>
      <c r="B190" s="56"/>
      <c r="C190" s="56"/>
      <c r="D190" s="56"/>
      <c r="E190" s="57"/>
      <c r="F190" s="58"/>
      <c r="G190" s="56"/>
      <c r="H190" s="56"/>
      <c r="I190" s="59"/>
      <c r="J190" s="56"/>
      <c r="K190" s="56"/>
      <c r="L190" s="56"/>
      <c r="M190" s="1"/>
      <c r="N190" s="1"/>
      <c r="O190" s="1"/>
      <c r="P190" s="1"/>
      <c r="Q190" s="1"/>
      <c r="R190" s="1"/>
      <c r="S190" s="1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</row>
    <row r="191" spans="1:32" ht="58.5" customHeight="1" x14ac:dyDescent="0.25">
      <c r="A191" s="56"/>
      <c r="B191" s="56"/>
      <c r="C191" s="56"/>
      <c r="D191" s="56"/>
      <c r="E191" s="57"/>
      <c r="F191" s="58"/>
      <c r="G191" s="56"/>
      <c r="H191" s="56"/>
      <c r="I191" s="59"/>
      <c r="J191" s="56"/>
      <c r="K191" s="56"/>
      <c r="L191" s="56"/>
      <c r="M191" s="1"/>
      <c r="N191" s="1"/>
      <c r="O191" s="1"/>
      <c r="P191" s="1"/>
      <c r="Q191" s="1"/>
      <c r="R191" s="1"/>
      <c r="S191" s="1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</row>
    <row r="192" spans="1:32" ht="58.5" customHeight="1" x14ac:dyDescent="0.25">
      <c r="A192" s="56"/>
      <c r="B192" s="56"/>
      <c r="C192" s="56"/>
      <c r="D192" s="56"/>
      <c r="E192" s="57"/>
      <c r="F192" s="58"/>
      <c r="G192" s="56"/>
      <c r="H192" s="56"/>
      <c r="I192" s="59"/>
      <c r="J192" s="56"/>
      <c r="K192" s="56"/>
      <c r="L192" s="56"/>
      <c r="M192" s="1"/>
      <c r="N192" s="1"/>
      <c r="O192" s="1"/>
      <c r="P192" s="1"/>
      <c r="Q192" s="1"/>
      <c r="R192" s="1"/>
      <c r="S192" s="1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</row>
    <row r="193" spans="1:32" ht="58.5" customHeight="1" x14ac:dyDescent="0.25">
      <c r="A193" s="56"/>
      <c r="B193" s="56"/>
      <c r="C193" s="56"/>
      <c r="D193" s="56"/>
      <c r="E193" s="57"/>
      <c r="F193" s="58"/>
      <c r="G193" s="56"/>
      <c r="H193" s="56"/>
      <c r="I193" s="59"/>
      <c r="J193" s="56"/>
      <c r="K193" s="56"/>
      <c r="L193" s="56"/>
      <c r="M193" s="1"/>
      <c r="N193" s="1"/>
      <c r="O193" s="1"/>
      <c r="P193" s="1"/>
      <c r="Q193" s="1"/>
      <c r="R193" s="1"/>
      <c r="S193" s="1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</row>
    <row r="194" spans="1:32" ht="58.5" customHeight="1" x14ac:dyDescent="0.25">
      <c r="A194" s="56"/>
      <c r="B194" s="56"/>
      <c r="C194" s="56"/>
      <c r="D194" s="56"/>
      <c r="E194" s="57"/>
      <c r="F194" s="58"/>
      <c r="G194" s="56"/>
      <c r="H194" s="56"/>
      <c r="I194" s="59"/>
      <c r="J194" s="56"/>
      <c r="K194" s="56"/>
      <c r="L194" s="56"/>
      <c r="M194" s="1"/>
      <c r="N194" s="1"/>
      <c r="O194" s="1"/>
      <c r="P194" s="1"/>
      <c r="Q194" s="1"/>
      <c r="R194" s="1"/>
      <c r="S194" s="1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</row>
    <row r="195" spans="1:32" ht="58.5" customHeight="1" x14ac:dyDescent="0.25">
      <c r="A195" s="56"/>
      <c r="B195" s="56"/>
      <c r="C195" s="56"/>
      <c r="D195" s="56"/>
      <c r="E195" s="57"/>
      <c r="F195" s="58"/>
      <c r="G195" s="56"/>
      <c r="H195" s="56"/>
      <c r="I195" s="59"/>
      <c r="J195" s="56"/>
      <c r="K195" s="56"/>
      <c r="L195" s="56"/>
      <c r="M195" s="1"/>
      <c r="N195" s="1"/>
      <c r="O195" s="1"/>
      <c r="P195" s="1"/>
      <c r="Q195" s="1"/>
      <c r="R195" s="1"/>
      <c r="S195" s="1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</row>
    <row r="196" spans="1:32" ht="58.5" customHeight="1" x14ac:dyDescent="0.25">
      <c r="A196" s="56"/>
      <c r="B196" s="56"/>
      <c r="C196" s="56"/>
      <c r="D196" s="56"/>
      <c r="E196" s="57"/>
      <c r="F196" s="58"/>
      <c r="G196" s="56"/>
      <c r="H196" s="56"/>
      <c r="I196" s="59"/>
      <c r="J196" s="56"/>
      <c r="K196" s="56"/>
      <c r="L196" s="56"/>
      <c r="M196" s="1"/>
      <c r="N196" s="1"/>
      <c r="O196" s="1"/>
      <c r="P196" s="1"/>
      <c r="Q196" s="1"/>
      <c r="R196" s="1"/>
      <c r="S196" s="1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</row>
    <row r="197" spans="1:32" ht="58.5" customHeight="1" x14ac:dyDescent="0.25">
      <c r="A197" s="56"/>
      <c r="B197" s="56"/>
      <c r="C197" s="56"/>
      <c r="D197" s="56"/>
      <c r="E197" s="57"/>
      <c r="F197" s="58"/>
      <c r="G197" s="56"/>
      <c r="H197" s="56"/>
      <c r="I197" s="59"/>
      <c r="J197" s="56"/>
      <c r="K197" s="56"/>
      <c r="L197" s="56"/>
      <c r="M197" s="1"/>
      <c r="N197" s="1"/>
      <c r="O197" s="1"/>
      <c r="P197" s="1"/>
      <c r="Q197" s="1"/>
      <c r="R197" s="1"/>
      <c r="S197" s="1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</row>
    <row r="198" spans="1:32" ht="58.5" customHeight="1" x14ac:dyDescent="0.25">
      <c r="A198" s="56"/>
      <c r="B198" s="56"/>
      <c r="C198" s="56"/>
      <c r="D198" s="56"/>
      <c r="E198" s="57"/>
      <c r="F198" s="58"/>
      <c r="G198" s="56"/>
      <c r="H198" s="56"/>
      <c r="I198" s="59"/>
      <c r="J198" s="56"/>
      <c r="K198" s="56"/>
      <c r="L198" s="56"/>
      <c r="M198" s="1"/>
      <c r="N198" s="1"/>
      <c r="O198" s="1"/>
      <c r="P198" s="1"/>
      <c r="Q198" s="1"/>
      <c r="R198" s="1"/>
      <c r="S198" s="1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</row>
    <row r="199" spans="1:32" ht="58.5" customHeight="1" x14ac:dyDescent="0.25">
      <c r="A199" s="56"/>
      <c r="B199" s="56"/>
      <c r="C199" s="56"/>
      <c r="D199" s="56"/>
      <c r="E199" s="57"/>
      <c r="F199" s="58"/>
      <c r="G199" s="56"/>
      <c r="H199" s="56"/>
      <c r="I199" s="59"/>
      <c r="J199" s="56"/>
      <c r="K199" s="56"/>
      <c r="L199" s="56"/>
      <c r="M199" s="1"/>
      <c r="N199" s="1"/>
      <c r="O199" s="1"/>
      <c r="P199" s="1"/>
      <c r="Q199" s="1"/>
      <c r="R199" s="1"/>
      <c r="S199" s="1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</row>
    <row r="200" spans="1:32" ht="58.5" customHeight="1" x14ac:dyDescent="0.25">
      <c r="A200" s="56"/>
      <c r="B200" s="47" t="s">
        <v>283</v>
      </c>
      <c r="C200" s="56"/>
      <c r="D200" s="56"/>
      <c r="E200" s="57"/>
      <c r="F200" s="58"/>
      <c r="G200" s="56"/>
      <c r="H200" s="56"/>
      <c r="I200" s="59"/>
      <c r="J200" s="56"/>
      <c r="K200" s="56"/>
      <c r="L200" s="56"/>
      <c r="M200" s="1"/>
      <c r="N200" s="1"/>
      <c r="O200" s="1"/>
      <c r="P200" s="1"/>
      <c r="Q200" s="1"/>
      <c r="R200" s="1"/>
      <c r="S200" s="1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</row>
    <row r="201" spans="1:32" ht="58.5" customHeight="1" x14ac:dyDescent="0.25">
      <c r="A201" s="56"/>
      <c r="B201" s="47" t="s">
        <v>284</v>
      </c>
      <c r="C201" s="56"/>
      <c r="D201" s="56"/>
      <c r="E201" s="57"/>
      <c r="F201" s="58"/>
      <c r="G201" s="56"/>
      <c r="H201" s="56"/>
      <c r="I201" s="59"/>
      <c r="J201" s="56"/>
      <c r="K201" s="56"/>
      <c r="L201" s="56"/>
      <c r="M201" s="1"/>
      <c r="N201" s="1"/>
      <c r="O201" s="1"/>
      <c r="P201" s="1"/>
      <c r="Q201" s="1"/>
      <c r="R201" s="1"/>
      <c r="S201" s="1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</row>
    <row r="202" spans="1:32" ht="58.5" customHeight="1" x14ac:dyDescent="0.25">
      <c r="A202" s="56"/>
      <c r="B202" s="56"/>
      <c r="C202" s="56"/>
      <c r="D202" s="56"/>
      <c r="E202" s="57"/>
      <c r="F202" s="58"/>
      <c r="G202" s="56"/>
      <c r="H202" s="56"/>
      <c r="I202" s="59"/>
      <c r="J202" s="56"/>
      <c r="K202" s="56"/>
      <c r="L202" s="56"/>
      <c r="M202" s="1"/>
      <c r="N202" s="1"/>
      <c r="O202" s="1"/>
      <c r="P202" s="1"/>
      <c r="Q202" s="1"/>
      <c r="R202" s="1"/>
      <c r="S202" s="1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</row>
    <row r="203" spans="1:32" ht="58.5" customHeight="1" x14ac:dyDescent="0.25">
      <c r="A203" s="56"/>
      <c r="B203" s="56"/>
      <c r="C203" s="56"/>
      <c r="D203" s="56"/>
      <c r="E203" s="57"/>
      <c r="F203" s="58"/>
      <c r="G203" s="56"/>
      <c r="H203" s="56"/>
      <c r="I203" s="59"/>
      <c r="J203" s="56"/>
      <c r="K203" s="56"/>
      <c r="L203" s="56"/>
      <c r="M203" s="1"/>
      <c r="N203" s="1"/>
      <c r="O203" s="1"/>
      <c r="P203" s="1"/>
      <c r="Q203" s="1"/>
      <c r="R203" s="1"/>
      <c r="S203" s="1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</row>
    <row r="204" spans="1:32" ht="58.5" customHeight="1" x14ac:dyDescent="0.25">
      <c r="A204" s="56"/>
      <c r="B204" s="56"/>
      <c r="C204" s="56"/>
      <c r="D204" s="56"/>
      <c r="E204" s="57"/>
      <c r="F204" s="58"/>
      <c r="G204" s="56"/>
      <c r="H204" s="56"/>
      <c r="I204" s="59"/>
      <c r="J204" s="56"/>
      <c r="K204" s="56"/>
      <c r="L204" s="56"/>
      <c r="M204" s="1"/>
      <c r="N204" s="1"/>
      <c r="O204" s="1"/>
      <c r="P204" s="1"/>
      <c r="Q204" s="1"/>
      <c r="R204" s="1"/>
      <c r="S204" s="1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</row>
    <row r="205" spans="1:32" ht="58.5" customHeight="1" x14ac:dyDescent="0.25">
      <c r="A205" s="56"/>
      <c r="B205" s="56"/>
      <c r="C205" s="56"/>
      <c r="D205" s="56"/>
      <c r="E205" s="57"/>
      <c r="F205" s="58"/>
      <c r="G205" s="56"/>
      <c r="H205" s="56"/>
      <c r="I205" s="59"/>
      <c r="J205" s="56"/>
      <c r="K205" s="56"/>
      <c r="L205" s="56"/>
      <c r="M205" s="1"/>
      <c r="N205" s="1"/>
      <c r="O205" s="1"/>
      <c r="P205" s="1"/>
      <c r="Q205" s="1"/>
      <c r="R205" s="1"/>
      <c r="S205" s="1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</row>
    <row r="206" spans="1:32" ht="58.5" customHeight="1" x14ac:dyDescent="0.25">
      <c r="A206" s="56"/>
      <c r="B206" s="56"/>
      <c r="C206" s="56"/>
      <c r="D206" s="56"/>
      <c r="E206" s="57"/>
      <c r="F206" s="58"/>
      <c r="G206" s="56"/>
      <c r="H206" s="56"/>
      <c r="I206" s="59"/>
      <c r="J206" s="56"/>
      <c r="K206" s="56"/>
      <c r="L206" s="56"/>
      <c r="M206" s="1"/>
      <c r="N206" s="1"/>
      <c r="O206" s="1"/>
      <c r="P206" s="1"/>
      <c r="Q206" s="1"/>
      <c r="R206" s="1"/>
      <c r="S206" s="1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</row>
    <row r="207" spans="1:32" ht="58.5" customHeight="1" x14ac:dyDescent="0.25">
      <c r="A207" s="56"/>
      <c r="B207" s="56"/>
      <c r="C207" s="56"/>
      <c r="D207" s="56"/>
      <c r="E207" s="57"/>
      <c r="F207" s="58"/>
      <c r="G207" s="56"/>
      <c r="H207" s="56"/>
      <c r="I207" s="59"/>
      <c r="J207" s="56"/>
      <c r="K207" s="56"/>
      <c r="L207" s="56"/>
      <c r="M207" s="1"/>
      <c r="N207" s="1"/>
      <c r="O207" s="1"/>
      <c r="P207" s="1"/>
      <c r="Q207" s="1"/>
      <c r="R207" s="1"/>
      <c r="S207" s="1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</row>
    <row r="208" spans="1:32" ht="58.5" customHeight="1" x14ac:dyDescent="0.25">
      <c r="A208" s="56"/>
      <c r="B208" s="56"/>
      <c r="C208" s="56"/>
      <c r="D208" s="56"/>
      <c r="E208" s="57"/>
      <c r="F208" s="58"/>
      <c r="G208" s="56"/>
      <c r="H208" s="56"/>
      <c r="I208" s="59"/>
      <c r="J208" s="56"/>
      <c r="K208" s="56"/>
      <c r="L208" s="56"/>
      <c r="M208" s="1"/>
      <c r="N208" s="1"/>
      <c r="O208" s="1"/>
      <c r="P208" s="1"/>
      <c r="Q208" s="1"/>
      <c r="R208" s="1"/>
      <c r="S208" s="1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</row>
    <row r="209" spans="1:32" ht="58.5" customHeight="1" x14ac:dyDescent="0.25">
      <c r="A209" s="56"/>
      <c r="B209" s="56"/>
      <c r="C209" s="56"/>
      <c r="D209" s="56"/>
      <c r="E209" s="57"/>
      <c r="F209" s="58"/>
      <c r="G209" s="56"/>
      <c r="H209" s="56"/>
      <c r="I209" s="59"/>
      <c r="J209" s="56"/>
      <c r="K209" s="56"/>
      <c r="L209" s="56"/>
      <c r="M209" s="1"/>
      <c r="N209" s="1"/>
      <c r="O209" s="1"/>
      <c r="P209" s="1"/>
      <c r="Q209" s="1"/>
      <c r="R209" s="1"/>
      <c r="S209" s="1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</row>
    <row r="210" spans="1:32" ht="58.5" customHeight="1" x14ac:dyDescent="0.25">
      <c r="A210" s="56"/>
      <c r="B210" s="56"/>
      <c r="C210" s="56"/>
      <c r="D210" s="56"/>
      <c r="E210" s="57"/>
      <c r="F210" s="58"/>
      <c r="G210" s="56"/>
      <c r="H210" s="56"/>
      <c r="I210" s="59"/>
      <c r="J210" s="56"/>
      <c r="K210" s="56"/>
      <c r="L210" s="56"/>
      <c r="M210" s="1"/>
      <c r="N210" s="1"/>
      <c r="O210" s="1"/>
      <c r="P210" s="1"/>
      <c r="Q210" s="1"/>
      <c r="R210" s="1"/>
      <c r="S210" s="1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</row>
    <row r="211" spans="1:32" ht="58.5" customHeight="1" x14ac:dyDescent="0.25">
      <c r="A211" s="56"/>
      <c r="B211" s="56"/>
      <c r="C211" s="56"/>
      <c r="D211" s="56"/>
      <c r="E211" s="57"/>
      <c r="F211" s="58"/>
      <c r="G211" s="56"/>
      <c r="H211" s="56"/>
      <c r="I211" s="59"/>
      <c r="J211" s="56"/>
      <c r="K211" s="56"/>
      <c r="L211" s="56"/>
      <c r="M211" s="1"/>
      <c r="N211" s="1"/>
      <c r="O211" s="1"/>
      <c r="P211" s="1"/>
      <c r="Q211" s="1"/>
      <c r="R211" s="1"/>
      <c r="S211" s="1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</row>
    <row r="212" spans="1:32" ht="58.5" customHeight="1" x14ac:dyDescent="0.25">
      <c r="A212" s="56"/>
      <c r="B212" s="56"/>
      <c r="C212" s="56"/>
      <c r="D212" s="56"/>
      <c r="E212" s="57"/>
      <c r="F212" s="58"/>
      <c r="G212" s="56"/>
      <c r="H212" s="56"/>
      <c r="I212" s="59"/>
      <c r="J212" s="56"/>
      <c r="K212" s="56"/>
      <c r="L212" s="56"/>
      <c r="M212" s="1"/>
      <c r="N212" s="1"/>
      <c r="O212" s="1"/>
      <c r="P212" s="1"/>
      <c r="Q212" s="1"/>
      <c r="R212" s="1"/>
      <c r="S212" s="1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</row>
    <row r="213" spans="1:32" ht="58.5" customHeight="1" x14ac:dyDescent="0.25">
      <c r="A213" s="56"/>
      <c r="B213" s="56"/>
      <c r="C213" s="56"/>
      <c r="D213" s="56"/>
      <c r="E213" s="57"/>
      <c r="F213" s="58"/>
      <c r="G213" s="56"/>
      <c r="H213" s="56"/>
      <c r="I213" s="59"/>
      <c r="J213" s="56"/>
      <c r="K213" s="56"/>
      <c r="L213" s="56"/>
      <c r="M213" s="1"/>
      <c r="N213" s="1"/>
      <c r="O213" s="1"/>
      <c r="P213" s="1"/>
      <c r="Q213" s="1"/>
      <c r="R213" s="1"/>
      <c r="S213" s="1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</row>
    <row r="214" spans="1:32" ht="58.5" customHeight="1" x14ac:dyDescent="0.25">
      <c r="A214" s="56"/>
      <c r="B214" s="56"/>
      <c r="C214" s="56"/>
      <c r="D214" s="56"/>
      <c r="E214" s="57"/>
      <c r="F214" s="58"/>
      <c r="G214" s="56"/>
      <c r="H214" s="56"/>
      <c r="I214" s="59"/>
      <c r="J214" s="56"/>
      <c r="K214" s="56"/>
      <c r="L214" s="56"/>
      <c r="M214" s="1"/>
      <c r="N214" s="1"/>
      <c r="O214" s="1"/>
      <c r="P214" s="1"/>
      <c r="Q214" s="1"/>
      <c r="R214" s="1"/>
      <c r="S214" s="1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</row>
    <row r="215" spans="1:32" ht="58.5" customHeight="1" x14ac:dyDescent="0.25">
      <c r="A215" s="56"/>
      <c r="B215" s="56"/>
      <c r="C215" s="56"/>
      <c r="D215" s="56"/>
      <c r="E215" s="57"/>
      <c r="F215" s="58"/>
      <c r="G215" s="56"/>
      <c r="H215" s="56"/>
      <c r="I215" s="59"/>
      <c r="J215" s="56"/>
      <c r="K215" s="56"/>
      <c r="L215" s="56"/>
      <c r="M215" s="1"/>
      <c r="N215" s="1"/>
      <c r="O215" s="1"/>
      <c r="P215" s="1"/>
      <c r="Q215" s="1"/>
      <c r="R215" s="1"/>
      <c r="S215" s="1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</row>
    <row r="216" spans="1:32" ht="58.5" customHeight="1" x14ac:dyDescent="0.25">
      <c r="A216" s="56"/>
      <c r="B216" s="56"/>
      <c r="C216" s="56"/>
      <c r="D216" s="56"/>
      <c r="E216" s="57"/>
      <c r="F216" s="58"/>
      <c r="G216" s="56"/>
      <c r="H216" s="56"/>
      <c r="I216" s="59"/>
      <c r="J216" s="56"/>
      <c r="K216" s="56"/>
      <c r="L216" s="56"/>
      <c r="M216" s="1"/>
      <c r="N216" s="1"/>
      <c r="O216" s="1"/>
      <c r="P216" s="1"/>
      <c r="Q216" s="1"/>
      <c r="R216" s="1"/>
      <c r="S216" s="1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</row>
    <row r="217" spans="1:32" ht="58.5" customHeight="1" x14ac:dyDescent="0.25">
      <c r="A217" s="56"/>
      <c r="B217" s="56"/>
      <c r="C217" s="56"/>
      <c r="D217" s="56"/>
      <c r="E217" s="57"/>
      <c r="F217" s="58"/>
      <c r="G217" s="56"/>
      <c r="H217" s="56"/>
      <c r="I217" s="59"/>
      <c r="J217" s="56"/>
      <c r="K217" s="56"/>
      <c r="L217" s="56"/>
      <c r="M217" s="1"/>
      <c r="N217" s="1"/>
      <c r="O217" s="1"/>
      <c r="P217" s="1"/>
      <c r="Q217" s="1"/>
      <c r="R217" s="1"/>
      <c r="S217" s="1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</row>
    <row r="218" spans="1:32" ht="58.5" customHeight="1" x14ac:dyDescent="0.25">
      <c r="A218" s="56"/>
      <c r="B218" s="56"/>
      <c r="C218" s="56"/>
      <c r="D218" s="56"/>
      <c r="E218" s="57"/>
      <c r="F218" s="58"/>
      <c r="G218" s="56"/>
      <c r="H218" s="56"/>
      <c r="I218" s="59"/>
      <c r="J218" s="56"/>
      <c r="K218" s="56"/>
      <c r="L218" s="56"/>
      <c r="M218" s="1"/>
      <c r="N218" s="1"/>
      <c r="O218" s="1"/>
      <c r="P218" s="1"/>
      <c r="Q218" s="1"/>
      <c r="R218" s="1"/>
      <c r="S218" s="1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</row>
    <row r="219" spans="1:32" ht="58.5" customHeight="1" x14ac:dyDescent="0.25">
      <c r="A219" s="56"/>
      <c r="B219" s="56"/>
      <c r="C219" s="56"/>
      <c r="D219" s="56"/>
      <c r="E219" s="57"/>
      <c r="F219" s="58"/>
      <c r="G219" s="56"/>
      <c r="H219" s="56"/>
      <c r="I219" s="59"/>
      <c r="J219" s="56"/>
      <c r="K219" s="56"/>
      <c r="L219" s="56"/>
      <c r="M219" s="1"/>
      <c r="N219" s="1"/>
      <c r="O219" s="1"/>
      <c r="P219" s="1"/>
      <c r="Q219" s="1"/>
      <c r="R219" s="1"/>
      <c r="S219" s="1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</row>
    <row r="220" spans="1:32" ht="58.5" customHeight="1" x14ac:dyDescent="0.25">
      <c r="A220" s="56"/>
      <c r="B220" s="56"/>
      <c r="C220" s="56"/>
      <c r="D220" s="56"/>
      <c r="E220" s="57"/>
      <c r="F220" s="58"/>
      <c r="G220" s="56"/>
      <c r="H220" s="56"/>
      <c r="I220" s="59"/>
      <c r="J220" s="56"/>
      <c r="K220" s="56"/>
      <c r="L220" s="56"/>
      <c r="M220" s="1"/>
      <c r="N220" s="1"/>
      <c r="O220" s="1"/>
      <c r="P220" s="1"/>
      <c r="Q220" s="1"/>
      <c r="R220" s="1"/>
      <c r="S220" s="1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</row>
    <row r="221" spans="1:32" ht="58.5" customHeight="1" x14ac:dyDescent="0.25">
      <c r="A221" s="56"/>
      <c r="B221" s="56"/>
      <c r="C221" s="56"/>
      <c r="D221" s="56"/>
      <c r="E221" s="57"/>
      <c r="F221" s="58"/>
      <c r="G221" s="56"/>
      <c r="H221" s="56"/>
      <c r="I221" s="59"/>
      <c r="J221" s="56"/>
      <c r="K221" s="56"/>
      <c r="L221" s="56"/>
      <c r="M221" s="1"/>
      <c r="N221" s="1"/>
      <c r="O221" s="1"/>
      <c r="P221" s="1"/>
      <c r="Q221" s="1"/>
      <c r="R221" s="1"/>
      <c r="S221" s="1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</row>
    <row r="222" spans="1:32" ht="58.5" customHeight="1" x14ac:dyDescent="0.25">
      <c r="A222" s="56"/>
      <c r="B222" s="56"/>
      <c r="C222" s="56"/>
      <c r="D222" s="56"/>
      <c r="E222" s="57"/>
      <c r="F222" s="58"/>
      <c r="G222" s="56"/>
      <c r="H222" s="56"/>
      <c r="I222" s="59"/>
      <c r="J222" s="56"/>
      <c r="K222" s="56"/>
      <c r="L222" s="56"/>
      <c r="M222" s="1"/>
      <c r="N222" s="1"/>
      <c r="O222" s="1"/>
      <c r="P222" s="1"/>
      <c r="Q222" s="1"/>
      <c r="R222" s="1"/>
      <c r="S222" s="1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</row>
    <row r="223" spans="1:32" ht="58.5" customHeight="1" x14ac:dyDescent="0.25">
      <c r="A223" s="56"/>
      <c r="B223" s="56"/>
      <c r="C223" s="56"/>
      <c r="D223" s="56"/>
      <c r="E223" s="57"/>
      <c r="F223" s="58"/>
      <c r="G223" s="56"/>
      <c r="H223" s="56"/>
      <c r="I223" s="59"/>
      <c r="J223" s="56"/>
      <c r="K223" s="56"/>
      <c r="L223" s="56"/>
      <c r="M223" s="1"/>
      <c r="N223" s="1"/>
      <c r="O223" s="1"/>
      <c r="P223" s="1"/>
      <c r="Q223" s="1"/>
      <c r="R223" s="1"/>
      <c r="S223" s="1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</row>
    <row r="224" spans="1:32" ht="58.5" customHeight="1" x14ac:dyDescent="0.25">
      <c r="A224" s="56"/>
      <c r="B224" s="56"/>
      <c r="C224" s="56"/>
      <c r="D224" s="56"/>
      <c r="E224" s="57"/>
      <c r="F224" s="58"/>
      <c r="G224" s="56"/>
      <c r="H224" s="56"/>
      <c r="I224" s="59"/>
      <c r="J224" s="56"/>
      <c r="K224" s="56"/>
      <c r="L224" s="56"/>
      <c r="M224" s="1"/>
      <c r="N224" s="1"/>
      <c r="O224" s="1"/>
      <c r="P224" s="1"/>
      <c r="Q224" s="1"/>
      <c r="R224" s="1"/>
      <c r="S224" s="1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</row>
    <row r="225" spans="1:32" ht="58.5" customHeight="1" x14ac:dyDescent="0.25">
      <c r="A225" s="56"/>
      <c r="B225" s="56"/>
      <c r="C225" s="56"/>
      <c r="D225" s="56"/>
      <c r="E225" s="57"/>
      <c r="F225" s="58"/>
      <c r="G225" s="56"/>
      <c r="H225" s="56"/>
      <c r="I225" s="59"/>
      <c r="J225" s="56"/>
      <c r="K225" s="56"/>
      <c r="L225" s="56"/>
      <c r="M225" s="1"/>
      <c r="N225" s="1"/>
      <c r="O225" s="1"/>
      <c r="P225" s="1"/>
      <c r="Q225" s="1"/>
      <c r="R225" s="1"/>
      <c r="S225" s="1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</row>
    <row r="226" spans="1:32" ht="58.5" customHeight="1" x14ac:dyDescent="0.25">
      <c r="A226" s="56"/>
      <c r="B226" s="56"/>
      <c r="C226" s="56"/>
      <c r="D226" s="56"/>
      <c r="E226" s="57"/>
      <c r="F226" s="58"/>
      <c r="G226" s="56"/>
      <c r="H226" s="56"/>
      <c r="I226" s="59"/>
      <c r="J226" s="56"/>
      <c r="K226" s="56"/>
      <c r="L226" s="56"/>
      <c r="M226" s="1"/>
      <c r="N226" s="1"/>
      <c r="O226" s="1"/>
      <c r="P226" s="1"/>
      <c r="Q226" s="1"/>
      <c r="R226" s="1"/>
      <c r="S226" s="1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</row>
    <row r="227" spans="1:32" ht="58.5" customHeight="1" x14ac:dyDescent="0.25">
      <c r="A227" s="56"/>
      <c r="B227" s="56"/>
      <c r="C227" s="56"/>
      <c r="D227" s="56"/>
      <c r="E227" s="57"/>
      <c r="F227" s="58"/>
      <c r="G227" s="56"/>
      <c r="H227" s="56"/>
      <c r="I227" s="59"/>
      <c r="J227" s="56"/>
      <c r="K227" s="56"/>
      <c r="L227" s="56"/>
      <c r="M227" s="1"/>
      <c r="N227" s="1"/>
      <c r="O227" s="1"/>
      <c r="P227" s="1"/>
      <c r="Q227" s="1"/>
      <c r="R227" s="1"/>
      <c r="S227" s="1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</row>
    <row r="228" spans="1:32" ht="58.5" customHeight="1" x14ac:dyDescent="0.25">
      <c r="A228" s="56"/>
      <c r="B228" s="56"/>
      <c r="C228" s="56"/>
      <c r="D228" s="56"/>
      <c r="E228" s="57"/>
      <c r="F228" s="58"/>
      <c r="G228" s="56"/>
      <c r="H228" s="56"/>
      <c r="I228" s="59"/>
      <c r="J228" s="56"/>
      <c r="K228" s="56"/>
      <c r="L228" s="56"/>
      <c r="M228" s="1"/>
      <c r="N228" s="1"/>
      <c r="O228" s="1"/>
      <c r="P228" s="1"/>
      <c r="Q228" s="1"/>
      <c r="R228" s="1"/>
      <c r="S228" s="1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</row>
    <row r="229" spans="1:32" ht="58.5" customHeight="1" x14ac:dyDescent="0.25">
      <c r="A229" s="56"/>
      <c r="B229" s="56"/>
      <c r="C229" s="56"/>
      <c r="D229" s="56"/>
      <c r="E229" s="57"/>
      <c r="F229" s="58"/>
      <c r="G229" s="56"/>
      <c r="H229" s="56"/>
      <c r="I229" s="59"/>
      <c r="J229" s="56"/>
      <c r="K229" s="56"/>
      <c r="L229" s="56"/>
      <c r="M229" s="1"/>
      <c r="N229" s="1"/>
      <c r="O229" s="1"/>
      <c r="P229" s="1"/>
      <c r="Q229" s="1"/>
      <c r="R229" s="1"/>
      <c r="S229" s="1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</row>
    <row r="230" spans="1:32" ht="58.5" customHeight="1" x14ac:dyDescent="0.25">
      <c r="A230" s="56"/>
      <c r="B230" s="56"/>
      <c r="C230" s="56"/>
      <c r="D230" s="56"/>
      <c r="E230" s="57"/>
      <c r="F230" s="58"/>
      <c r="G230" s="56"/>
      <c r="H230" s="56"/>
      <c r="I230" s="59"/>
      <c r="J230" s="56"/>
      <c r="K230" s="56"/>
      <c r="L230" s="56"/>
      <c r="M230" s="1"/>
      <c r="N230" s="1"/>
      <c r="O230" s="1"/>
      <c r="P230" s="1"/>
      <c r="Q230" s="1"/>
      <c r="R230" s="1"/>
      <c r="S230" s="1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</row>
    <row r="231" spans="1:32" ht="58.5" customHeight="1" x14ac:dyDescent="0.25">
      <c r="A231" s="56"/>
      <c r="B231" s="56"/>
      <c r="C231" s="56"/>
      <c r="D231" s="56"/>
      <c r="E231" s="57"/>
      <c r="F231" s="58"/>
      <c r="G231" s="56"/>
      <c r="H231" s="56"/>
      <c r="I231" s="59"/>
      <c r="J231" s="56"/>
      <c r="K231" s="56"/>
      <c r="L231" s="56"/>
      <c r="M231" s="1"/>
      <c r="N231" s="1"/>
      <c r="O231" s="1"/>
      <c r="P231" s="1"/>
      <c r="Q231" s="1"/>
      <c r="R231" s="1"/>
      <c r="S231" s="1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</row>
    <row r="232" spans="1:32" ht="58.5" customHeight="1" x14ac:dyDescent="0.25">
      <c r="A232" s="56"/>
      <c r="B232" s="56"/>
      <c r="C232" s="56"/>
      <c r="D232" s="56"/>
      <c r="E232" s="57"/>
      <c r="F232" s="58"/>
      <c r="G232" s="56"/>
      <c r="H232" s="56"/>
      <c r="I232" s="59"/>
      <c r="J232" s="56"/>
      <c r="K232" s="56"/>
      <c r="L232" s="56"/>
      <c r="M232" s="1"/>
      <c r="N232" s="1"/>
      <c r="O232" s="1"/>
      <c r="P232" s="1"/>
      <c r="Q232" s="1"/>
      <c r="R232" s="1"/>
      <c r="S232" s="1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</row>
    <row r="233" spans="1:32" ht="58.5" customHeight="1" x14ac:dyDescent="0.25">
      <c r="A233" s="56"/>
      <c r="B233" s="56"/>
      <c r="C233" s="56"/>
      <c r="D233" s="56"/>
      <c r="E233" s="57"/>
      <c r="F233" s="58"/>
      <c r="G233" s="56"/>
      <c r="H233" s="56"/>
      <c r="I233" s="59"/>
      <c r="J233" s="56"/>
      <c r="K233" s="56"/>
      <c r="L233" s="56"/>
      <c r="M233" s="1"/>
      <c r="N233" s="1"/>
      <c r="O233" s="1"/>
      <c r="P233" s="1"/>
      <c r="Q233" s="1"/>
      <c r="R233" s="1"/>
      <c r="S233" s="1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</row>
    <row r="234" spans="1:32" ht="58.5" customHeight="1" x14ac:dyDescent="0.25">
      <c r="A234" s="56"/>
      <c r="B234" s="56"/>
      <c r="C234" s="56"/>
      <c r="D234" s="56"/>
      <c r="E234" s="57"/>
      <c r="F234" s="58"/>
      <c r="G234" s="56"/>
      <c r="H234" s="56"/>
      <c r="I234" s="59"/>
      <c r="J234" s="56"/>
      <c r="K234" s="56"/>
      <c r="L234" s="56"/>
      <c r="M234" s="1"/>
      <c r="N234" s="1"/>
      <c r="O234" s="1"/>
      <c r="P234" s="1"/>
      <c r="Q234" s="1"/>
      <c r="R234" s="1"/>
      <c r="S234" s="1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</row>
    <row r="235" spans="1:32" ht="58.5" customHeight="1" x14ac:dyDescent="0.25">
      <c r="A235" s="56"/>
      <c r="B235" s="56"/>
      <c r="C235" s="56"/>
      <c r="D235" s="56"/>
      <c r="E235" s="57"/>
      <c r="F235" s="58"/>
      <c r="G235" s="56"/>
      <c r="H235" s="56"/>
      <c r="I235" s="59"/>
      <c r="J235" s="56"/>
      <c r="K235" s="56"/>
      <c r="L235" s="56"/>
      <c r="M235" s="1"/>
      <c r="N235" s="1"/>
      <c r="O235" s="1"/>
      <c r="P235" s="1"/>
      <c r="Q235" s="1"/>
      <c r="R235" s="1"/>
      <c r="S235" s="1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</row>
    <row r="236" spans="1:32" ht="58.5" customHeight="1" x14ac:dyDescent="0.25">
      <c r="A236" s="56"/>
      <c r="B236" s="56"/>
      <c r="C236" s="56"/>
      <c r="D236" s="56"/>
      <c r="E236" s="57"/>
      <c r="F236" s="58"/>
      <c r="G236" s="56"/>
      <c r="H236" s="56"/>
      <c r="I236" s="59"/>
      <c r="J236" s="56"/>
      <c r="K236" s="56"/>
      <c r="L236" s="56"/>
      <c r="M236" s="1"/>
      <c r="N236" s="1"/>
      <c r="O236" s="1"/>
      <c r="P236" s="1"/>
      <c r="Q236" s="1"/>
      <c r="R236" s="1"/>
      <c r="S236" s="1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</row>
    <row r="237" spans="1:32" ht="58.5" customHeight="1" x14ac:dyDescent="0.25">
      <c r="A237" s="56"/>
      <c r="B237" s="56"/>
      <c r="C237" s="56"/>
      <c r="D237" s="56"/>
      <c r="E237" s="57"/>
      <c r="F237" s="58"/>
      <c r="G237" s="56"/>
      <c r="H237" s="56"/>
      <c r="I237" s="59"/>
      <c r="J237" s="56"/>
      <c r="K237" s="56"/>
      <c r="L237" s="56"/>
      <c r="M237" s="1"/>
      <c r="N237" s="1"/>
      <c r="O237" s="1"/>
      <c r="P237" s="1"/>
      <c r="Q237" s="1"/>
      <c r="R237" s="1"/>
      <c r="S237" s="1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</row>
    <row r="238" spans="1:32" ht="58.5" customHeight="1" x14ac:dyDescent="0.25">
      <c r="A238" s="56"/>
      <c r="B238" s="56"/>
      <c r="C238" s="56"/>
      <c r="D238" s="56"/>
      <c r="E238" s="57"/>
      <c r="F238" s="58"/>
      <c r="G238" s="56"/>
      <c r="H238" s="56"/>
      <c r="I238" s="59"/>
      <c r="J238" s="56"/>
      <c r="K238" s="56"/>
      <c r="L238" s="56"/>
      <c r="M238" s="1"/>
      <c r="N238" s="1"/>
      <c r="O238" s="1"/>
      <c r="P238" s="1"/>
      <c r="Q238" s="1"/>
      <c r="R238" s="1"/>
      <c r="S238" s="1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</row>
    <row r="239" spans="1:32" ht="58.5" customHeight="1" x14ac:dyDescent="0.25">
      <c r="A239" s="56"/>
      <c r="B239" s="56"/>
      <c r="C239" s="56"/>
      <c r="D239" s="56"/>
      <c r="E239" s="57"/>
      <c r="F239" s="58"/>
      <c r="G239" s="56"/>
      <c r="H239" s="56"/>
      <c r="I239" s="59"/>
      <c r="J239" s="56"/>
      <c r="K239" s="56"/>
      <c r="L239" s="56"/>
      <c r="M239" s="1"/>
      <c r="N239" s="1"/>
      <c r="O239" s="1"/>
      <c r="P239" s="1"/>
      <c r="Q239" s="1"/>
      <c r="R239" s="1"/>
      <c r="S239" s="1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</row>
    <row r="240" spans="1:32" ht="58.5" customHeight="1" x14ac:dyDescent="0.25">
      <c r="A240" s="56"/>
      <c r="B240" s="56"/>
      <c r="C240" s="56"/>
      <c r="D240" s="56"/>
      <c r="E240" s="57"/>
      <c r="F240" s="58"/>
      <c r="G240" s="56"/>
      <c r="H240" s="56"/>
      <c r="I240" s="59"/>
      <c r="J240" s="56"/>
      <c r="K240" s="56"/>
      <c r="L240" s="56"/>
      <c r="M240" s="1"/>
      <c r="N240" s="1"/>
      <c r="O240" s="1"/>
      <c r="P240" s="1"/>
      <c r="Q240" s="1"/>
      <c r="R240" s="1"/>
      <c r="S240" s="1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</row>
    <row r="241" spans="1:32" ht="58.5" customHeight="1" x14ac:dyDescent="0.25">
      <c r="A241" s="56"/>
      <c r="B241" s="56"/>
      <c r="C241" s="56"/>
      <c r="D241" s="56"/>
      <c r="E241" s="57"/>
      <c r="F241" s="58"/>
      <c r="G241" s="56"/>
      <c r="H241" s="56"/>
      <c r="I241" s="59"/>
      <c r="J241" s="56"/>
      <c r="K241" s="56"/>
      <c r="L241" s="56"/>
      <c r="M241" s="1"/>
      <c r="N241" s="1"/>
      <c r="O241" s="1"/>
      <c r="P241" s="1"/>
      <c r="Q241" s="1"/>
      <c r="R241" s="1"/>
      <c r="S241" s="1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</row>
    <row r="242" spans="1:32" ht="58.5" customHeight="1" x14ac:dyDescent="0.25">
      <c r="A242" s="56"/>
      <c r="B242" s="56"/>
      <c r="C242" s="56"/>
      <c r="D242" s="56"/>
      <c r="E242" s="57"/>
      <c r="F242" s="58"/>
      <c r="G242" s="56"/>
      <c r="H242" s="56"/>
      <c r="I242" s="59"/>
      <c r="J242" s="56"/>
      <c r="K242" s="56"/>
      <c r="L242" s="56"/>
      <c r="M242" s="1"/>
      <c r="N242" s="1"/>
      <c r="O242" s="1"/>
      <c r="P242" s="1"/>
      <c r="Q242" s="1"/>
      <c r="R242" s="1"/>
      <c r="S242" s="1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</row>
    <row r="243" spans="1:32" ht="58.5" customHeight="1" x14ac:dyDescent="0.25">
      <c r="A243" s="56"/>
      <c r="B243" s="56"/>
      <c r="C243" s="56"/>
      <c r="D243" s="56"/>
      <c r="E243" s="57"/>
      <c r="F243" s="58"/>
      <c r="G243" s="56"/>
      <c r="H243" s="56"/>
      <c r="I243" s="59"/>
      <c r="J243" s="56"/>
      <c r="K243" s="56"/>
      <c r="L243" s="56"/>
      <c r="M243" s="1"/>
      <c r="N243" s="1"/>
      <c r="O243" s="1"/>
      <c r="P243" s="1"/>
      <c r="Q243" s="1"/>
      <c r="R243" s="1"/>
      <c r="S243" s="1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</row>
    <row r="244" spans="1:32" ht="58.5" customHeight="1" x14ac:dyDescent="0.25">
      <c r="A244" s="56"/>
      <c r="B244" s="56"/>
      <c r="C244" s="56"/>
      <c r="D244" s="56"/>
      <c r="E244" s="57"/>
      <c r="F244" s="58"/>
      <c r="G244" s="56"/>
      <c r="H244" s="56"/>
      <c r="I244" s="59"/>
      <c r="J244" s="56"/>
      <c r="K244" s="56"/>
      <c r="L244" s="56"/>
      <c r="M244" s="1"/>
      <c r="N244" s="1"/>
      <c r="O244" s="1"/>
      <c r="P244" s="1"/>
      <c r="Q244" s="1"/>
      <c r="R244" s="1"/>
      <c r="S244" s="1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</row>
    <row r="245" spans="1:32" ht="58.5" customHeight="1" x14ac:dyDescent="0.25">
      <c r="A245" s="56"/>
      <c r="B245" s="56"/>
      <c r="C245" s="56"/>
      <c r="D245" s="56"/>
      <c r="E245" s="57"/>
      <c r="F245" s="58"/>
      <c r="G245" s="56"/>
      <c r="H245" s="56"/>
      <c r="I245" s="59"/>
      <c r="J245" s="56"/>
      <c r="K245" s="56"/>
      <c r="L245" s="56"/>
      <c r="M245" s="1"/>
      <c r="N245" s="1"/>
      <c r="O245" s="1"/>
      <c r="P245" s="1"/>
      <c r="Q245" s="1"/>
      <c r="R245" s="1"/>
      <c r="S245" s="1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</row>
    <row r="246" spans="1:32" ht="58.5" customHeight="1" x14ac:dyDescent="0.25">
      <c r="A246" s="56"/>
      <c r="B246" s="56"/>
      <c r="C246" s="56"/>
      <c r="D246" s="56"/>
      <c r="E246" s="57"/>
      <c r="F246" s="58"/>
      <c r="G246" s="56"/>
      <c r="H246" s="56"/>
      <c r="I246" s="59"/>
      <c r="J246" s="56"/>
      <c r="K246" s="56"/>
      <c r="L246" s="56"/>
      <c r="M246" s="1"/>
      <c r="N246" s="1"/>
      <c r="O246" s="1"/>
      <c r="P246" s="1"/>
      <c r="Q246" s="1"/>
      <c r="R246" s="1"/>
      <c r="S246" s="1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</row>
    <row r="247" spans="1:32" ht="58.5" customHeight="1" x14ac:dyDescent="0.25">
      <c r="A247" s="56"/>
      <c r="B247" s="56"/>
      <c r="C247" s="56"/>
      <c r="D247" s="56"/>
      <c r="E247" s="57"/>
      <c r="F247" s="58"/>
      <c r="G247" s="56"/>
      <c r="H247" s="56"/>
      <c r="I247" s="59"/>
      <c r="J247" s="56"/>
      <c r="K247" s="56"/>
      <c r="L247" s="56"/>
      <c r="M247" s="1"/>
      <c r="N247" s="1"/>
      <c r="O247" s="1"/>
      <c r="P247" s="1"/>
      <c r="Q247" s="1"/>
      <c r="R247" s="1"/>
      <c r="S247" s="1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</row>
    <row r="248" spans="1:32" ht="58.5" customHeight="1" x14ac:dyDescent="0.25">
      <c r="A248" s="56"/>
      <c r="B248" s="56"/>
      <c r="C248" s="56"/>
      <c r="D248" s="56"/>
      <c r="E248" s="57"/>
      <c r="F248" s="58"/>
      <c r="G248" s="56"/>
      <c r="H248" s="56"/>
      <c r="I248" s="59"/>
      <c r="J248" s="56"/>
      <c r="K248" s="56"/>
      <c r="L248" s="56"/>
      <c r="M248" s="1"/>
      <c r="N248" s="1"/>
      <c r="O248" s="1"/>
      <c r="P248" s="1"/>
      <c r="Q248" s="1"/>
      <c r="R248" s="1"/>
      <c r="S248" s="1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</row>
    <row r="249" spans="1:32" ht="58.5" customHeight="1" x14ac:dyDescent="0.25">
      <c r="A249" s="56"/>
      <c r="B249" s="56"/>
      <c r="C249" s="56"/>
      <c r="D249" s="56"/>
      <c r="E249" s="57"/>
      <c r="F249" s="58"/>
      <c r="G249" s="56"/>
      <c r="H249" s="56"/>
      <c r="I249" s="59"/>
      <c r="J249" s="56"/>
      <c r="K249" s="56"/>
      <c r="L249" s="56"/>
      <c r="M249" s="1"/>
      <c r="N249" s="1"/>
      <c r="O249" s="1"/>
      <c r="P249" s="1"/>
      <c r="Q249" s="1"/>
      <c r="R249" s="1"/>
      <c r="S249" s="1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</row>
    <row r="250" spans="1:32" ht="58.5" customHeight="1" x14ac:dyDescent="0.25">
      <c r="A250" s="56"/>
      <c r="B250" s="56"/>
      <c r="C250" s="56"/>
      <c r="D250" s="56"/>
      <c r="E250" s="57"/>
      <c r="F250" s="58"/>
      <c r="G250" s="56"/>
      <c r="H250" s="56"/>
      <c r="I250" s="59"/>
      <c r="J250" s="56"/>
      <c r="K250" s="56"/>
      <c r="L250" s="56"/>
      <c r="M250" s="1"/>
      <c r="N250" s="1"/>
      <c r="O250" s="1"/>
      <c r="P250" s="1"/>
      <c r="Q250" s="1"/>
      <c r="R250" s="1"/>
      <c r="S250" s="1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</row>
    <row r="251" spans="1:32" ht="58.5" customHeight="1" x14ac:dyDescent="0.25">
      <c r="A251" s="56"/>
      <c r="B251" s="56"/>
      <c r="C251" s="56"/>
      <c r="D251" s="56"/>
      <c r="E251" s="57"/>
      <c r="F251" s="58"/>
      <c r="G251" s="56"/>
      <c r="H251" s="56"/>
      <c r="I251" s="59"/>
      <c r="J251" s="56"/>
      <c r="K251" s="56"/>
      <c r="L251" s="56"/>
      <c r="M251" s="1"/>
      <c r="N251" s="1"/>
      <c r="O251" s="1"/>
      <c r="P251" s="1"/>
      <c r="Q251" s="1"/>
      <c r="R251" s="1"/>
      <c r="S251" s="1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</row>
    <row r="252" spans="1:32" ht="58.5" customHeight="1" x14ac:dyDescent="0.25">
      <c r="A252" s="56"/>
      <c r="B252" s="56"/>
      <c r="C252" s="56"/>
      <c r="D252" s="56"/>
      <c r="E252" s="57"/>
      <c r="F252" s="58"/>
      <c r="G252" s="56"/>
      <c r="H252" s="56"/>
      <c r="I252" s="59"/>
      <c r="J252" s="56"/>
      <c r="K252" s="56"/>
      <c r="L252" s="56"/>
      <c r="M252" s="1"/>
      <c r="N252" s="1"/>
      <c r="O252" s="1"/>
      <c r="P252" s="1"/>
      <c r="Q252" s="1"/>
      <c r="R252" s="1"/>
      <c r="S252" s="1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</row>
    <row r="253" spans="1:32" ht="58.5" customHeight="1" x14ac:dyDescent="0.25">
      <c r="A253" s="56"/>
      <c r="B253" s="56"/>
      <c r="C253" s="56"/>
      <c r="D253" s="56"/>
      <c r="E253" s="57"/>
      <c r="F253" s="58"/>
      <c r="G253" s="56"/>
      <c r="H253" s="56"/>
      <c r="I253" s="59"/>
      <c r="J253" s="56"/>
      <c r="K253" s="56"/>
      <c r="L253" s="56"/>
      <c r="M253" s="1"/>
      <c r="N253" s="1"/>
      <c r="O253" s="1"/>
      <c r="P253" s="1"/>
      <c r="Q253" s="1"/>
      <c r="R253" s="1"/>
      <c r="S253" s="1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</row>
    <row r="254" spans="1:32" ht="58.5" customHeight="1" x14ac:dyDescent="0.25">
      <c r="A254" s="56"/>
      <c r="B254" s="56"/>
      <c r="C254" s="56"/>
      <c r="D254" s="56"/>
      <c r="E254" s="57"/>
      <c r="F254" s="58"/>
      <c r="G254" s="56"/>
      <c r="H254" s="56"/>
      <c r="I254" s="59"/>
      <c r="J254" s="56"/>
      <c r="K254" s="56"/>
      <c r="L254" s="56"/>
      <c r="M254" s="1"/>
      <c r="N254" s="1"/>
      <c r="O254" s="1"/>
      <c r="P254" s="1"/>
      <c r="Q254" s="1"/>
      <c r="R254" s="1"/>
      <c r="S254" s="1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</row>
    <row r="255" spans="1:32" ht="58.5" customHeight="1" x14ac:dyDescent="0.25">
      <c r="A255" s="56"/>
      <c r="B255" s="56"/>
      <c r="C255" s="56"/>
      <c r="D255" s="56"/>
      <c r="E255" s="57"/>
      <c r="F255" s="58"/>
      <c r="G255" s="56"/>
      <c r="H255" s="56"/>
      <c r="I255" s="59"/>
      <c r="J255" s="56"/>
      <c r="K255" s="56"/>
      <c r="L255" s="56"/>
      <c r="M255" s="1"/>
      <c r="N255" s="1"/>
      <c r="O255" s="1"/>
      <c r="P255" s="1"/>
      <c r="Q255" s="1"/>
      <c r="R255" s="1"/>
      <c r="S255" s="1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</row>
    <row r="256" spans="1:32" ht="58.5" customHeight="1" x14ac:dyDescent="0.25">
      <c r="A256" s="56"/>
      <c r="B256" s="56"/>
      <c r="C256" s="56"/>
      <c r="D256" s="56"/>
      <c r="E256" s="57"/>
      <c r="F256" s="58"/>
      <c r="G256" s="56"/>
      <c r="H256" s="56"/>
      <c r="I256" s="59"/>
      <c r="J256" s="56"/>
      <c r="K256" s="56"/>
      <c r="L256" s="56"/>
      <c r="M256" s="1"/>
      <c r="N256" s="1"/>
      <c r="O256" s="1"/>
      <c r="P256" s="1"/>
      <c r="Q256" s="1"/>
      <c r="R256" s="1"/>
      <c r="S256" s="1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</row>
    <row r="257" spans="1:32" ht="58.5" customHeight="1" x14ac:dyDescent="0.25">
      <c r="A257" s="56"/>
      <c r="B257" s="56"/>
      <c r="C257" s="56"/>
      <c r="D257" s="56"/>
      <c r="E257" s="57"/>
      <c r="F257" s="58"/>
      <c r="G257" s="56"/>
      <c r="H257" s="56"/>
      <c r="I257" s="59"/>
      <c r="J257" s="56"/>
      <c r="K257" s="56"/>
      <c r="L257" s="56"/>
      <c r="M257" s="1"/>
      <c r="N257" s="1"/>
      <c r="O257" s="1"/>
      <c r="P257" s="1"/>
      <c r="Q257" s="1"/>
      <c r="R257" s="1"/>
      <c r="S257" s="1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</row>
    <row r="258" spans="1:32" ht="58.5" customHeight="1" x14ac:dyDescent="0.25">
      <c r="A258" s="56"/>
      <c r="B258" s="56"/>
      <c r="C258" s="56"/>
      <c r="D258" s="56"/>
      <c r="E258" s="57"/>
      <c r="F258" s="58"/>
      <c r="G258" s="56"/>
      <c r="H258" s="56"/>
      <c r="I258" s="59"/>
      <c r="J258" s="56"/>
      <c r="K258" s="56"/>
      <c r="L258" s="56"/>
      <c r="M258" s="1"/>
      <c r="N258" s="1"/>
      <c r="O258" s="1"/>
      <c r="P258" s="1"/>
      <c r="Q258" s="1"/>
      <c r="R258" s="1"/>
      <c r="S258" s="1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</row>
    <row r="259" spans="1:32" ht="58.5" customHeight="1" x14ac:dyDescent="0.25">
      <c r="A259" s="56"/>
      <c r="B259" s="56"/>
      <c r="C259" s="56"/>
      <c r="D259" s="56"/>
      <c r="E259" s="57"/>
      <c r="F259" s="58"/>
      <c r="G259" s="56"/>
      <c r="H259" s="56"/>
      <c r="I259" s="59"/>
      <c r="J259" s="56"/>
      <c r="K259" s="56"/>
      <c r="L259" s="56"/>
      <c r="M259" s="1"/>
      <c r="N259" s="1"/>
      <c r="O259" s="1"/>
      <c r="P259" s="1"/>
      <c r="Q259" s="1"/>
      <c r="R259" s="1"/>
      <c r="S259" s="1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</row>
    <row r="260" spans="1:32" ht="58.5" customHeight="1" x14ac:dyDescent="0.25">
      <c r="A260" s="56"/>
      <c r="B260" s="56"/>
      <c r="C260" s="56"/>
      <c r="D260" s="56"/>
      <c r="E260" s="57"/>
      <c r="F260" s="58"/>
      <c r="G260" s="56"/>
      <c r="H260" s="56"/>
      <c r="I260" s="59"/>
      <c r="J260" s="56"/>
      <c r="K260" s="56"/>
      <c r="L260" s="56"/>
      <c r="M260" s="1"/>
      <c r="N260" s="1"/>
      <c r="O260" s="1"/>
      <c r="P260" s="1"/>
      <c r="Q260" s="1"/>
      <c r="R260" s="1"/>
      <c r="S260" s="1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</row>
    <row r="261" spans="1:32" ht="58.5" customHeight="1" x14ac:dyDescent="0.25">
      <c r="A261" s="56"/>
      <c r="B261" s="56"/>
      <c r="C261" s="56"/>
      <c r="D261" s="56"/>
      <c r="E261" s="57"/>
      <c r="F261" s="58"/>
      <c r="G261" s="56"/>
      <c r="H261" s="56"/>
      <c r="I261" s="59"/>
      <c r="J261" s="56"/>
      <c r="K261" s="56"/>
      <c r="L261" s="56"/>
      <c r="M261" s="1"/>
      <c r="N261" s="1"/>
      <c r="O261" s="1"/>
      <c r="P261" s="1"/>
      <c r="Q261" s="1"/>
      <c r="R261" s="1"/>
      <c r="S261" s="1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</row>
    <row r="262" spans="1:32" ht="58.5" customHeight="1" x14ac:dyDescent="0.25">
      <c r="A262" s="56"/>
      <c r="B262" s="56"/>
      <c r="C262" s="56"/>
      <c r="D262" s="56"/>
      <c r="E262" s="57"/>
      <c r="F262" s="58"/>
      <c r="G262" s="56"/>
      <c r="H262" s="56"/>
      <c r="I262" s="59"/>
      <c r="J262" s="56"/>
      <c r="K262" s="56"/>
      <c r="L262" s="56"/>
      <c r="M262" s="1"/>
      <c r="N262" s="1"/>
      <c r="O262" s="1"/>
      <c r="P262" s="1"/>
      <c r="Q262" s="1"/>
      <c r="R262" s="1"/>
      <c r="S262" s="1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</row>
    <row r="263" spans="1:32" ht="58.5" customHeight="1" x14ac:dyDescent="0.25">
      <c r="A263" s="56"/>
      <c r="B263" s="56"/>
      <c r="C263" s="56"/>
      <c r="D263" s="56"/>
      <c r="E263" s="57"/>
      <c r="F263" s="58"/>
      <c r="G263" s="56"/>
      <c r="H263" s="56"/>
      <c r="I263" s="59"/>
      <c r="J263" s="56"/>
      <c r="K263" s="56"/>
      <c r="L263" s="56"/>
      <c r="M263" s="1"/>
      <c r="N263" s="1"/>
      <c r="O263" s="1"/>
      <c r="P263" s="1"/>
      <c r="Q263" s="1"/>
      <c r="R263" s="1"/>
      <c r="S263" s="1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</row>
    <row r="264" spans="1:32" ht="58.5" customHeight="1" x14ac:dyDescent="0.25">
      <c r="A264" s="56"/>
      <c r="B264" s="56"/>
      <c r="C264" s="56"/>
      <c r="D264" s="56"/>
      <c r="E264" s="57"/>
      <c r="F264" s="58"/>
      <c r="G264" s="56"/>
      <c r="H264" s="56"/>
      <c r="I264" s="59"/>
      <c r="J264" s="56"/>
      <c r="K264" s="56"/>
      <c r="L264" s="56"/>
      <c r="M264" s="1"/>
      <c r="N264" s="1"/>
      <c r="O264" s="1"/>
      <c r="P264" s="1"/>
      <c r="Q264" s="1"/>
      <c r="R264" s="1"/>
      <c r="S264" s="1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</row>
    <row r="265" spans="1:32" ht="58.5" customHeight="1" x14ac:dyDescent="0.25">
      <c r="A265" s="56"/>
      <c r="B265" s="56"/>
      <c r="C265" s="56"/>
      <c r="D265" s="56"/>
      <c r="E265" s="57"/>
      <c r="F265" s="58"/>
      <c r="G265" s="56"/>
      <c r="H265" s="56"/>
      <c r="I265" s="59"/>
      <c r="J265" s="56"/>
      <c r="K265" s="56"/>
      <c r="L265" s="56"/>
      <c r="M265" s="1"/>
      <c r="N265" s="1"/>
      <c r="O265" s="1"/>
      <c r="P265" s="1"/>
      <c r="Q265" s="1"/>
      <c r="R265" s="1"/>
      <c r="S265" s="1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</row>
    <row r="266" spans="1:32" ht="58.5" customHeight="1" x14ac:dyDescent="0.25">
      <c r="A266" s="56"/>
      <c r="B266" s="56"/>
      <c r="C266" s="56"/>
      <c r="D266" s="56"/>
      <c r="E266" s="57"/>
      <c r="F266" s="58"/>
      <c r="G266" s="56"/>
      <c r="H266" s="56"/>
      <c r="I266" s="59"/>
      <c r="J266" s="56"/>
      <c r="K266" s="56"/>
      <c r="L266" s="56"/>
      <c r="M266" s="1"/>
      <c r="N266" s="1"/>
      <c r="O266" s="1"/>
      <c r="P266" s="1"/>
      <c r="Q266" s="1"/>
      <c r="R266" s="1"/>
      <c r="S266" s="1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</row>
    <row r="267" spans="1:32" ht="58.5" customHeight="1" x14ac:dyDescent="0.25">
      <c r="A267" s="56"/>
      <c r="B267" s="56"/>
      <c r="C267" s="56"/>
      <c r="D267" s="56"/>
      <c r="E267" s="57"/>
      <c r="F267" s="58"/>
      <c r="G267" s="56"/>
      <c r="H267" s="56"/>
      <c r="I267" s="59"/>
      <c r="J267" s="56"/>
      <c r="K267" s="56"/>
      <c r="L267" s="56"/>
      <c r="M267" s="1"/>
      <c r="N267" s="1"/>
      <c r="O267" s="1"/>
      <c r="P267" s="1"/>
      <c r="Q267" s="1"/>
      <c r="R267" s="1"/>
      <c r="S267" s="1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</row>
    <row r="268" spans="1:32" ht="58.5" customHeight="1" x14ac:dyDescent="0.25">
      <c r="A268" s="56"/>
      <c r="B268" s="56"/>
      <c r="C268" s="56"/>
      <c r="D268" s="56"/>
      <c r="E268" s="57"/>
      <c r="F268" s="58"/>
      <c r="G268" s="56"/>
      <c r="H268" s="56"/>
      <c r="I268" s="59"/>
      <c r="J268" s="56"/>
      <c r="K268" s="56"/>
      <c r="L268" s="56"/>
      <c r="M268" s="1"/>
      <c r="N268" s="1"/>
      <c r="O268" s="1"/>
      <c r="P268" s="1"/>
      <c r="Q268" s="1"/>
      <c r="R268" s="1"/>
      <c r="S268" s="1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</row>
    <row r="269" spans="1:32" ht="58.5" customHeight="1" x14ac:dyDescent="0.25">
      <c r="A269" s="56"/>
      <c r="B269" s="56"/>
      <c r="C269" s="56"/>
      <c r="D269" s="56"/>
      <c r="E269" s="57"/>
      <c r="F269" s="58"/>
      <c r="G269" s="56"/>
      <c r="H269" s="56"/>
      <c r="I269" s="59"/>
      <c r="J269" s="56"/>
      <c r="K269" s="56"/>
      <c r="L269" s="56"/>
      <c r="M269" s="1"/>
      <c r="N269" s="1"/>
      <c r="O269" s="1"/>
      <c r="P269" s="1"/>
      <c r="Q269" s="1"/>
      <c r="R269" s="1"/>
      <c r="S269" s="1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</row>
    <row r="270" spans="1:32" ht="58.5" customHeight="1" x14ac:dyDescent="0.25">
      <c r="A270" s="56"/>
      <c r="B270" s="56"/>
      <c r="C270" s="56"/>
      <c r="D270" s="56"/>
      <c r="E270" s="57"/>
      <c r="F270" s="58"/>
      <c r="G270" s="56"/>
      <c r="H270" s="56"/>
      <c r="I270" s="59"/>
      <c r="J270" s="56"/>
      <c r="K270" s="56"/>
      <c r="L270" s="56"/>
      <c r="M270" s="1"/>
      <c r="N270" s="1"/>
      <c r="O270" s="1"/>
      <c r="P270" s="1"/>
      <c r="Q270" s="1"/>
      <c r="R270" s="1"/>
      <c r="S270" s="1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</row>
    <row r="271" spans="1:32" ht="58.5" customHeight="1" x14ac:dyDescent="0.25">
      <c r="A271" s="56"/>
      <c r="B271" s="56"/>
      <c r="C271" s="56"/>
      <c r="D271" s="56"/>
      <c r="E271" s="57"/>
      <c r="F271" s="58"/>
      <c r="G271" s="56"/>
      <c r="H271" s="56"/>
      <c r="I271" s="59"/>
      <c r="J271" s="56"/>
      <c r="K271" s="56"/>
      <c r="L271" s="56"/>
      <c r="M271" s="1"/>
      <c r="N271" s="1"/>
      <c r="O271" s="1"/>
      <c r="P271" s="1"/>
      <c r="Q271" s="1"/>
      <c r="R271" s="1"/>
      <c r="S271" s="1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</row>
    <row r="272" spans="1:32" ht="58.5" customHeight="1" x14ac:dyDescent="0.25">
      <c r="A272" s="56"/>
      <c r="B272" s="56"/>
      <c r="C272" s="56"/>
      <c r="D272" s="56"/>
      <c r="E272" s="57"/>
      <c r="F272" s="58"/>
      <c r="G272" s="56"/>
      <c r="H272" s="56"/>
      <c r="I272" s="59"/>
      <c r="J272" s="56"/>
      <c r="K272" s="56"/>
      <c r="L272" s="56"/>
      <c r="M272" s="1"/>
      <c r="N272" s="1"/>
      <c r="O272" s="1"/>
      <c r="P272" s="1"/>
      <c r="Q272" s="1"/>
      <c r="R272" s="1"/>
      <c r="S272" s="1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</row>
    <row r="273" spans="1:32" ht="58.5" customHeight="1" x14ac:dyDescent="0.25">
      <c r="A273" s="56"/>
      <c r="B273" s="56"/>
      <c r="C273" s="56"/>
      <c r="D273" s="56"/>
      <c r="E273" s="57"/>
      <c r="F273" s="58"/>
      <c r="G273" s="56"/>
      <c r="H273" s="56"/>
      <c r="I273" s="59"/>
      <c r="J273" s="56"/>
      <c r="K273" s="56"/>
      <c r="L273" s="56"/>
      <c r="M273" s="1"/>
      <c r="N273" s="1"/>
      <c r="O273" s="1"/>
      <c r="P273" s="1"/>
      <c r="Q273" s="1"/>
      <c r="R273" s="1"/>
      <c r="S273" s="1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</row>
    <row r="274" spans="1:32" ht="58.5" customHeight="1" x14ac:dyDescent="0.25">
      <c r="A274" s="56"/>
      <c r="B274" s="56"/>
      <c r="C274" s="56"/>
      <c r="D274" s="56"/>
      <c r="E274" s="57"/>
      <c r="F274" s="58"/>
      <c r="G274" s="56"/>
      <c r="H274" s="56"/>
      <c r="I274" s="59"/>
      <c r="J274" s="56"/>
      <c r="K274" s="56"/>
      <c r="L274" s="56"/>
      <c r="M274" s="1"/>
      <c r="N274" s="1"/>
      <c r="O274" s="1"/>
      <c r="P274" s="1"/>
      <c r="Q274" s="1"/>
      <c r="R274" s="1"/>
      <c r="S274" s="1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</row>
    <row r="275" spans="1:32" ht="58.5" customHeight="1" x14ac:dyDescent="0.25">
      <c r="A275" s="56"/>
      <c r="B275" s="56"/>
      <c r="C275" s="56"/>
      <c r="D275" s="56"/>
      <c r="E275" s="57"/>
      <c r="F275" s="58"/>
      <c r="G275" s="56"/>
      <c r="H275" s="56"/>
      <c r="I275" s="59"/>
      <c r="J275" s="56"/>
      <c r="K275" s="56"/>
      <c r="L275" s="56"/>
      <c r="M275" s="1"/>
      <c r="N275" s="1"/>
      <c r="O275" s="1"/>
      <c r="P275" s="1"/>
      <c r="Q275" s="1"/>
      <c r="R275" s="1"/>
      <c r="S275" s="1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</row>
    <row r="276" spans="1:32" ht="58.5" customHeight="1" x14ac:dyDescent="0.25">
      <c r="A276" s="56"/>
      <c r="B276" s="56"/>
      <c r="C276" s="56"/>
      <c r="D276" s="56"/>
      <c r="E276" s="57"/>
      <c r="F276" s="58"/>
      <c r="G276" s="56"/>
      <c r="H276" s="56"/>
      <c r="I276" s="59"/>
      <c r="J276" s="56"/>
      <c r="K276" s="56"/>
      <c r="L276" s="56"/>
      <c r="M276" s="1"/>
      <c r="N276" s="1"/>
      <c r="O276" s="1"/>
      <c r="P276" s="1"/>
      <c r="Q276" s="1"/>
      <c r="R276" s="1"/>
      <c r="S276" s="1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</row>
    <row r="277" spans="1:32" ht="58.5" customHeight="1" x14ac:dyDescent="0.25">
      <c r="A277" s="56"/>
      <c r="B277" s="56"/>
      <c r="C277" s="56"/>
      <c r="D277" s="56"/>
      <c r="E277" s="57"/>
      <c r="F277" s="58"/>
      <c r="G277" s="56"/>
      <c r="H277" s="56"/>
      <c r="I277" s="59"/>
      <c r="J277" s="56"/>
      <c r="K277" s="56"/>
      <c r="L277" s="56"/>
      <c r="M277" s="1"/>
      <c r="N277" s="1"/>
      <c r="O277" s="1"/>
      <c r="P277" s="1"/>
      <c r="Q277" s="1"/>
      <c r="R277" s="1"/>
      <c r="S277" s="1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</row>
    <row r="278" spans="1:32" ht="58.5" customHeight="1" x14ac:dyDescent="0.25">
      <c r="A278" s="56"/>
      <c r="B278" s="56"/>
      <c r="C278" s="56"/>
      <c r="D278" s="56"/>
      <c r="E278" s="57"/>
      <c r="F278" s="58"/>
      <c r="G278" s="56"/>
      <c r="H278" s="56"/>
      <c r="I278" s="59"/>
      <c r="J278" s="56"/>
      <c r="K278" s="56"/>
      <c r="L278" s="56"/>
      <c r="M278" s="1"/>
      <c r="N278" s="1"/>
      <c r="O278" s="1"/>
      <c r="P278" s="1"/>
      <c r="Q278" s="1"/>
      <c r="R278" s="1"/>
      <c r="S278" s="1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</row>
    <row r="279" spans="1:32" ht="58.5" customHeight="1" x14ac:dyDescent="0.25">
      <c r="A279" s="56"/>
      <c r="B279" s="56"/>
      <c r="C279" s="56"/>
      <c r="D279" s="56"/>
      <c r="E279" s="57"/>
      <c r="F279" s="58"/>
      <c r="G279" s="56"/>
      <c r="H279" s="56"/>
      <c r="I279" s="59"/>
      <c r="J279" s="56"/>
      <c r="K279" s="56"/>
      <c r="L279" s="56"/>
      <c r="M279" s="1"/>
      <c r="N279" s="1"/>
      <c r="O279" s="1"/>
      <c r="P279" s="1"/>
      <c r="Q279" s="1"/>
      <c r="R279" s="1"/>
      <c r="S279" s="1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</row>
    <row r="280" spans="1:32" ht="58.5" customHeight="1" x14ac:dyDescent="0.25">
      <c r="A280" s="56"/>
      <c r="B280" s="56"/>
      <c r="C280" s="56"/>
      <c r="D280" s="56"/>
      <c r="E280" s="57"/>
      <c r="F280" s="58"/>
      <c r="G280" s="56"/>
      <c r="H280" s="56"/>
      <c r="I280" s="59"/>
      <c r="J280" s="56"/>
      <c r="K280" s="56"/>
      <c r="L280" s="56"/>
      <c r="M280" s="1"/>
      <c r="N280" s="1"/>
      <c r="O280" s="1"/>
      <c r="P280" s="1"/>
      <c r="Q280" s="1"/>
      <c r="R280" s="1"/>
      <c r="S280" s="1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</row>
    <row r="281" spans="1:32" ht="58.5" customHeight="1" x14ac:dyDescent="0.25">
      <c r="A281" s="56"/>
      <c r="B281" s="56"/>
      <c r="C281" s="56"/>
      <c r="D281" s="56"/>
      <c r="E281" s="57"/>
      <c r="F281" s="58"/>
      <c r="G281" s="56"/>
      <c r="H281" s="56"/>
      <c r="I281" s="59"/>
      <c r="J281" s="56"/>
      <c r="K281" s="56"/>
      <c r="L281" s="56"/>
      <c r="M281" s="1"/>
      <c r="N281" s="1"/>
      <c r="O281" s="1"/>
      <c r="P281" s="1"/>
      <c r="Q281" s="1"/>
      <c r="R281" s="1"/>
      <c r="S281" s="1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</row>
    <row r="282" spans="1:32" ht="58.5" customHeight="1" x14ac:dyDescent="0.25">
      <c r="A282" s="56"/>
      <c r="B282" s="56"/>
      <c r="C282" s="56"/>
      <c r="D282" s="56"/>
      <c r="E282" s="57"/>
      <c r="F282" s="58"/>
      <c r="G282" s="56"/>
      <c r="H282" s="56"/>
      <c r="I282" s="59"/>
      <c r="J282" s="56"/>
      <c r="K282" s="56"/>
      <c r="L282" s="56"/>
      <c r="M282" s="1"/>
      <c r="N282" s="1"/>
      <c r="O282" s="1"/>
      <c r="P282" s="1"/>
      <c r="Q282" s="1"/>
      <c r="R282" s="1"/>
      <c r="S282" s="1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</row>
    <row r="283" spans="1:32" ht="58.5" customHeight="1" x14ac:dyDescent="0.25">
      <c r="A283" s="56"/>
      <c r="B283" s="56"/>
      <c r="C283" s="56"/>
      <c r="D283" s="56"/>
      <c r="E283" s="57"/>
      <c r="F283" s="58"/>
      <c r="G283" s="56"/>
      <c r="H283" s="56"/>
      <c r="I283" s="59"/>
      <c r="J283" s="56"/>
      <c r="K283" s="56"/>
      <c r="L283" s="56"/>
      <c r="M283" s="1"/>
      <c r="N283" s="1"/>
      <c r="O283" s="1"/>
      <c r="P283" s="1"/>
      <c r="Q283" s="1"/>
      <c r="R283" s="1"/>
      <c r="S283" s="1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</row>
    <row r="284" spans="1:32" ht="58.5" customHeight="1" x14ac:dyDescent="0.25">
      <c r="A284" s="56"/>
      <c r="B284" s="56"/>
      <c r="C284" s="56"/>
      <c r="D284" s="56"/>
      <c r="E284" s="57"/>
      <c r="F284" s="58"/>
      <c r="G284" s="56"/>
      <c r="H284" s="56"/>
      <c r="I284" s="59"/>
      <c r="J284" s="56"/>
      <c r="K284" s="56"/>
      <c r="L284" s="56"/>
      <c r="M284" s="1"/>
      <c r="N284" s="1"/>
      <c r="O284" s="1"/>
      <c r="P284" s="1"/>
      <c r="Q284" s="1"/>
      <c r="R284" s="1"/>
      <c r="S284" s="1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</row>
    <row r="285" spans="1:32" ht="58.5" customHeight="1" x14ac:dyDescent="0.25">
      <c r="A285" s="56"/>
      <c r="B285" s="56"/>
      <c r="C285" s="56"/>
      <c r="D285" s="56"/>
      <c r="E285" s="57"/>
      <c r="F285" s="58"/>
      <c r="G285" s="56"/>
      <c r="H285" s="56"/>
      <c r="I285" s="59"/>
      <c r="J285" s="56"/>
      <c r="K285" s="56"/>
      <c r="L285" s="56"/>
      <c r="M285" s="1"/>
      <c r="N285" s="1"/>
      <c r="O285" s="1"/>
      <c r="P285" s="1"/>
      <c r="Q285" s="1"/>
      <c r="R285" s="1"/>
      <c r="S285" s="1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</row>
    <row r="286" spans="1:32" ht="58.5" customHeight="1" x14ac:dyDescent="0.25">
      <c r="A286" s="56"/>
      <c r="B286" s="56"/>
      <c r="C286" s="56"/>
      <c r="D286" s="56"/>
      <c r="E286" s="57"/>
      <c r="F286" s="58"/>
      <c r="G286" s="56"/>
      <c r="H286" s="56"/>
      <c r="I286" s="59"/>
      <c r="J286" s="56"/>
      <c r="K286" s="56"/>
      <c r="L286" s="56"/>
      <c r="M286" s="1"/>
      <c r="N286" s="1"/>
      <c r="O286" s="1"/>
      <c r="P286" s="1"/>
      <c r="Q286" s="1"/>
      <c r="R286" s="1"/>
      <c r="S286" s="1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</row>
    <row r="287" spans="1:32" ht="58.5" customHeight="1" x14ac:dyDescent="0.25">
      <c r="A287" s="56"/>
      <c r="B287" s="56"/>
      <c r="C287" s="56"/>
      <c r="D287" s="56"/>
      <c r="E287" s="57"/>
      <c r="F287" s="58"/>
      <c r="G287" s="56"/>
      <c r="H287" s="56"/>
      <c r="I287" s="59"/>
      <c r="J287" s="56"/>
      <c r="K287" s="56"/>
      <c r="L287" s="56"/>
      <c r="M287" s="1"/>
      <c r="N287" s="1"/>
      <c r="O287" s="1"/>
      <c r="P287" s="1"/>
      <c r="Q287" s="1"/>
      <c r="R287" s="1"/>
      <c r="S287" s="1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</row>
    <row r="288" spans="1:32" ht="58.5" customHeight="1" x14ac:dyDescent="0.25">
      <c r="A288" s="56"/>
      <c r="B288" s="56"/>
      <c r="C288" s="56"/>
      <c r="D288" s="56"/>
      <c r="E288" s="57"/>
      <c r="F288" s="58"/>
      <c r="G288" s="56"/>
      <c r="H288" s="56"/>
      <c r="I288" s="59"/>
      <c r="J288" s="56"/>
      <c r="K288" s="56"/>
      <c r="L288" s="56"/>
      <c r="M288" s="1"/>
      <c r="N288" s="1"/>
      <c r="O288" s="1"/>
      <c r="P288" s="1"/>
      <c r="Q288" s="1"/>
      <c r="R288" s="1"/>
      <c r="S288" s="1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</row>
    <row r="289" spans="1:32" ht="58.5" customHeight="1" x14ac:dyDescent="0.25">
      <c r="A289" s="56"/>
      <c r="B289" s="56"/>
      <c r="C289" s="56"/>
      <c r="D289" s="56"/>
      <c r="E289" s="57"/>
      <c r="F289" s="58"/>
      <c r="G289" s="56"/>
      <c r="H289" s="56"/>
      <c r="I289" s="59"/>
      <c r="J289" s="56"/>
      <c r="K289" s="56"/>
      <c r="L289" s="56"/>
      <c r="M289" s="1"/>
      <c r="N289" s="1"/>
      <c r="O289" s="1"/>
      <c r="P289" s="1"/>
      <c r="Q289" s="1"/>
      <c r="R289" s="1"/>
      <c r="S289" s="1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</row>
    <row r="290" spans="1:32" ht="58.5" customHeight="1" x14ac:dyDescent="0.25">
      <c r="A290" s="56"/>
      <c r="B290" s="56"/>
      <c r="C290" s="56"/>
      <c r="D290" s="56"/>
      <c r="E290" s="57"/>
      <c r="F290" s="58"/>
      <c r="G290" s="56"/>
      <c r="H290" s="56"/>
      <c r="I290" s="59"/>
      <c r="J290" s="56"/>
      <c r="K290" s="56"/>
      <c r="L290" s="56"/>
      <c r="M290" s="1"/>
      <c r="N290" s="1"/>
      <c r="O290" s="1"/>
      <c r="P290" s="1"/>
      <c r="Q290" s="1"/>
      <c r="R290" s="1"/>
      <c r="S290" s="1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</row>
    <row r="291" spans="1:32" ht="58.5" customHeight="1" x14ac:dyDescent="0.25">
      <c r="A291" s="56"/>
      <c r="B291" s="56"/>
      <c r="C291" s="56"/>
      <c r="D291" s="56"/>
      <c r="E291" s="57"/>
      <c r="F291" s="58"/>
      <c r="G291" s="56"/>
      <c r="H291" s="56"/>
      <c r="I291" s="59"/>
      <c r="J291" s="56"/>
      <c r="K291" s="56"/>
      <c r="L291" s="56"/>
      <c r="M291" s="1"/>
      <c r="N291" s="1"/>
      <c r="O291" s="1"/>
      <c r="P291" s="1"/>
      <c r="Q291" s="1"/>
      <c r="R291" s="1"/>
      <c r="S291" s="1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</row>
    <row r="292" spans="1:32" ht="58.5" customHeight="1" x14ac:dyDescent="0.25">
      <c r="A292" s="56"/>
      <c r="B292" s="56"/>
      <c r="C292" s="56"/>
      <c r="D292" s="56"/>
      <c r="E292" s="57"/>
      <c r="F292" s="58"/>
      <c r="G292" s="56"/>
      <c r="H292" s="56"/>
      <c r="I292" s="59"/>
      <c r="J292" s="56"/>
      <c r="K292" s="56"/>
      <c r="L292" s="56"/>
      <c r="M292" s="1"/>
      <c r="N292" s="1"/>
      <c r="O292" s="1"/>
      <c r="P292" s="1"/>
      <c r="Q292" s="1"/>
      <c r="R292" s="1"/>
      <c r="S292" s="1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</row>
    <row r="293" spans="1:32" ht="58.5" customHeight="1" x14ac:dyDescent="0.25">
      <c r="A293" s="56"/>
      <c r="B293" s="56"/>
      <c r="C293" s="56"/>
      <c r="D293" s="56"/>
      <c r="E293" s="57"/>
      <c r="F293" s="58"/>
      <c r="G293" s="56"/>
      <c r="H293" s="56"/>
      <c r="I293" s="59"/>
      <c r="J293" s="56"/>
      <c r="K293" s="56"/>
      <c r="L293" s="56"/>
      <c r="M293" s="1"/>
      <c r="N293" s="1"/>
      <c r="O293" s="1"/>
      <c r="P293" s="1"/>
      <c r="Q293" s="1"/>
      <c r="R293" s="1"/>
      <c r="S293" s="1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</row>
    <row r="294" spans="1:32" ht="58.5" customHeight="1" x14ac:dyDescent="0.25">
      <c r="A294" s="56"/>
      <c r="B294" s="56"/>
      <c r="C294" s="56"/>
      <c r="D294" s="56"/>
      <c r="E294" s="57"/>
      <c r="F294" s="58"/>
      <c r="G294" s="56"/>
      <c r="H294" s="56"/>
      <c r="I294" s="59"/>
      <c r="J294" s="56"/>
      <c r="K294" s="56"/>
      <c r="L294" s="56"/>
      <c r="M294" s="1"/>
      <c r="N294" s="1"/>
      <c r="O294" s="1"/>
      <c r="P294" s="1"/>
      <c r="Q294" s="1"/>
      <c r="R294" s="1"/>
      <c r="S294" s="1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</row>
    <row r="295" spans="1:32" ht="58.5" customHeight="1" x14ac:dyDescent="0.25">
      <c r="A295" s="56"/>
      <c r="B295" s="56"/>
      <c r="C295" s="56"/>
      <c r="D295" s="56"/>
      <c r="E295" s="57"/>
      <c r="F295" s="58"/>
      <c r="G295" s="56"/>
      <c r="H295" s="56"/>
      <c r="I295" s="59"/>
      <c r="J295" s="56"/>
      <c r="K295" s="56"/>
      <c r="L295" s="56"/>
      <c r="M295" s="1"/>
      <c r="N295" s="1"/>
      <c r="O295" s="1"/>
      <c r="P295" s="1"/>
      <c r="Q295" s="1"/>
      <c r="R295" s="1"/>
      <c r="S295" s="1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</row>
    <row r="296" spans="1:32" ht="58.5" customHeight="1" x14ac:dyDescent="0.25">
      <c r="A296" s="56"/>
      <c r="B296" s="56"/>
      <c r="C296" s="56"/>
      <c r="D296" s="56"/>
      <c r="E296" s="57"/>
      <c r="F296" s="58"/>
      <c r="G296" s="56"/>
      <c r="H296" s="56"/>
      <c r="I296" s="59"/>
      <c r="J296" s="56"/>
      <c r="K296" s="56"/>
      <c r="L296" s="56"/>
      <c r="M296" s="1"/>
      <c r="N296" s="1"/>
      <c r="O296" s="1"/>
      <c r="P296" s="1"/>
      <c r="Q296" s="1"/>
      <c r="R296" s="1"/>
      <c r="S296" s="1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</row>
    <row r="297" spans="1:32" ht="58.5" customHeight="1" x14ac:dyDescent="0.25">
      <c r="A297" s="56"/>
      <c r="B297" s="56"/>
      <c r="C297" s="56"/>
      <c r="D297" s="56"/>
      <c r="E297" s="57"/>
      <c r="F297" s="58"/>
      <c r="G297" s="56"/>
      <c r="H297" s="56"/>
      <c r="I297" s="59"/>
      <c r="J297" s="56"/>
      <c r="K297" s="56"/>
      <c r="L297" s="56"/>
      <c r="M297" s="1"/>
      <c r="N297" s="1"/>
      <c r="O297" s="1"/>
      <c r="P297" s="1"/>
      <c r="Q297" s="1"/>
      <c r="R297" s="1"/>
      <c r="S297" s="1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</row>
    <row r="298" spans="1:32" ht="58.5" customHeight="1" x14ac:dyDescent="0.25">
      <c r="A298" s="56"/>
      <c r="B298" s="56"/>
      <c r="C298" s="56"/>
      <c r="D298" s="56"/>
      <c r="E298" s="57"/>
      <c r="F298" s="58"/>
      <c r="G298" s="56"/>
      <c r="H298" s="56"/>
      <c r="I298" s="59"/>
      <c r="J298" s="56"/>
      <c r="K298" s="56"/>
      <c r="L298" s="56"/>
      <c r="M298" s="1"/>
      <c r="N298" s="1"/>
      <c r="O298" s="1"/>
      <c r="P298" s="1"/>
      <c r="Q298" s="1"/>
      <c r="R298" s="1"/>
      <c r="S298" s="1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</row>
    <row r="299" spans="1:32" ht="58.5" customHeight="1" x14ac:dyDescent="0.25">
      <c r="A299" s="56"/>
      <c r="B299" s="56"/>
      <c r="C299" s="56"/>
      <c r="D299" s="56"/>
      <c r="E299" s="57"/>
      <c r="F299" s="58"/>
      <c r="G299" s="56"/>
      <c r="H299" s="56"/>
      <c r="I299" s="59"/>
      <c r="J299" s="56"/>
      <c r="K299" s="56"/>
      <c r="L299" s="56"/>
      <c r="M299" s="1"/>
      <c r="N299" s="1"/>
      <c r="O299" s="1"/>
      <c r="P299" s="1"/>
      <c r="Q299" s="1"/>
      <c r="R299" s="1"/>
      <c r="S299" s="1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</row>
    <row r="300" spans="1:32" ht="58.5" customHeight="1" x14ac:dyDescent="0.25">
      <c r="A300" s="56"/>
      <c r="B300" s="56"/>
      <c r="C300" s="56"/>
      <c r="D300" s="56"/>
      <c r="E300" s="57"/>
      <c r="F300" s="58"/>
      <c r="G300" s="56"/>
      <c r="H300" s="56"/>
      <c r="I300" s="59"/>
      <c r="J300" s="56"/>
      <c r="K300" s="56"/>
      <c r="L300" s="56"/>
      <c r="M300" s="1"/>
      <c r="N300" s="1"/>
      <c r="O300" s="1"/>
      <c r="P300" s="1"/>
      <c r="Q300" s="1"/>
      <c r="R300" s="1"/>
      <c r="S300" s="1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</row>
    <row r="301" spans="1:32" ht="58.5" customHeight="1" x14ac:dyDescent="0.25">
      <c r="A301" s="56"/>
      <c r="B301" s="56"/>
      <c r="C301" s="56"/>
      <c r="D301" s="56"/>
      <c r="E301" s="57"/>
      <c r="F301" s="58"/>
      <c r="G301" s="56"/>
      <c r="H301" s="56"/>
      <c r="I301" s="59"/>
      <c r="J301" s="56"/>
      <c r="K301" s="56"/>
      <c r="L301" s="56"/>
      <c r="M301" s="1"/>
      <c r="N301" s="1"/>
      <c r="O301" s="1"/>
      <c r="P301" s="1"/>
      <c r="Q301" s="1"/>
      <c r="R301" s="1"/>
      <c r="S301" s="1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</row>
    <row r="302" spans="1:32" ht="58.5" customHeight="1" x14ac:dyDescent="0.25">
      <c r="A302" s="56"/>
      <c r="B302" s="56"/>
      <c r="C302" s="56"/>
      <c r="D302" s="56"/>
      <c r="E302" s="57"/>
      <c r="F302" s="58"/>
      <c r="G302" s="56"/>
      <c r="H302" s="56"/>
      <c r="I302" s="59"/>
      <c r="J302" s="56"/>
      <c r="K302" s="56"/>
      <c r="L302" s="56"/>
      <c r="M302" s="1"/>
      <c r="N302" s="1"/>
      <c r="O302" s="1"/>
      <c r="P302" s="1"/>
      <c r="Q302" s="1"/>
      <c r="R302" s="1"/>
      <c r="S302" s="1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</row>
    <row r="303" spans="1:32" ht="58.5" customHeight="1" x14ac:dyDescent="0.25">
      <c r="A303" s="56"/>
      <c r="B303" s="56"/>
      <c r="C303" s="56"/>
      <c r="D303" s="56"/>
      <c r="E303" s="57"/>
      <c r="F303" s="58"/>
      <c r="G303" s="56"/>
      <c r="H303" s="56"/>
      <c r="I303" s="59"/>
      <c r="J303" s="56"/>
      <c r="K303" s="56"/>
      <c r="L303" s="56"/>
      <c r="M303" s="1"/>
      <c r="N303" s="1"/>
      <c r="O303" s="1"/>
      <c r="P303" s="1"/>
      <c r="Q303" s="1"/>
      <c r="R303" s="1"/>
      <c r="S303" s="1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</row>
    <row r="304" spans="1:32" ht="58.5" customHeight="1" x14ac:dyDescent="0.25">
      <c r="A304" s="56"/>
      <c r="B304" s="56"/>
      <c r="C304" s="56"/>
      <c r="D304" s="56"/>
      <c r="E304" s="57"/>
      <c r="F304" s="58"/>
      <c r="G304" s="56"/>
      <c r="H304" s="56"/>
      <c r="I304" s="59"/>
      <c r="J304" s="56"/>
      <c r="K304" s="56"/>
      <c r="L304" s="56"/>
      <c r="M304" s="1"/>
      <c r="N304" s="1"/>
      <c r="O304" s="1"/>
      <c r="P304" s="1"/>
      <c r="Q304" s="1"/>
      <c r="R304" s="1"/>
      <c r="S304" s="1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</row>
    <row r="305" spans="1:32" ht="58.5" customHeight="1" x14ac:dyDescent="0.25">
      <c r="A305" s="56"/>
      <c r="B305" s="56"/>
      <c r="C305" s="56"/>
      <c r="D305" s="56"/>
      <c r="E305" s="57"/>
      <c r="F305" s="58"/>
      <c r="G305" s="56"/>
      <c r="H305" s="56"/>
      <c r="I305" s="59"/>
      <c r="J305" s="56"/>
      <c r="K305" s="56"/>
      <c r="L305" s="56"/>
      <c r="M305" s="1"/>
      <c r="N305" s="1"/>
      <c r="O305" s="1"/>
      <c r="P305" s="1"/>
      <c r="Q305" s="1"/>
      <c r="R305" s="1"/>
      <c r="S305" s="1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</row>
    <row r="306" spans="1:32" ht="58.5" customHeight="1" x14ac:dyDescent="0.25">
      <c r="A306" s="56"/>
      <c r="B306" s="56"/>
      <c r="C306" s="56"/>
      <c r="D306" s="56"/>
      <c r="E306" s="57"/>
      <c r="F306" s="58"/>
      <c r="G306" s="56"/>
      <c r="H306" s="56"/>
      <c r="I306" s="59"/>
      <c r="J306" s="56"/>
      <c r="K306" s="56"/>
      <c r="L306" s="56"/>
      <c r="M306" s="1"/>
      <c r="N306" s="1"/>
      <c r="O306" s="1"/>
      <c r="P306" s="1"/>
      <c r="Q306" s="1"/>
      <c r="R306" s="1"/>
      <c r="S306" s="1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</row>
    <row r="307" spans="1:32" ht="58.5" customHeight="1" x14ac:dyDescent="0.25">
      <c r="A307" s="56"/>
      <c r="B307" s="56"/>
      <c r="C307" s="56"/>
      <c r="D307" s="56"/>
      <c r="E307" s="57"/>
      <c r="F307" s="58"/>
      <c r="G307" s="56"/>
      <c r="H307" s="56"/>
      <c r="I307" s="59"/>
      <c r="J307" s="56"/>
      <c r="K307" s="56"/>
      <c r="L307" s="56"/>
      <c r="M307" s="1"/>
      <c r="N307" s="1"/>
      <c r="O307" s="1"/>
      <c r="P307" s="1"/>
      <c r="Q307" s="1"/>
      <c r="R307" s="1"/>
      <c r="S307" s="1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</row>
    <row r="308" spans="1:32" ht="58.5" customHeight="1" x14ac:dyDescent="0.25">
      <c r="A308" s="56"/>
      <c r="B308" s="56"/>
      <c r="C308" s="56"/>
      <c r="D308" s="56"/>
      <c r="E308" s="57"/>
      <c r="F308" s="58"/>
      <c r="G308" s="56"/>
      <c r="H308" s="56"/>
      <c r="I308" s="59"/>
      <c r="J308" s="56"/>
      <c r="K308" s="56"/>
      <c r="L308" s="56"/>
      <c r="M308" s="1"/>
      <c r="N308" s="1"/>
      <c r="O308" s="1"/>
      <c r="P308" s="1"/>
      <c r="Q308" s="1"/>
      <c r="R308" s="1"/>
      <c r="S308" s="1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</row>
    <row r="309" spans="1:32" ht="58.5" customHeight="1" x14ac:dyDescent="0.25">
      <c r="A309" s="56"/>
      <c r="B309" s="56"/>
      <c r="C309" s="56"/>
      <c r="D309" s="56"/>
      <c r="E309" s="57"/>
      <c r="F309" s="58"/>
      <c r="G309" s="56"/>
      <c r="H309" s="56"/>
      <c r="I309" s="59"/>
      <c r="J309" s="56"/>
      <c r="K309" s="56"/>
      <c r="L309" s="56"/>
      <c r="M309" s="1"/>
      <c r="N309" s="1"/>
      <c r="O309" s="1"/>
      <c r="P309" s="1"/>
      <c r="Q309" s="1"/>
      <c r="R309" s="1"/>
      <c r="S309" s="1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</row>
    <row r="310" spans="1:32" ht="58.5" customHeight="1" x14ac:dyDescent="0.25">
      <c r="A310" s="56"/>
      <c r="B310" s="56"/>
      <c r="C310" s="56"/>
      <c r="D310" s="56"/>
      <c r="E310" s="57"/>
      <c r="F310" s="58"/>
      <c r="G310" s="56"/>
      <c r="H310" s="56"/>
      <c r="I310" s="59"/>
      <c r="J310" s="56"/>
      <c r="K310" s="56"/>
      <c r="L310" s="56"/>
      <c r="M310" s="1"/>
      <c r="N310" s="1"/>
      <c r="O310" s="1"/>
      <c r="P310" s="1"/>
      <c r="Q310" s="1"/>
      <c r="R310" s="1"/>
      <c r="S310" s="1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</row>
    <row r="311" spans="1:32" ht="58.5" customHeight="1" x14ac:dyDescent="0.25">
      <c r="A311" s="56"/>
      <c r="B311" s="56"/>
      <c r="C311" s="56"/>
      <c r="D311" s="56"/>
      <c r="E311" s="57"/>
      <c r="F311" s="58"/>
      <c r="G311" s="56"/>
      <c r="H311" s="56"/>
      <c r="I311" s="59"/>
      <c r="J311" s="56"/>
      <c r="K311" s="56"/>
      <c r="L311" s="56"/>
      <c r="M311" s="1"/>
      <c r="N311" s="1"/>
      <c r="O311" s="1"/>
      <c r="P311" s="1"/>
      <c r="Q311" s="1"/>
      <c r="R311" s="1"/>
      <c r="S311" s="1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</row>
    <row r="312" spans="1:32" ht="58.5" customHeight="1" x14ac:dyDescent="0.25">
      <c r="A312" s="56"/>
      <c r="B312" s="56"/>
      <c r="C312" s="56"/>
      <c r="D312" s="56"/>
      <c r="E312" s="57"/>
      <c r="F312" s="58"/>
      <c r="G312" s="56"/>
      <c r="H312" s="56"/>
      <c r="I312" s="59"/>
      <c r="J312" s="56"/>
      <c r="K312" s="56"/>
      <c r="L312" s="56"/>
      <c r="M312" s="1"/>
      <c r="N312" s="1"/>
      <c r="O312" s="1"/>
      <c r="P312" s="1"/>
      <c r="Q312" s="1"/>
      <c r="R312" s="1"/>
      <c r="S312" s="1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</row>
    <row r="313" spans="1:32" ht="58.5" customHeight="1" x14ac:dyDescent="0.25">
      <c r="A313" s="56"/>
      <c r="B313" s="56"/>
      <c r="C313" s="56"/>
      <c r="D313" s="56"/>
      <c r="E313" s="57"/>
      <c r="F313" s="58"/>
      <c r="G313" s="56"/>
      <c r="H313" s="56"/>
      <c r="I313" s="59"/>
      <c r="J313" s="56"/>
      <c r="K313" s="56"/>
      <c r="L313" s="56"/>
      <c r="M313" s="1"/>
      <c r="N313" s="1"/>
      <c r="O313" s="1"/>
      <c r="P313" s="1"/>
      <c r="Q313" s="1"/>
      <c r="R313" s="1"/>
      <c r="S313" s="1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</row>
    <row r="314" spans="1:32" ht="58.5" customHeight="1" x14ac:dyDescent="0.25">
      <c r="A314" s="56"/>
      <c r="B314" s="56"/>
      <c r="C314" s="56"/>
      <c r="D314" s="56"/>
      <c r="E314" s="57"/>
      <c r="F314" s="58"/>
      <c r="G314" s="56"/>
      <c r="H314" s="56"/>
      <c r="I314" s="59"/>
      <c r="J314" s="56"/>
      <c r="K314" s="56"/>
      <c r="L314" s="56"/>
      <c r="M314" s="1"/>
      <c r="N314" s="1"/>
      <c r="O314" s="1"/>
      <c r="P314" s="1"/>
      <c r="Q314" s="1"/>
      <c r="R314" s="1"/>
      <c r="S314" s="1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</row>
    <row r="315" spans="1:32" ht="58.5" customHeight="1" x14ac:dyDescent="0.25">
      <c r="A315" s="56"/>
      <c r="B315" s="56"/>
      <c r="C315" s="56"/>
      <c r="D315" s="56"/>
      <c r="E315" s="57"/>
      <c r="F315" s="58"/>
      <c r="G315" s="56"/>
      <c r="H315" s="56"/>
      <c r="I315" s="59"/>
      <c r="J315" s="56"/>
      <c r="K315" s="56"/>
      <c r="L315" s="56"/>
      <c r="M315" s="1"/>
      <c r="N315" s="1"/>
      <c r="O315" s="1"/>
      <c r="P315" s="1"/>
      <c r="Q315" s="1"/>
      <c r="R315" s="1"/>
      <c r="S315" s="1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</row>
    <row r="316" spans="1:32" ht="58.5" customHeight="1" x14ac:dyDescent="0.25">
      <c r="A316" s="56"/>
      <c r="B316" s="56"/>
      <c r="C316" s="56"/>
      <c r="D316" s="56"/>
      <c r="E316" s="57"/>
      <c r="F316" s="58"/>
      <c r="G316" s="56"/>
      <c r="H316" s="56"/>
      <c r="I316" s="59"/>
      <c r="J316" s="56"/>
      <c r="K316" s="56"/>
      <c r="L316" s="56"/>
      <c r="M316" s="1"/>
      <c r="N316" s="1"/>
      <c r="O316" s="1"/>
      <c r="P316" s="1"/>
      <c r="Q316" s="1"/>
      <c r="R316" s="1"/>
      <c r="S316" s="1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</row>
    <row r="317" spans="1:32" ht="58.5" customHeight="1" x14ac:dyDescent="0.25">
      <c r="A317" s="56"/>
      <c r="B317" s="56"/>
      <c r="C317" s="56"/>
      <c r="D317" s="56"/>
      <c r="E317" s="57"/>
      <c r="F317" s="58"/>
      <c r="G317" s="56"/>
      <c r="H317" s="56"/>
      <c r="I317" s="59"/>
      <c r="J317" s="56"/>
      <c r="K317" s="56"/>
      <c r="L317" s="56"/>
      <c r="M317" s="1"/>
      <c r="N317" s="1"/>
      <c r="O317" s="1"/>
      <c r="P317" s="1"/>
      <c r="Q317" s="1"/>
      <c r="R317" s="1"/>
      <c r="S317" s="1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</row>
    <row r="318" spans="1:32" ht="58.5" customHeight="1" x14ac:dyDescent="0.25">
      <c r="A318" s="56"/>
      <c r="B318" s="56"/>
      <c r="C318" s="56"/>
      <c r="D318" s="56"/>
      <c r="E318" s="57"/>
      <c r="F318" s="58"/>
      <c r="G318" s="56"/>
      <c r="H318" s="56"/>
      <c r="I318" s="59"/>
      <c r="J318" s="56"/>
      <c r="K318" s="56"/>
      <c r="L318" s="56"/>
      <c r="M318" s="1"/>
      <c r="N318" s="1"/>
      <c r="O318" s="1"/>
      <c r="P318" s="1"/>
      <c r="Q318" s="1"/>
      <c r="R318" s="1"/>
      <c r="S318" s="1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</row>
    <row r="319" spans="1:32" ht="58.5" customHeight="1" x14ac:dyDescent="0.25">
      <c r="A319" s="56"/>
      <c r="B319" s="56"/>
      <c r="C319" s="56"/>
      <c r="D319" s="56"/>
      <c r="E319" s="57"/>
      <c r="F319" s="58"/>
      <c r="G319" s="56"/>
      <c r="H319" s="56"/>
      <c r="I319" s="59"/>
      <c r="J319" s="56"/>
      <c r="K319" s="56"/>
      <c r="L319" s="56"/>
      <c r="M319" s="1"/>
      <c r="N319" s="1"/>
      <c r="O319" s="1"/>
      <c r="P319" s="1"/>
      <c r="Q319" s="1"/>
      <c r="R319" s="1"/>
      <c r="S319" s="1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</row>
    <row r="320" spans="1:32" ht="58.5" customHeight="1" x14ac:dyDescent="0.25">
      <c r="A320" s="56"/>
      <c r="B320" s="56"/>
      <c r="C320" s="56"/>
      <c r="D320" s="56"/>
      <c r="E320" s="57"/>
      <c r="F320" s="58"/>
      <c r="G320" s="56"/>
      <c r="H320" s="56"/>
      <c r="I320" s="59"/>
      <c r="J320" s="56"/>
      <c r="K320" s="56"/>
      <c r="L320" s="56"/>
      <c r="M320" s="1"/>
      <c r="N320" s="1"/>
      <c r="O320" s="1"/>
      <c r="P320" s="1"/>
      <c r="Q320" s="1"/>
      <c r="R320" s="1"/>
      <c r="S320" s="1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</row>
    <row r="321" spans="1:32" ht="58.5" customHeight="1" x14ac:dyDescent="0.25">
      <c r="A321" s="56"/>
      <c r="B321" s="56"/>
      <c r="C321" s="56"/>
      <c r="D321" s="56"/>
      <c r="E321" s="57"/>
      <c r="F321" s="58"/>
      <c r="G321" s="56"/>
      <c r="H321" s="56"/>
      <c r="I321" s="59"/>
      <c r="J321" s="56"/>
      <c r="K321" s="56"/>
      <c r="L321" s="56"/>
      <c r="M321" s="1"/>
      <c r="N321" s="1"/>
      <c r="O321" s="1"/>
      <c r="P321" s="1"/>
      <c r="Q321" s="1"/>
      <c r="R321" s="1"/>
      <c r="S321" s="1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</row>
    <row r="322" spans="1:32" ht="58.5" customHeight="1" x14ac:dyDescent="0.25">
      <c r="A322" s="56"/>
      <c r="B322" s="56"/>
      <c r="C322" s="56"/>
      <c r="D322" s="56"/>
      <c r="E322" s="57"/>
      <c r="F322" s="58"/>
      <c r="G322" s="56"/>
      <c r="H322" s="56"/>
      <c r="I322" s="59"/>
      <c r="J322" s="56"/>
      <c r="K322" s="56"/>
      <c r="L322" s="56"/>
      <c r="M322" s="1"/>
      <c r="N322" s="1"/>
      <c r="O322" s="1"/>
      <c r="P322" s="1"/>
      <c r="Q322" s="1"/>
      <c r="R322" s="1"/>
      <c r="S322" s="1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</row>
    <row r="323" spans="1:32" ht="58.5" customHeight="1" x14ac:dyDescent="0.25">
      <c r="A323" s="56"/>
      <c r="B323" s="56"/>
      <c r="C323" s="56"/>
      <c r="D323" s="56"/>
      <c r="E323" s="57"/>
      <c r="F323" s="58"/>
      <c r="G323" s="56"/>
      <c r="H323" s="56"/>
      <c r="I323" s="59"/>
      <c r="J323" s="56"/>
      <c r="K323" s="56"/>
      <c r="L323" s="56"/>
      <c r="M323" s="1"/>
      <c r="N323" s="1"/>
      <c r="O323" s="1"/>
      <c r="P323" s="1"/>
      <c r="Q323" s="1"/>
      <c r="R323" s="1"/>
      <c r="S323" s="1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</row>
    <row r="324" spans="1:32" ht="58.5" customHeight="1" x14ac:dyDescent="0.25">
      <c r="A324" s="56"/>
      <c r="B324" s="56"/>
      <c r="C324" s="56"/>
      <c r="D324" s="56"/>
      <c r="E324" s="57"/>
      <c r="F324" s="58"/>
      <c r="G324" s="56"/>
      <c r="H324" s="56"/>
      <c r="I324" s="59"/>
      <c r="J324" s="56"/>
      <c r="K324" s="56"/>
      <c r="L324" s="56"/>
      <c r="M324" s="1"/>
      <c r="N324" s="1"/>
      <c r="O324" s="1"/>
      <c r="P324" s="1"/>
      <c r="Q324" s="1"/>
      <c r="R324" s="1"/>
      <c r="S324" s="1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</row>
    <row r="325" spans="1:32" ht="58.5" customHeight="1" x14ac:dyDescent="0.25">
      <c r="A325" s="56"/>
      <c r="B325" s="56"/>
      <c r="C325" s="56"/>
      <c r="D325" s="56"/>
      <c r="E325" s="57"/>
      <c r="F325" s="58"/>
      <c r="G325" s="56"/>
      <c r="H325" s="56"/>
      <c r="I325" s="59"/>
      <c r="J325" s="56"/>
      <c r="K325" s="56"/>
      <c r="L325" s="56"/>
      <c r="M325" s="1"/>
      <c r="N325" s="1"/>
      <c r="O325" s="1"/>
      <c r="P325" s="1"/>
      <c r="Q325" s="1"/>
      <c r="R325" s="1"/>
      <c r="S325" s="1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</row>
    <row r="326" spans="1:32" ht="58.5" customHeight="1" x14ac:dyDescent="0.25">
      <c r="A326" s="56"/>
      <c r="B326" s="56"/>
      <c r="C326" s="56"/>
      <c r="D326" s="56"/>
      <c r="E326" s="57"/>
      <c r="F326" s="58"/>
      <c r="G326" s="56"/>
      <c r="H326" s="56"/>
      <c r="I326" s="59"/>
      <c r="J326" s="56"/>
      <c r="K326" s="56"/>
      <c r="L326" s="56"/>
      <c r="M326" s="1"/>
      <c r="N326" s="1"/>
      <c r="O326" s="1"/>
      <c r="P326" s="1"/>
      <c r="Q326" s="1"/>
      <c r="R326" s="1"/>
      <c r="S326" s="1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</row>
    <row r="327" spans="1:32" ht="58.5" customHeight="1" x14ac:dyDescent="0.25">
      <c r="A327" s="56"/>
      <c r="B327" s="56"/>
      <c r="C327" s="56"/>
      <c r="D327" s="56"/>
      <c r="E327" s="57"/>
      <c r="F327" s="58"/>
      <c r="G327" s="56"/>
      <c r="H327" s="56"/>
      <c r="I327" s="59"/>
      <c r="J327" s="56"/>
      <c r="K327" s="56"/>
      <c r="L327" s="56"/>
      <c r="M327" s="1"/>
      <c r="N327" s="1"/>
      <c r="O327" s="1"/>
      <c r="P327" s="1"/>
      <c r="Q327" s="1"/>
      <c r="R327" s="1"/>
      <c r="S327" s="1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</row>
    <row r="328" spans="1:32" ht="58.5" customHeight="1" x14ac:dyDescent="0.25">
      <c r="A328" s="56"/>
      <c r="B328" s="56"/>
      <c r="C328" s="56"/>
      <c r="D328" s="56"/>
      <c r="E328" s="57"/>
      <c r="F328" s="58"/>
      <c r="G328" s="56"/>
      <c r="H328" s="56"/>
      <c r="I328" s="59"/>
      <c r="J328" s="56"/>
      <c r="K328" s="56"/>
      <c r="L328" s="56"/>
      <c r="M328" s="1"/>
      <c r="N328" s="1"/>
      <c r="O328" s="1"/>
      <c r="P328" s="1"/>
      <c r="Q328" s="1"/>
      <c r="R328" s="1"/>
      <c r="S328" s="1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</row>
    <row r="329" spans="1:32" ht="58.5" customHeight="1" x14ac:dyDescent="0.25">
      <c r="A329" s="56"/>
      <c r="B329" s="56"/>
      <c r="C329" s="56"/>
      <c r="D329" s="56"/>
      <c r="E329" s="57"/>
      <c r="F329" s="58"/>
      <c r="G329" s="56"/>
      <c r="H329" s="56"/>
      <c r="I329" s="59"/>
      <c r="J329" s="56"/>
      <c r="K329" s="56"/>
      <c r="L329" s="56"/>
      <c r="M329" s="1"/>
      <c r="N329" s="1"/>
      <c r="O329" s="1"/>
      <c r="P329" s="1"/>
      <c r="Q329" s="1"/>
      <c r="R329" s="1"/>
      <c r="S329" s="1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</row>
    <row r="330" spans="1:32" ht="58.5" customHeight="1" x14ac:dyDescent="0.25">
      <c r="A330" s="56"/>
      <c r="B330" s="56"/>
      <c r="C330" s="56"/>
      <c r="D330" s="56"/>
      <c r="E330" s="57"/>
      <c r="F330" s="58"/>
      <c r="G330" s="56"/>
      <c r="H330" s="56"/>
      <c r="I330" s="59"/>
      <c r="J330" s="56"/>
      <c r="K330" s="56"/>
      <c r="L330" s="56"/>
      <c r="M330" s="1"/>
      <c r="N330" s="1"/>
      <c r="O330" s="1"/>
      <c r="P330" s="1"/>
      <c r="Q330" s="1"/>
      <c r="R330" s="1"/>
      <c r="S330" s="1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</row>
    <row r="331" spans="1:32" ht="58.5" customHeight="1" x14ac:dyDescent="0.25">
      <c r="A331" s="56"/>
      <c r="B331" s="56"/>
      <c r="C331" s="56"/>
      <c r="D331" s="56"/>
      <c r="E331" s="57"/>
      <c r="F331" s="58"/>
      <c r="G331" s="56"/>
      <c r="H331" s="56"/>
      <c r="I331" s="59"/>
      <c r="J331" s="56"/>
      <c r="K331" s="56"/>
      <c r="L331" s="56"/>
      <c r="M331" s="1"/>
      <c r="N331" s="1"/>
      <c r="O331" s="1"/>
      <c r="P331" s="1"/>
      <c r="Q331" s="1"/>
      <c r="R331" s="1"/>
      <c r="S331" s="1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</row>
    <row r="332" spans="1:32" ht="58.5" customHeight="1" x14ac:dyDescent="0.25">
      <c r="A332" s="56"/>
      <c r="B332" s="56"/>
      <c r="C332" s="56"/>
      <c r="D332" s="56"/>
      <c r="E332" s="57"/>
      <c r="F332" s="58"/>
      <c r="G332" s="56"/>
      <c r="H332" s="56"/>
      <c r="I332" s="59"/>
      <c r="J332" s="56"/>
      <c r="K332" s="56"/>
      <c r="L332" s="56"/>
      <c r="M332" s="1"/>
      <c r="N332" s="1"/>
      <c r="O332" s="1"/>
      <c r="P332" s="1"/>
      <c r="Q332" s="1"/>
      <c r="R332" s="1"/>
      <c r="S332" s="1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</row>
    <row r="333" spans="1:32" ht="58.5" customHeight="1" x14ac:dyDescent="0.25">
      <c r="A333" s="56"/>
      <c r="B333" s="56"/>
      <c r="C333" s="56"/>
      <c r="D333" s="56"/>
      <c r="E333" s="57"/>
      <c r="F333" s="58"/>
      <c r="G333" s="56"/>
      <c r="H333" s="56"/>
      <c r="I333" s="59"/>
      <c r="J333" s="56"/>
      <c r="K333" s="56"/>
      <c r="L333" s="56"/>
      <c r="M333" s="1"/>
      <c r="N333" s="1"/>
      <c r="O333" s="1"/>
      <c r="P333" s="1"/>
      <c r="Q333" s="1"/>
      <c r="R333" s="1"/>
      <c r="S333" s="1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</row>
    <row r="334" spans="1:32" ht="58.5" customHeight="1" x14ac:dyDescent="0.25">
      <c r="A334" s="56"/>
      <c r="B334" s="56"/>
      <c r="C334" s="56"/>
      <c r="D334" s="56"/>
      <c r="E334" s="57"/>
      <c r="F334" s="58"/>
      <c r="G334" s="56"/>
      <c r="H334" s="56"/>
      <c r="I334" s="59"/>
      <c r="J334" s="56"/>
      <c r="K334" s="56"/>
      <c r="L334" s="56"/>
      <c r="M334" s="1"/>
      <c r="N334" s="1"/>
      <c r="O334" s="1"/>
      <c r="P334" s="1"/>
      <c r="Q334" s="1"/>
      <c r="R334" s="1"/>
      <c r="S334" s="1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</row>
    <row r="335" spans="1:32" ht="58.5" customHeight="1" x14ac:dyDescent="0.25">
      <c r="A335" s="56"/>
      <c r="B335" s="56"/>
      <c r="C335" s="56"/>
      <c r="D335" s="56"/>
      <c r="E335" s="57"/>
      <c r="F335" s="58"/>
      <c r="G335" s="56"/>
      <c r="H335" s="56"/>
      <c r="I335" s="59"/>
      <c r="J335" s="56"/>
      <c r="K335" s="56"/>
      <c r="L335" s="56"/>
      <c r="M335" s="1"/>
      <c r="N335" s="1"/>
      <c r="O335" s="1"/>
      <c r="P335" s="1"/>
      <c r="Q335" s="1"/>
      <c r="R335" s="1"/>
      <c r="S335" s="1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</row>
    <row r="336" spans="1:32" ht="58.5" customHeight="1" x14ac:dyDescent="0.25">
      <c r="A336" s="56"/>
      <c r="B336" s="56"/>
      <c r="C336" s="56"/>
      <c r="D336" s="56"/>
      <c r="E336" s="57"/>
      <c r="F336" s="58"/>
      <c r="G336" s="56"/>
      <c r="H336" s="56"/>
      <c r="I336" s="59"/>
      <c r="J336" s="56"/>
      <c r="K336" s="56"/>
      <c r="L336" s="56"/>
      <c r="M336" s="1"/>
      <c r="N336" s="1"/>
      <c r="O336" s="1"/>
      <c r="P336" s="1"/>
      <c r="Q336" s="1"/>
      <c r="R336" s="1"/>
      <c r="S336" s="1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</row>
    <row r="337" spans="1:32" ht="58.5" customHeight="1" x14ac:dyDescent="0.25">
      <c r="A337" s="56"/>
      <c r="B337" s="56"/>
      <c r="C337" s="56"/>
      <c r="D337" s="56"/>
      <c r="E337" s="57"/>
      <c r="F337" s="58"/>
      <c r="G337" s="56"/>
      <c r="H337" s="56"/>
      <c r="I337" s="59"/>
      <c r="J337" s="56"/>
      <c r="K337" s="56"/>
      <c r="L337" s="56"/>
      <c r="M337" s="1"/>
      <c r="N337" s="1"/>
      <c r="O337" s="1"/>
      <c r="P337" s="1"/>
      <c r="Q337" s="1"/>
      <c r="R337" s="1"/>
      <c r="S337" s="1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</row>
    <row r="338" spans="1:32" ht="58.5" customHeight="1" x14ac:dyDescent="0.25">
      <c r="A338" s="56"/>
      <c r="B338" s="56"/>
      <c r="C338" s="56"/>
      <c r="D338" s="56"/>
      <c r="E338" s="57"/>
      <c r="F338" s="58"/>
      <c r="G338" s="56"/>
      <c r="H338" s="56"/>
      <c r="I338" s="59"/>
      <c r="J338" s="56"/>
      <c r="K338" s="56"/>
      <c r="L338" s="56"/>
      <c r="M338" s="1"/>
      <c r="N338" s="1"/>
      <c r="O338" s="1"/>
      <c r="P338" s="1"/>
      <c r="Q338" s="1"/>
      <c r="R338" s="1"/>
      <c r="S338" s="1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</row>
    <row r="339" spans="1:32" ht="58.5" customHeight="1" x14ac:dyDescent="0.25">
      <c r="A339" s="56"/>
      <c r="B339" s="56"/>
      <c r="C339" s="56"/>
      <c r="D339" s="56"/>
      <c r="E339" s="57"/>
      <c r="F339" s="58"/>
      <c r="G339" s="56"/>
      <c r="H339" s="56"/>
      <c r="I339" s="59"/>
      <c r="J339" s="56"/>
      <c r="K339" s="56"/>
      <c r="L339" s="56"/>
      <c r="M339" s="1"/>
      <c r="N339" s="1"/>
      <c r="O339" s="1"/>
      <c r="P339" s="1"/>
      <c r="Q339" s="1"/>
      <c r="R339" s="1"/>
      <c r="S339" s="1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</row>
    <row r="340" spans="1:32" ht="58.5" customHeight="1" x14ac:dyDescent="0.25">
      <c r="A340" s="56"/>
      <c r="B340" s="56"/>
      <c r="C340" s="56"/>
      <c r="D340" s="56"/>
      <c r="E340" s="57"/>
      <c r="F340" s="58"/>
      <c r="G340" s="56"/>
      <c r="H340" s="56"/>
      <c r="I340" s="59"/>
      <c r="J340" s="56"/>
      <c r="K340" s="56"/>
      <c r="L340" s="56"/>
      <c r="M340" s="1"/>
      <c r="N340" s="1"/>
      <c r="O340" s="1"/>
      <c r="P340" s="1"/>
      <c r="Q340" s="1"/>
      <c r="R340" s="1"/>
      <c r="S340" s="1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</row>
    <row r="341" spans="1:32" ht="58.5" customHeight="1" x14ac:dyDescent="0.25">
      <c r="A341" s="56"/>
      <c r="B341" s="56"/>
      <c r="C341" s="56"/>
      <c r="D341" s="56"/>
      <c r="E341" s="57"/>
      <c r="F341" s="58"/>
      <c r="G341" s="56"/>
      <c r="H341" s="56"/>
      <c r="I341" s="59"/>
      <c r="J341" s="56"/>
      <c r="K341" s="56"/>
      <c r="L341" s="56"/>
      <c r="M341" s="1"/>
      <c r="N341" s="1"/>
      <c r="O341" s="1"/>
      <c r="P341" s="1"/>
      <c r="Q341" s="1"/>
      <c r="R341" s="1"/>
      <c r="S341" s="1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</row>
    <row r="342" spans="1:32" ht="58.5" customHeight="1" x14ac:dyDescent="0.25">
      <c r="A342" s="56"/>
      <c r="B342" s="56"/>
      <c r="C342" s="56"/>
      <c r="D342" s="56"/>
      <c r="E342" s="57"/>
      <c r="F342" s="58"/>
      <c r="G342" s="56"/>
      <c r="H342" s="56"/>
      <c r="I342" s="59"/>
      <c r="J342" s="56"/>
      <c r="K342" s="56"/>
      <c r="L342" s="56"/>
      <c r="M342" s="1"/>
      <c r="N342" s="1"/>
      <c r="O342" s="1"/>
      <c r="P342" s="1"/>
      <c r="Q342" s="1"/>
      <c r="R342" s="1"/>
      <c r="S342" s="1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</row>
    <row r="343" spans="1:32" ht="58.5" customHeight="1" x14ac:dyDescent="0.25">
      <c r="A343" s="56"/>
      <c r="B343" s="56"/>
      <c r="C343" s="56"/>
      <c r="D343" s="56"/>
      <c r="E343" s="57"/>
      <c r="F343" s="58"/>
      <c r="G343" s="56"/>
      <c r="H343" s="56"/>
      <c r="I343" s="59"/>
      <c r="J343" s="56"/>
      <c r="K343" s="56"/>
      <c r="L343" s="56"/>
      <c r="M343" s="1"/>
      <c r="N343" s="1"/>
      <c r="O343" s="1"/>
      <c r="P343" s="1"/>
      <c r="Q343" s="1"/>
      <c r="R343" s="1"/>
      <c r="S343" s="1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</row>
    <row r="344" spans="1:32" ht="58.5" customHeight="1" x14ac:dyDescent="0.25">
      <c r="A344" s="56"/>
      <c r="B344" s="56"/>
      <c r="C344" s="56"/>
      <c r="D344" s="56"/>
      <c r="E344" s="57"/>
      <c r="F344" s="58"/>
      <c r="G344" s="56"/>
      <c r="H344" s="56"/>
      <c r="I344" s="59"/>
      <c r="J344" s="56"/>
      <c r="K344" s="56"/>
      <c r="L344" s="56"/>
      <c r="M344" s="1"/>
      <c r="N344" s="1"/>
      <c r="O344" s="1"/>
      <c r="P344" s="1"/>
      <c r="Q344" s="1"/>
      <c r="R344" s="1"/>
      <c r="S344" s="1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</row>
    <row r="345" spans="1:32" ht="58.5" customHeight="1" x14ac:dyDescent="0.25">
      <c r="A345" s="56"/>
      <c r="B345" s="56"/>
      <c r="C345" s="56"/>
      <c r="D345" s="56"/>
      <c r="E345" s="57"/>
      <c r="F345" s="58"/>
      <c r="G345" s="56"/>
      <c r="H345" s="56"/>
      <c r="I345" s="59"/>
      <c r="J345" s="56"/>
      <c r="K345" s="56"/>
      <c r="L345" s="56"/>
      <c r="M345" s="1"/>
      <c r="N345" s="1"/>
      <c r="O345" s="1"/>
      <c r="P345" s="1"/>
      <c r="Q345" s="1"/>
      <c r="R345" s="1"/>
      <c r="S345" s="1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</row>
    <row r="346" spans="1:32" ht="58.5" customHeight="1" x14ac:dyDescent="0.25">
      <c r="A346" s="56"/>
      <c r="B346" s="56"/>
      <c r="C346" s="56"/>
      <c r="D346" s="56"/>
      <c r="E346" s="57"/>
      <c r="F346" s="58"/>
      <c r="G346" s="56"/>
      <c r="H346" s="56"/>
      <c r="I346" s="59"/>
      <c r="J346" s="56"/>
      <c r="K346" s="56"/>
      <c r="L346" s="56"/>
      <c r="M346" s="1"/>
      <c r="N346" s="1"/>
      <c r="O346" s="1"/>
      <c r="P346" s="1"/>
      <c r="Q346" s="1"/>
      <c r="R346" s="1"/>
      <c r="S346" s="1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</row>
    <row r="347" spans="1:32" ht="58.5" customHeight="1" x14ac:dyDescent="0.25">
      <c r="A347" s="56"/>
      <c r="B347" s="56"/>
      <c r="C347" s="56"/>
      <c r="D347" s="56"/>
      <c r="E347" s="57"/>
      <c r="F347" s="58"/>
      <c r="G347" s="56"/>
      <c r="H347" s="56"/>
      <c r="I347" s="59"/>
      <c r="J347" s="56"/>
      <c r="K347" s="56"/>
      <c r="L347" s="56"/>
      <c r="M347" s="1"/>
      <c r="N347" s="1"/>
      <c r="O347" s="1"/>
      <c r="P347" s="1"/>
      <c r="Q347" s="1"/>
      <c r="R347" s="1"/>
      <c r="S347" s="1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</row>
    <row r="348" spans="1:32" ht="58.5" customHeight="1" x14ac:dyDescent="0.25">
      <c r="A348" s="56"/>
      <c r="B348" s="56"/>
      <c r="C348" s="56"/>
      <c r="D348" s="56"/>
      <c r="E348" s="57"/>
      <c r="F348" s="58"/>
      <c r="G348" s="56"/>
      <c r="H348" s="56"/>
      <c r="I348" s="59"/>
      <c r="J348" s="56"/>
      <c r="K348" s="56"/>
      <c r="L348" s="56"/>
      <c r="M348" s="1"/>
      <c r="N348" s="1"/>
      <c r="O348" s="1"/>
      <c r="P348" s="1"/>
      <c r="Q348" s="1"/>
      <c r="R348" s="1"/>
      <c r="S348" s="1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</row>
    <row r="349" spans="1:32" ht="58.5" customHeight="1" x14ac:dyDescent="0.25">
      <c r="A349" s="56"/>
      <c r="B349" s="56"/>
      <c r="C349" s="56"/>
      <c r="D349" s="56"/>
      <c r="E349" s="57"/>
      <c r="F349" s="58"/>
      <c r="G349" s="56"/>
      <c r="H349" s="56"/>
      <c r="I349" s="59"/>
      <c r="J349" s="56"/>
      <c r="K349" s="56"/>
      <c r="L349" s="56"/>
      <c r="M349" s="1"/>
      <c r="N349" s="1"/>
      <c r="O349" s="1"/>
      <c r="P349" s="1"/>
      <c r="Q349" s="1"/>
      <c r="R349" s="1"/>
      <c r="S349" s="1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</row>
    <row r="350" spans="1:32" ht="58.5" customHeight="1" x14ac:dyDescent="0.25">
      <c r="A350" s="56"/>
      <c r="B350" s="56"/>
      <c r="C350" s="56"/>
      <c r="D350" s="56"/>
      <c r="E350" s="57"/>
      <c r="F350" s="58"/>
      <c r="G350" s="56"/>
      <c r="H350" s="56"/>
      <c r="I350" s="59"/>
      <c r="J350" s="56"/>
      <c r="K350" s="56"/>
      <c r="L350" s="56"/>
      <c r="M350" s="1"/>
      <c r="N350" s="1"/>
      <c r="O350" s="1"/>
      <c r="P350" s="1"/>
      <c r="Q350" s="1"/>
      <c r="R350" s="1"/>
      <c r="S350" s="1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</row>
    <row r="351" spans="1:32" ht="58.5" customHeight="1" x14ac:dyDescent="0.25">
      <c r="A351" s="56"/>
      <c r="B351" s="56"/>
      <c r="C351" s="56"/>
      <c r="D351" s="56"/>
      <c r="E351" s="57"/>
      <c r="F351" s="58"/>
      <c r="G351" s="56"/>
      <c r="H351" s="56"/>
      <c r="I351" s="59"/>
      <c r="J351" s="56"/>
      <c r="K351" s="56"/>
      <c r="L351" s="56"/>
      <c r="M351" s="1"/>
      <c r="N351" s="1"/>
      <c r="O351" s="1"/>
      <c r="P351" s="1"/>
      <c r="Q351" s="1"/>
      <c r="R351" s="1"/>
      <c r="S351" s="1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</row>
    <row r="352" spans="1:32" ht="58.5" customHeight="1" x14ac:dyDescent="0.25">
      <c r="A352" s="56"/>
      <c r="B352" s="56"/>
      <c r="C352" s="56"/>
      <c r="D352" s="56"/>
      <c r="E352" s="57"/>
      <c r="F352" s="58"/>
      <c r="G352" s="56"/>
      <c r="H352" s="56"/>
      <c r="I352" s="59"/>
      <c r="J352" s="56"/>
      <c r="K352" s="56"/>
      <c r="L352" s="56"/>
      <c r="M352" s="1"/>
      <c r="N352" s="1"/>
      <c r="O352" s="1"/>
      <c r="P352" s="1"/>
      <c r="Q352" s="1"/>
      <c r="R352" s="1"/>
      <c r="S352" s="1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</row>
    <row r="353" spans="1:32" ht="58.5" customHeight="1" x14ac:dyDescent="0.25">
      <c r="A353" s="56"/>
      <c r="B353" s="56"/>
      <c r="C353" s="56"/>
      <c r="D353" s="56"/>
      <c r="E353" s="57"/>
      <c r="F353" s="58"/>
      <c r="G353" s="56"/>
      <c r="H353" s="56"/>
      <c r="I353" s="59"/>
      <c r="J353" s="56"/>
      <c r="K353" s="56"/>
      <c r="L353" s="56"/>
      <c r="M353" s="1"/>
      <c r="N353" s="1"/>
      <c r="O353" s="1"/>
      <c r="P353" s="1"/>
      <c r="Q353" s="1"/>
      <c r="R353" s="1"/>
      <c r="S353" s="1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</row>
    <row r="354" spans="1:32" ht="58.5" customHeight="1" x14ac:dyDescent="0.25">
      <c r="A354" s="56"/>
      <c r="B354" s="56"/>
      <c r="C354" s="56"/>
      <c r="D354" s="56"/>
      <c r="E354" s="57"/>
      <c r="F354" s="58"/>
      <c r="G354" s="56"/>
      <c r="H354" s="56"/>
      <c r="I354" s="59"/>
      <c r="J354" s="56"/>
      <c r="K354" s="56"/>
      <c r="L354" s="56"/>
      <c r="M354" s="1"/>
      <c r="N354" s="1"/>
      <c r="O354" s="1"/>
      <c r="P354" s="1"/>
      <c r="Q354" s="1"/>
      <c r="R354" s="1"/>
      <c r="S354" s="1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</row>
    <row r="355" spans="1:32" ht="58.5" customHeight="1" x14ac:dyDescent="0.25">
      <c r="A355" s="56"/>
      <c r="B355" s="56"/>
      <c r="C355" s="56"/>
      <c r="D355" s="56"/>
      <c r="E355" s="57"/>
      <c r="F355" s="58"/>
      <c r="G355" s="56"/>
      <c r="H355" s="56"/>
      <c r="I355" s="59"/>
      <c r="J355" s="56"/>
      <c r="K355" s="56"/>
      <c r="L355" s="56"/>
      <c r="M355" s="1"/>
      <c r="N355" s="1"/>
      <c r="O355" s="1"/>
      <c r="P355" s="1"/>
      <c r="Q355" s="1"/>
      <c r="R355" s="1"/>
      <c r="S355" s="1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</row>
    <row r="356" spans="1:32" ht="58.5" customHeight="1" x14ac:dyDescent="0.25">
      <c r="A356" s="56"/>
      <c r="B356" s="56"/>
      <c r="C356" s="56"/>
      <c r="D356" s="56"/>
      <c r="E356" s="57"/>
      <c r="F356" s="58"/>
      <c r="G356" s="56"/>
      <c r="H356" s="56"/>
      <c r="I356" s="59"/>
      <c r="J356" s="56"/>
      <c r="K356" s="56"/>
      <c r="L356" s="56"/>
      <c r="M356" s="1"/>
      <c r="N356" s="1"/>
      <c r="O356" s="1"/>
      <c r="P356" s="1"/>
      <c r="Q356" s="1"/>
      <c r="R356" s="1"/>
      <c r="S356" s="1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</row>
    <row r="357" spans="1:32" ht="58.5" customHeight="1" x14ac:dyDescent="0.25">
      <c r="A357" s="56"/>
      <c r="B357" s="56"/>
      <c r="C357" s="56"/>
      <c r="D357" s="56"/>
      <c r="E357" s="57"/>
      <c r="F357" s="58"/>
      <c r="G357" s="56"/>
      <c r="H357" s="56"/>
      <c r="I357" s="59"/>
      <c r="J357" s="56"/>
      <c r="K357" s="56"/>
      <c r="L357" s="56"/>
      <c r="M357" s="1"/>
      <c r="N357" s="1"/>
      <c r="O357" s="1"/>
      <c r="P357" s="1"/>
      <c r="Q357" s="1"/>
      <c r="R357" s="1"/>
      <c r="S357" s="1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</row>
    <row r="358" spans="1:32" ht="58.5" customHeight="1" x14ac:dyDescent="0.25">
      <c r="A358" s="56"/>
      <c r="B358" s="56"/>
      <c r="C358" s="56"/>
      <c r="D358" s="56"/>
      <c r="E358" s="57"/>
      <c r="F358" s="58"/>
      <c r="G358" s="56"/>
      <c r="H358" s="56"/>
      <c r="I358" s="59"/>
      <c r="J358" s="56"/>
      <c r="K358" s="56"/>
      <c r="L358" s="56"/>
      <c r="M358" s="1"/>
      <c r="N358" s="1"/>
      <c r="O358" s="1"/>
      <c r="P358" s="1"/>
      <c r="Q358" s="1"/>
      <c r="R358" s="1"/>
      <c r="S358" s="1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</row>
    <row r="359" spans="1:32" ht="58.5" customHeight="1" x14ac:dyDescent="0.25">
      <c r="A359" s="56"/>
      <c r="B359" s="56"/>
      <c r="C359" s="56"/>
      <c r="D359" s="56"/>
      <c r="E359" s="57"/>
      <c r="F359" s="58"/>
      <c r="G359" s="56"/>
      <c r="H359" s="56"/>
      <c r="I359" s="59"/>
      <c r="J359" s="56"/>
      <c r="K359" s="56"/>
      <c r="L359" s="56"/>
      <c r="M359" s="1"/>
      <c r="N359" s="1"/>
      <c r="O359" s="1"/>
      <c r="P359" s="1"/>
      <c r="Q359" s="1"/>
      <c r="R359" s="1"/>
      <c r="S359" s="1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</row>
    <row r="360" spans="1:32" ht="58.5" customHeight="1" x14ac:dyDescent="0.25">
      <c r="A360" s="56"/>
      <c r="B360" s="56"/>
      <c r="C360" s="56"/>
      <c r="D360" s="56"/>
      <c r="E360" s="57"/>
      <c r="F360" s="58"/>
      <c r="G360" s="56"/>
      <c r="H360" s="56"/>
      <c r="I360" s="59"/>
      <c r="J360" s="56"/>
      <c r="K360" s="56"/>
      <c r="L360" s="56"/>
      <c r="M360" s="1"/>
      <c r="N360" s="1"/>
      <c r="O360" s="1"/>
      <c r="P360" s="1"/>
      <c r="Q360" s="1"/>
      <c r="R360" s="1"/>
      <c r="S360" s="1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</row>
    <row r="361" spans="1:32" ht="58.5" customHeight="1" x14ac:dyDescent="0.25">
      <c r="A361" s="56"/>
      <c r="B361" s="56"/>
      <c r="C361" s="56"/>
      <c r="D361" s="56"/>
      <c r="E361" s="57"/>
      <c r="F361" s="58"/>
      <c r="G361" s="56"/>
      <c r="H361" s="56"/>
      <c r="I361" s="59"/>
      <c r="J361" s="56"/>
      <c r="K361" s="56"/>
      <c r="L361" s="56"/>
      <c r="M361" s="1"/>
      <c r="N361" s="1"/>
      <c r="O361" s="1"/>
      <c r="P361" s="1"/>
      <c r="Q361" s="1"/>
      <c r="R361" s="1"/>
      <c r="S361" s="1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</row>
    <row r="362" spans="1:32" ht="58.5" customHeight="1" x14ac:dyDescent="0.25">
      <c r="A362" s="56"/>
      <c r="B362" s="56"/>
      <c r="C362" s="56"/>
      <c r="D362" s="56"/>
      <c r="E362" s="57"/>
      <c r="F362" s="58"/>
      <c r="G362" s="56"/>
      <c r="H362" s="56"/>
      <c r="I362" s="59"/>
      <c r="J362" s="56"/>
      <c r="K362" s="56"/>
      <c r="L362" s="56"/>
      <c r="M362" s="1"/>
      <c r="N362" s="1"/>
      <c r="O362" s="1"/>
      <c r="P362" s="1"/>
      <c r="Q362" s="1"/>
      <c r="R362" s="1"/>
      <c r="S362" s="1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</row>
    <row r="363" spans="1:32" ht="58.5" customHeight="1" x14ac:dyDescent="0.25">
      <c r="A363" s="56"/>
      <c r="B363" s="56"/>
      <c r="C363" s="56"/>
      <c r="D363" s="56"/>
      <c r="E363" s="57"/>
      <c r="F363" s="58"/>
      <c r="G363" s="56"/>
      <c r="H363" s="56"/>
      <c r="I363" s="59"/>
      <c r="J363" s="56"/>
      <c r="K363" s="56"/>
      <c r="L363" s="56"/>
      <c r="M363" s="1"/>
      <c r="N363" s="1"/>
      <c r="O363" s="1"/>
      <c r="P363" s="1"/>
      <c r="Q363" s="1"/>
      <c r="R363" s="1"/>
      <c r="S363" s="1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</row>
    <row r="364" spans="1:32" ht="58.5" customHeight="1" x14ac:dyDescent="0.25">
      <c r="A364" s="56"/>
      <c r="B364" s="56"/>
      <c r="C364" s="56"/>
      <c r="D364" s="56"/>
      <c r="E364" s="57"/>
      <c r="F364" s="58"/>
      <c r="G364" s="56"/>
      <c r="H364" s="56"/>
      <c r="I364" s="59"/>
      <c r="J364" s="56"/>
      <c r="K364" s="56"/>
      <c r="L364" s="56"/>
      <c r="M364" s="1"/>
      <c r="N364" s="1"/>
      <c r="O364" s="1"/>
      <c r="P364" s="1"/>
      <c r="Q364" s="1"/>
      <c r="R364" s="1"/>
      <c r="S364" s="1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</row>
    <row r="365" spans="1:32" ht="58.5" customHeight="1" x14ac:dyDescent="0.25">
      <c r="A365" s="56"/>
      <c r="B365" s="56"/>
      <c r="C365" s="56"/>
      <c r="D365" s="56"/>
      <c r="E365" s="57"/>
      <c r="F365" s="58"/>
      <c r="G365" s="56"/>
      <c r="H365" s="56"/>
      <c r="I365" s="59"/>
      <c r="J365" s="56"/>
      <c r="K365" s="56"/>
      <c r="L365" s="56"/>
      <c r="M365" s="1"/>
      <c r="N365" s="1"/>
      <c r="O365" s="1"/>
      <c r="P365" s="1"/>
      <c r="Q365" s="1"/>
      <c r="R365" s="1"/>
      <c r="S365" s="1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</row>
    <row r="366" spans="1:32" ht="58.5" customHeight="1" x14ac:dyDescent="0.25">
      <c r="A366" s="56"/>
      <c r="B366" s="56"/>
      <c r="C366" s="56"/>
      <c r="D366" s="56"/>
      <c r="E366" s="57"/>
      <c r="F366" s="58"/>
      <c r="G366" s="56"/>
      <c r="H366" s="56"/>
      <c r="I366" s="59"/>
      <c r="J366" s="56"/>
      <c r="K366" s="56"/>
      <c r="L366" s="56"/>
      <c r="M366" s="1"/>
      <c r="N366" s="1"/>
      <c r="O366" s="1"/>
      <c r="P366" s="1"/>
      <c r="Q366" s="1"/>
      <c r="R366" s="1"/>
      <c r="S366" s="1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</row>
    <row r="367" spans="1:32" ht="58.5" customHeight="1" x14ac:dyDescent="0.25">
      <c r="A367" s="56"/>
      <c r="B367" s="56"/>
      <c r="C367" s="56"/>
      <c r="D367" s="56"/>
      <c r="E367" s="57"/>
      <c r="F367" s="58"/>
      <c r="G367" s="56"/>
      <c r="H367" s="56"/>
      <c r="I367" s="59"/>
      <c r="J367" s="56"/>
      <c r="K367" s="56"/>
      <c r="L367" s="56"/>
      <c r="M367" s="1"/>
      <c r="N367" s="1"/>
      <c r="O367" s="1"/>
      <c r="P367" s="1"/>
      <c r="Q367" s="1"/>
      <c r="R367" s="1"/>
      <c r="S367" s="1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</row>
    <row r="368" spans="1:32" ht="58.5" customHeight="1" x14ac:dyDescent="0.25">
      <c r="A368" s="56"/>
      <c r="B368" s="56"/>
      <c r="C368" s="56"/>
      <c r="D368" s="56"/>
      <c r="E368" s="57"/>
      <c r="F368" s="58"/>
      <c r="G368" s="56"/>
      <c r="H368" s="56"/>
      <c r="I368" s="59"/>
      <c r="J368" s="56"/>
      <c r="K368" s="56"/>
      <c r="L368" s="56"/>
      <c r="M368" s="1"/>
      <c r="N368" s="1"/>
      <c r="O368" s="1"/>
      <c r="P368" s="1"/>
      <c r="Q368" s="1"/>
      <c r="R368" s="1"/>
      <c r="S368" s="1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</row>
    <row r="369" spans="1:32" ht="58.5" customHeight="1" x14ac:dyDescent="0.25">
      <c r="A369" s="56"/>
      <c r="B369" s="56"/>
      <c r="C369" s="56"/>
      <c r="D369" s="56"/>
      <c r="E369" s="57"/>
      <c r="F369" s="58"/>
      <c r="G369" s="56"/>
      <c r="H369" s="56"/>
      <c r="I369" s="59"/>
      <c r="J369" s="56"/>
      <c r="K369" s="56"/>
      <c r="L369" s="56"/>
      <c r="M369" s="1"/>
      <c r="N369" s="1"/>
      <c r="O369" s="1"/>
      <c r="P369" s="1"/>
      <c r="Q369" s="1"/>
      <c r="R369" s="1"/>
      <c r="S369" s="1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</row>
    <row r="370" spans="1:32" ht="58.5" customHeight="1" x14ac:dyDescent="0.25">
      <c r="A370" s="56"/>
      <c r="B370" s="56"/>
      <c r="C370" s="56"/>
      <c r="D370" s="56"/>
      <c r="E370" s="57"/>
      <c r="F370" s="58"/>
      <c r="G370" s="56"/>
      <c r="H370" s="56"/>
      <c r="I370" s="59"/>
      <c r="J370" s="56"/>
      <c r="K370" s="56"/>
      <c r="L370" s="56"/>
      <c r="M370" s="1"/>
      <c r="N370" s="1"/>
      <c r="O370" s="1"/>
      <c r="P370" s="1"/>
      <c r="Q370" s="1"/>
      <c r="R370" s="1"/>
      <c r="S370" s="1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</row>
    <row r="371" spans="1:32" ht="58.5" customHeight="1" x14ac:dyDescent="0.25">
      <c r="A371" s="56"/>
      <c r="B371" s="56"/>
      <c r="C371" s="56"/>
      <c r="D371" s="56"/>
      <c r="E371" s="57"/>
      <c r="F371" s="58"/>
      <c r="G371" s="56"/>
      <c r="H371" s="56"/>
      <c r="I371" s="59"/>
      <c r="J371" s="56"/>
      <c r="K371" s="56"/>
      <c r="L371" s="56"/>
      <c r="M371" s="1"/>
      <c r="N371" s="1"/>
      <c r="O371" s="1"/>
      <c r="P371" s="1"/>
      <c r="Q371" s="1"/>
      <c r="R371" s="1"/>
      <c r="S371" s="1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</row>
    <row r="372" spans="1:32" ht="58.5" customHeight="1" x14ac:dyDescent="0.25">
      <c r="A372" s="56"/>
      <c r="B372" s="56"/>
      <c r="C372" s="56"/>
      <c r="D372" s="56"/>
      <c r="E372" s="57"/>
      <c r="F372" s="58"/>
      <c r="G372" s="56"/>
      <c r="H372" s="56"/>
      <c r="I372" s="59"/>
      <c r="J372" s="56"/>
      <c r="K372" s="56"/>
      <c r="L372" s="56"/>
      <c r="M372" s="1"/>
      <c r="N372" s="1"/>
      <c r="O372" s="1"/>
      <c r="P372" s="1"/>
      <c r="Q372" s="1"/>
      <c r="R372" s="1"/>
      <c r="S372" s="1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</row>
    <row r="373" spans="1:32" ht="58.5" customHeight="1" x14ac:dyDescent="0.25">
      <c r="A373" s="56"/>
      <c r="B373" s="56"/>
      <c r="C373" s="56"/>
      <c r="D373" s="56"/>
      <c r="E373" s="57"/>
      <c r="F373" s="58"/>
      <c r="G373" s="56"/>
      <c r="H373" s="56"/>
      <c r="I373" s="59"/>
      <c r="J373" s="56"/>
      <c r="K373" s="56"/>
      <c r="L373" s="56"/>
      <c r="M373" s="1"/>
      <c r="N373" s="1"/>
      <c r="O373" s="1"/>
      <c r="P373" s="1"/>
      <c r="Q373" s="1"/>
      <c r="R373" s="1"/>
      <c r="S373" s="1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</row>
    <row r="374" spans="1:32" ht="58.5" customHeight="1" x14ac:dyDescent="0.25">
      <c r="A374" s="56"/>
      <c r="B374" s="56"/>
      <c r="C374" s="56"/>
      <c r="D374" s="56"/>
      <c r="E374" s="57"/>
      <c r="F374" s="58"/>
      <c r="G374" s="56"/>
      <c r="H374" s="56"/>
      <c r="I374" s="59"/>
      <c r="J374" s="56"/>
      <c r="K374" s="56"/>
      <c r="L374" s="56"/>
      <c r="M374" s="1"/>
      <c r="N374" s="1"/>
      <c r="O374" s="1"/>
      <c r="P374" s="1"/>
      <c r="Q374" s="1"/>
      <c r="R374" s="1"/>
      <c r="S374" s="1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</row>
    <row r="375" spans="1:32" ht="58.5" customHeight="1" x14ac:dyDescent="0.25">
      <c r="A375" s="56"/>
      <c r="B375" s="56"/>
      <c r="C375" s="56"/>
      <c r="D375" s="56"/>
      <c r="E375" s="57"/>
      <c r="F375" s="58"/>
      <c r="G375" s="56"/>
      <c r="H375" s="56"/>
      <c r="I375" s="59"/>
      <c r="J375" s="56"/>
      <c r="K375" s="56"/>
      <c r="L375" s="56"/>
      <c r="M375" s="1"/>
      <c r="N375" s="1"/>
      <c r="O375" s="1"/>
      <c r="P375" s="1"/>
      <c r="Q375" s="1"/>
      <c r="R375" s="1"/>
      <c r="S375" s="1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</row>
    <row r="376" spans="1:32" ht="58.5" customHeight="1" x14ac:dyDescent="0.25">
      <c r="A376" s="56"/>
      <c r="B376" s="56"/>
      <c r="C376" s="56"/>
      <c r="D376" s="56"/>
      <c r="E376" s="57"/>
      <c r="F376" s="58"/>
      <c r="G376" s="56"/>
      <c r="H376" s="56"/>
      <c r="I376" s="59"/>
      <c r="J376" s="56"/>
      <c r="K376" s="56"/>
      <c r="L376" s="56"/>
      <c r="M376" s="1"/>
      <c r="N376" s="1"/>
      <c r="O376" s="1"/>
      <c r="P376" s="1"/>
      <c r="Q376" s="1"/>
      <c r="R376" s="1"/>
      <c r="S376" s="1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</row>
    <row r="377" spans="1:32" ht="58.5" customHeight="1" x14ac:dyDescent="0.25">
      <c r="A377" s="56"/>
      <c r="B377" s="56"/>
      <c r="C377" s="56"/>
      <c r="D377" s="56"/>
      <c r="E377" s="57"/>
      <c r="F377" s="58"/>
      <c r="G377" s="56"/>
      <c r="H377" s="56"/>
      <c r="I377" s="59"/>
      <c r="J377" s="56"/>
      <c r="K377" s="56"/>
      <c r="L377" s="56"/>
      <c r="M377" s="1"/>
      <c r="N377" s="1"/>
      <c r="O377" s="1"/>
      <c r="P377" s="1"/>
      <c r="Q377" s="1"/>
      <c r="R377" s="1"/>
      <c r="S377" s="1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</row>
    <row r="378" spans="1:32" ht="58.5" customHeight="1" x14ac:dyDescent="0.25">
      <c r="A378" s="56"/>
      <c r="B378" s="56"/>
      <c r="C378" s="56"/>
      <c r="D378" s="56"/>
      <c r="E378" s="57"/>
      <c r="F378" s="58"/>
      <c r="G378" s="56"/>
      <c r="H378" s="56"/>
      <c r="I378" s="59"/>
      <c r="J378" s="56"/>
      <c r="K378" s="56"/>
      <c r="L378" s="56"/>
      <c r="M378" s="1"/>
      <c r="N378" s="1"/>
      <c r="O378" s="1"/>
      <c r="P378" s="1"/>
      <c r="Q378" s="1"/>
      <c r="R378" s="1"/>
      <c r="S378" s="1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</row>
    <row r="379" spans="1:32" ht="58.5" customHeight="1" x14ac:dyDescent="0.25">
      <c r="A379" s="56"/>
      <c r="B379" s="56"/>
      <c r="C379" s="56"/>
      <c r="D379" s="56"/>
      <c r="E379" s="57"/>
      <c r="F379" s="58"/>
      <c r="G379" s="56"/>
      <c r="H379" s="56"/>
      <c r="I379" s="59"/>
      <c r="J379" s="56"/>
      <c r="K379" s="56"/>
      <c r="L379" s="56"/>
      <c r="M379" s="1"/>
      <c r="N379" s="1"/>
      <c r="O379" s="1"/>
      <c r="P379" s="1"/>
      <c r="Q379" s="1"/>
      <c r="R379" s="1"/>
      <c r="S379" s="1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</row>
    <row r="380" spans="1:32" ht="58.5" customHeight="1" x14ac:dyDescent="0.25">
      <c r="A380" s="56"/>
      <c r="B380" s="56"/>
      <c r="C380" s="56"/>
      <c r="D380" s="56"/>
      <c r="E380" s="57"/>
      <c r="F380" s="58"/>
      <c r="G380" s="56"/>
      <c r="H380" s="56"/>
      <c r="I380" s="59"/>
      <c r="J380" s="56"/>
      <c r="K380" s="56"/>
      <c r="L380" s="56"/>
      <c r="M380" s="1"/>
      <c r="N380" s="1"/>
      <c r="O380" s="1"/>
      <c r="P380" s="1"/>
      <c r="Q380" s="1"/>
      <c r="R380" s="1"/>
      <c r="S380" s="1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</row>
    <row r="381" spans="1:32" ht="58.5" customHeight="1" x14ac:dyDescent="0.25">
      <c r="A381" s="56"/>
      <c r="B381" s="56"/>
      <c r="C381" s="56"/>
      <c r="D381" s="56"/>
      <c r="E381" s="57"/>
      <c r="F381" s="58"/>
      <c r="G381" s="56"/>
      <c r="H381" s="56"/>
      <c r="I381" s="59"/>
      <c r="J381" s="56"/>
      <c r="K381" s="56"/>
      <c r="L381" s="56"/>
      <c r="M381" s="1"/>
      <c r="N381" s="1"/>
      <c r="O381" s="1"/>
      <c r="P381" s="1"/>
      <c r="Q381" s="1"/>
      <c r="R381" s="1"/>
      <c r="S381" s="1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</row>
    <row r="382" spans="1:32" ht="58.5" customHeight="1" x14ac:dyDescent="0.25">
      <c r="A382" s="56"/>
      <c r="B382" s="56"/>
      <c r="C382" s="56"/>
      <c r="D382" s="56"/>
      <c r="E382" s="57"/>
      <c r="F382" s="58"/>
      <c r="G382" s="56"/>
      <c r="H382" s="56"/>
      <c r="I382" s="59"/>
      <c r="J382" s="56"/>
      <c r="K382" s="56"/>
      <c r="L382" s="56"/>
      <c r="M382" s="1"/>
      <c r="N382" s="1"/>
      <c r="O382" s="1"/>
      <c r="P382" s="1"/>
      <c r="Q382" s="1"/>
      <c r="R382" s="1"/>
      <c r="S382" s="1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</row>
    <row r="383" spans="1:32" ht="58.5" customHeight="1" x14ac:dyDescent="0.25">
      <c r="A383" s="56"/>
      <c r="B383" s="56"/>
      <c r="C383" s="56"/>
      <c r="D383" s="56"/>
      <c r="E383" s="57"/>
      <c r="F383" s="58"/>
      <c r="G383" s="56"/>
      <c r="H383" s="56"/>
      <c r="I383" s="59"/>
      <c r="J383" s="56"/>
      <c r="K383" s="56"/>
      <c r="L383" s="56"/>
      <c r="M383" s="1"/>
      <c r="N383" s="1"/>
      <c r="O383" s="1"/>
      <c r="P383" s="1"/>
      <c r="Q383" s="1"/>
      <c r="R383" s="1"/>
      <c r="S383" s="1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</row>
    <row r="384" spans="1:32" ht="58.5" customHeight="1" x14ac:dyDescent="0.25">
      <c r="A384" s="56"/>
      <c r="B384" s="56"/>
      <c r="C384" s="56"/>
      <c r="D384" s="56"/>
      <c r="E384" s="57"/>
      <c r="F384" s="58"/>
      <c r="G384" s="56"/>
      <c r="H384" s="56"/>
      <c r="I384" s="59"/>
      <c r="J384" s="56"/>
      <c r="K384" s="56"/>
      <c r="L384" s="56"/>
      <c r="M384" s="1"/>
      <c r="N384" s="1"/>
      <c r="O384" s="1"/>
      <c r="P384" s="1"/>
      <c r="Q384" s="1"/>
      <c r="R384" s="1"/>
      <c r="S384" s="1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</row>
    <row r="385" spans="1:32" ht="58.5" customHeight="1" x14ac:dyDescent="0.25">
      <c r="A385" s="56"/>
      <c r="B385" s="56"/>
      <c r="C385" s="56"/>
      <c r="D385" s="56"/>
      <c r="E385" s="57"/>
      <c r="F385" s="58"/>
      <c r="G385" s="56"/>
      <c r="H385" s="56"/>
      <c r="I385" s="59"/>
      <c r="J385" s="56"/>
      <c r="K385" s="56"/>
      <c r="L385" s="56"/>
      <c r="M385" s="1"/>
      <c r="N385" s="1"/>
      <c r="O385" s="1"/>
      <c r="P385" s="1"/>
      <c r="Q385" s="1"/>
      <c r="R385" s="1"/>
      <c r="S385" s="1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</row>
    <row r="386" spans="1:32" ht="58.5" customHeight="1" x14ac:dyDescent="0.25">
      <c r="A386" s="56"/>
      <c r="B386" s="56"/>
      <c r="C386" s="56"/>
      <c r="D386" s="56"/>
      <c r="E386" s="57"/>
      <c r="F386" s="58"/>
      <c r="G386" s="56"/>
      <c r="H386" s="56"/>
      <c r="I386" s="59"/>
      <c r="J386" s="56"/>
      <c r="K386" s="56"/>
      <c r="L386" s="56"/>
      <c r="M386" s="1"/>
      <c r="N386" s="1"/>
      <c r="O386" s="1"/>
      <c r="P386" s="1"/>
      <c r="Q386" s="1"/>
      <c r="R386" s="1"/>
      <c r="S386" s="1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</row>
    <row r="387" spans="1:32" ht="58.5" customHeight="1" x14ac:dyDescent="0.25">
      <c r="A387" s="56"/>
      <c r="B387" s="56"/>
      <c r="C387" s="56"/>
      <c r="D387" s="56"/>
      <c r="E387" s="57"/>
      <c r="F387" s="58"/>
      <c r="G387" s="56"/>
      <c r="H387" s="56"/>
      <c r="I387" s="59"/>
      <c r="J387" s="56"/>
      <c r="K387" s="56"/>
      <c r="L387" s="56"/>
      <c r="M387" s="1"/>
      <c r="N387" s="1"/>
      <c r="O387" s="1"/>
      <c r="P387" s="1"/>
      <c r="Q387" s="1"/>
      <c r="R387" s="1"/>
      <c r="S387" s="1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</row>
    <row r="388" spans="1:32" ht="58.5" customHeight="1" x14ac:dyDescent="0.25">
      <c r="A388" s="56"/>
      <c r="B388" s="56"/>
      <c r="C388" s="56"/>
      <c r="D388" s="56"/>
      <c r="E388" s="57"/>
      <c r="F388" s="58"/>
      <c r="G388" s="56"/>
      <c r="H388" s="56"/>
      <c r="I388" s="59"/>
      <c r="J388" s="56"/>
      <c r="K388" s="56"/>
      <c r="L388" s="56"/>
      <c r="M388" s="1"/>
      <c r="N388" s="1"/>
      <c r="O388" s="1"/>
      <c r="P388" s="1"/>
      <c r="Q388" s="1"/>
      <c r="R388" s="1"/>
      <c r="S388" s="1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</row>
    <row r="389" spans="1:32" ht="58.5" customHeight="1" x14ac:dyDescent="0.25">
      <c r="A389" s="56"/>
      <c r="B389" s="56"/>
      <c r="C389" s="56"/>
      <c r="D389" s="56"/>
      <c r="E389" s="57"/>
      <c r="F389" s="58"/>
      <c r="G389" s="56"/>
      <c r="H389" s="56"/>
      <c r="I389" s="59"/>
      <c r="J389" s="56"/>
      <c r="K389" s="56"/>
      <c r="L389" s="56"/>
      <c r="M389" s="1"/>
      <c r="N389" s="1"/>
      <c r="O389" s="1"/>
      <c r="P389" s="1"/>
      <c r="Q389" s="1"/>
      <c r="R389" s="1"/>
      <c r="S389" s="1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</row>
    <row r="390" spans="1:32" ht="58.5" customHeight="1" x14ac:dyDescent="0.25">
      <c r="A390" s="56"/>
      <c r="B390" s="56"/>
      <c r="C390" s="56"/>
      <c r="D390" s="56"/>
      <c r="E390" s="57"/>
      <c r="F390" s="58"/>
      <c r="G390" s="56"/>
      <c r="H390" s="56"/>
      <c r="I390" s="59"/>
      <c r="J390" s="56"/>
      <c r="K390" s="56"/>
      <c r="L390" s="56"/>
      <c r="M390" s="1"/>
      <c r="N390" s="1"/>
      <c r="O390" s="1"/>
      <c r="P390" s="1"/>
      <c r="Q390" s="1"/>
      <c r="R390" s="1"/>
      <c r="S390" s="1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</row>
    <row r="391" spans="1:32" ht="58.5" customHeight="1" x14ac:dyDescent="0.25">
      <c r="A391" s="56"/>
      <c r="B391" s="56"/>
      <c r="C391" s="56"/>
      <c r="D391" s="56"/>
      <c r="E391" s="57"/>
      <c r="F391" s="58"/>
      <c r="G391" s="56"/>
      <c r="H391" s="56"/>
      <c r="I391" s="59"/>
      <c r="J391" s="56"/>
      <c r="K391" s="56"/>
      <c r="L391" s="56"/>
      <c r="M391" s="1"/>
      <c r="N391" s="1"/>
      <c r="O391" s="1"/>
      <c r="P391" s="1"/>
      <c r="Q391" s="1"/>
      <c r="R391" s="1"/>
      <c r="S391" s="1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</row>
    <row r="392" spans="1:32" ht="58.5" customHeight="1" x14ac:dyDescent="0.25">
      <c r="A392" s="56"/>
      <c r="B392" s="56"/>
      <c r="C392" s="56"/>
      <c r="D392" s="56"/>
      <c r="E392" s="57"/>
      <c r="F392" s="58"/>
      <c r="G392" s="56"/>
      <c r="H392" s="56"/>
      <c r="I392" s="59"/>
      <c r="J392" s="56"/>
      <c r="K392" s="56"/>
      <c r="L392" s="56"/>
      <c r="M392" s="1"/>
      <c r="N392" s="1"/>
      <c r="O392" s="1"/>
      <c r="P392" s="1"/>
      <c r="Q392" s="1"/>
      <c r="R392" s="1"/>
      <c r="S392" s="1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</row>
    <row r="393" spans="1:32" ht="58.5" customHeight="1" x14ac:dyDescent="0.25">
      <c r="A393" s="56"/>
      <c r="B393" s="56"/>
      <c r="C393" s="56"/>
      <c r="D393" s="56"/>
      <c r="E393" s="57"/>
      <c r="F393" s="58"/>
      <c r="G393" s="56"/>
      <c r="H393" s="56"/>
      <c r="I393" s="59"/>
      <c r="J393" s="56"/>
      <c r="K393" s="56"/>
      <c r="L393" s="56"/>
      <c r="M393" s="1"/>
      <c r="N393" s="1"/>
      <c r="O393" s="1"/>
      <c r="P393" s="1"/>
      <c r="Q393" s="1"/>
      <c r="R393" s="1"/>
      <c r="S393" s="1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</row>
    <row r="394" spans="1:32" ht="58.5" customHeight="1" x14ac:dyDescent="0.25">
      <c r="A394" s="56"/>
      <c r="B394" s="56"/>
      <c r="C394" s="56"/>
      <c r="D394" s="56"/>
      <c r="E394" s="57"/>
      <c r="F394" s="58"/>
      <c r="G394" s="56"/>
      <c r="H394" s="56"/>
      <c r="I394" s="59"/>
      <c r="J394" s="56"/>
      <c r="K394" s="56"/>
      <c r="L394" s="56"/>
      <c r="M394" s="1"/>
      <c r="N394" s="1"/>
      <c r="O394" s="1"/>
      <c r="P394" s="1"/>
      <c r="Q394" s="1"/>
      <c r="R394" s="1"/>
      <c r="S394" s="1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</row>
    <row r="395" spans="1:32" ht="58.5" customHeight="1" x14ac:dyDescent="0.25">
      <c r="A395" s="56"/>
      <c r="B395" s="56"/>
      <c r="C395" s="56"/>
      <c r="D395" s="56"/>
      <c r="E395" s="57"/>
      <c r="F395" s="58"/>
      <c r="G395" s="56"/>
      <c r="H395" s="56"/>
      <c r="I395" s="59"/>
      <c r="J395" s="56"/>
      <c r="K395" s="56"/>
      <c r="L395" s="56"/>
      <c r="M395" s="1"/>
      <c r="N395" s="1"/>
      <c r="O395" s="1"/>
      <c r="P395" s="1"/>
      <c r="Q395" s="1"/>
      <c r="R395" s="1"/>
      <c r="S395" s="1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</row>
    <row r="396" spans="1:32" ht="58.5" customHeight="1" x14ac:dyDescent="0.25">
      <c r="A396" s="56"/>
      <c r="B396" s="56"/>
      <c r="C396" s="56"/>
      <c r="D396" s="56"/>
      <c r="E396" s="57"/>
      <c r="F396" s="58"/>
      <c r="G396" s="56"/>
      <c r="H396" s="56"/>
      <c r="I396" s="59"/>
      <c r="J396" s="56"/>
      <c r="K396" s="56"/>
      <c r="L396" s="56"/>
      <c r="M396" s="1"/>
      <c r="N396" s="1"/>
      <c r="O396" s="1"/>
      <c r="P396" s="1"/>
      <c r="Q396" s="1"/>
      <c r="R396" s="1"/>
      <c r="S396" s="1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</row>
    <row r="397" spans="1:32" ht="58.5" customHeight="1" x14ac:dyDescent="0.25">
      <c r="A397" s="56"/>
      <c r="B397" s="56"/>
      <c r="C397" s="56"/>
      <c r="D397" s="56"/>
      <c r="E397" s="57"/>
      <c r="F397" s="58"/>
      <c r="G397" s="56"/>
      <c r="H397" s="56"/>
      <c r="I397" s="59"/>
      <c r="J397" s="56"/>
      <c r="K397" s="56"/>
      <c r="L397" s="56"/>
      <c r="M397" s="1"/>
      <c r="N397" s="1"/>
      <c r="O397" s="1"/>
      <c r="P397" s="1"/>
      <c r="Q397" s="1"/>
      <c r="R397" s="1"/>
      <c r="S397" s="1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</row>
    <row r="398" spans="1:32" ht="58.5" customHeight="1" x14ac:dyDescent="0.25">
      <c r="A398" s="56"/>
      <c r="B398" s="56"/>
      <c r="C398" s="56"/>
      <c r="D398" s="56"/>
      <c r="E398" s="57"/>
      <c r="F398" s="58"/>
      <c r="G398" s="56"/>
      <c r="H398" s="56"/>
      <c r="I398" s="59"/>
      <c r="J398" s="56"/>
      <c r="K398" s="56"/>
      <c r="L398" s="56"/>
      <c r="M398" s="1"/>
      <c r="N398" s="1"/>
      <c r="O398" s="1"/>
      <c r="P398" s="1"/>
      <c r="Q398" s="1"/>
      <c r="R398" s="1"/>
      <c r="S398" s="1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</row>
    <row r="399" spans="1:32" ht="58.5" customHeight="1" x14ac:dyDescent="0.25">
      <c r="A399" s="56"/>
      <c r="B399" s="56"/>
      <c r="C399" s="56"/>
      <c r="D399" s="56"/>
      <c r="E399" s="57"/>
      <c r="F399" s="58"/>
      <c r="G399" s="56"/>
      <c r="H399" s="56"/>
      <c r="I399" s="59"/>
      <c r="J399" s="56"/>
      <c r="K399" s="56"/>
      <c r="L399" s="56"/>
      <c r="M399" s="1"/>
      <c r="N399" s="1"/>
      <c r="O399" s="1"/>
      <c r="P399" s="1"/>
      <c r="Q399" s="1"/>
      <c r="R399" s="1"/>
      <c r="S399" s="1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</row>
    <row r="400" spans="1:32" ht="58.5" customHeight="1" x14ac:dyDescent="0.25">
      <c r="A400" s="56"/>
      <c r="B400" s="56"/>
      <c r="C400" s="56"/>
      <c r="D400" s="56"/>
      <c r="E400" s="57"/>
      <c r="F400" s="58"/>
      <c r="G400" s="56"/>
      <c r="H400" s="56"/>
      <c r="I400" s="59"/>
      <c r="J400" s="56"/>
      <c r="K400" s="56"/>
      <c r="L400" s="56"/>
      <c r="M400" s="1"/>
      <c r="N400" s="1"/>
      <c r="O400" s="1"/>
      <c r="P400" s="1"/>
      <c r="Q400" s="1"/>
      <c r="R400" s="1"/>
      <c r="S400" s="1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</row>
    <row r="401" spans="1:32" ht="58.5" customHeight="1" x14ac:dyDescent="0.25">
      <c r="A401" s="56"/>
      <c r="B401" s="56"/>
      <c r="C401" s="56"/>
      <c r="D401" s="56"/>
      <c r="E401" s="57"/>
      <c r="F401" s="58"/>
      <c r="G401" s="56"/>
      <c r="H401" s="56"/>
      <c r="I401" s="59"/>
      <c r="J401" s="56"/>
      <c r="K401" s="56"/>
      <c r="L401" s="56"/>
      <c r="M401" s="1"/>
      <c r="N401" s="1"/>
      <c r="O401" s="1"/>
      <c r="P401" s="1"/>
      <c r="Q401" s="1"/>
      <c r="R401" s="1"/>
      <c r="S401" s="1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</row>
    <row r="402" spans="1:32" ht="58.5" customHeight="1" x14ac:dyDescent="0.25">
      <c r="A402" s="56"/>
      <c r="B402" s="56"/>
      <c r="C402" s="56"/>
      <c r="D402" s="56"/>
      <c r="E402" s="57"/>
      <c r="F402" s="58"/>
      <c r="G402" s="56"/>
      <c r="H402" s="56"/>
      <c r="I402" s="59"/>
      <c r="J402" s="56"/>
      <c r="K402" s="56"/>
      <c r="L402" s="56"/>
      <c r="M402" s="1"/>
      <c r="N402" s="1"/>
      <c r="O402" s="1"/>
      <c r="P402" s="1"/>
      <c r="Q402" s="1"/>
      <c r="R402" s="1"/>
      <c r="S402" s="1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</row>
    <row r="403" spans="1:32" ht="58.5" customHeight="1" x14ac:dyDescent="0.25">
      <c r="A403" s="56"/>
      <c r="B403" s="56"/>
      <c r="C403" s="56"/>
      <c r="D403" s="56"/>
      <c r="E403" s="57"/>
      <c r="F403" s="58"/>
      <c r="G403" s="56"/>
      <c r="H403" s="56"/>
      <c r="I403" s="59"/>
      <c r="J403" s="56"/>
      <c r="K403" s="56"/>
      <c r="L403" s="56"/>
      <c r="M403" s="1"/>
      <c r="N403" s="1"/>
      <c r="O403" s="1"/>
      <c r="P403" s="1"/>
      <c r="Q403" s="1"/>
      <c r="R403" s="1"/>
      <c r="S403" s="1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</row>
    <row r="404" spans="1:32" ht="58.5" customHeight="1" x14ac:dyDescent="0.25">
      <c r="A404" s="56"/>
      <c r="B404" s="56"/>
      <c r="C404" s="56"/>
      <c r="D404" s="56"/>
      <c r="E404" s="57"/>
      <c r="F404" s="58"/>
      <c r="G404" s="56"/>
      <c r="H404" s="56"/>
      <c r="I404" s="59"/>
      <c r="J404" s="56"/>
      <c r="K404" s="56"/>
      <c r="L404" s="56"/>
      <c r="M404" s="1"/>
      <c r="N404" s="1"/>
      <c r="O404" s="1"/>
      <c r="P404" s="1"/>
      <c r="Q404" s="1"/>
      <c r="R404" s="1"/>
      <c r="S404" s="1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</row>
    <row r="405" spans="1:32" ht="58.5" customHeight="1" x14ac:dyDescent="0.25">
      <c r="A405" s="56"/>
      <c r="B405" s="56"/>
      <c r="C405" s="56"/>
      <c r="D405" s="56"/>
      <c r="E405" s="57"/>
      <c r="F405" s="58"/>
      <c r="G405" s="56"/>
      <c r="H405" s="56"/>
      <c r="I405" s="59"/>
      <c r="J405" s="56"/>
      <c r="K405" s="56"/>
      <c r="L405" s="56"/>
      <c r="M405" s="1"/>
      <c r="N405" s="1"/>
      <c r="O405" s="1"/>
      <c r="P405" s="1"/>
      <c r="Q405" s="1"/>
      <c r="R405" s="1"/>
      <c r="S405" s="1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</row>
    <row r="406" spans="1:32" ht="58.5" customHeight="1" x14ac:dyDescent="0.25">
      <c r="A406" s="56"/>
      <c r="B406" s="56"/>
      <c r="C406" s="56"/>
      <c r="D406" s="56"/>
      <c r="E406" s="57"/>
      <c r="F406" s="58"/>
      <c r="G406" s="56"/>
      <c r="H406" s="56"/>
      <c r="I406" s="59"/>
      <c r="J406" s="56"/>
      <c r="K406" s="56"/>
      <c r="L406" s="56"/>
      <c r="M406" s="1"/>
      <c r="N406" s="1"/>
      <c r="O406" s="1"/>
      <c r="P406" s="1"/>
      <c r="Q406" s="1"/>
      <c r="R406" s="1"/>
      <c r="S406" s="1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</row>
    <row r="407" spans="1:32" ht="58.5" customHeight="1" x14ac:dyDescent="0.25">
      <c r="A407" s="56"/>
      <c r="B407" s="56"/>
      <c r="C407" s="56"/>
      <c r="D407" s="56"/>
      <c r="E407" s="57"/>
      <c r="F407" s="58"/>
      <c r="G407" s="56"/>
      <c r="H407" s="56"/>
      <c r="I407" s="59"/>
      <c r="J407" s="56"/>
      <c r="K407" s="56"/>
      <c r="L407" s="56"/>
      <c r="M407" s="1"/>
      <c r="N407" s="1"/>
      <c r="O407" s="1"/>
      <c r="P407" s="1"/>
      <c r="Q407" s="1"/>
      <c r="R407" s="1"/>
      <c r="S407" s="1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</row>
    <row r="408" spans="1:32" ht="58.5" customHeight="1" x14ac:dyDescent="0.25">
      <c r="A408" s="56"/>
      <c r="B408" s="56"/>
      <c r="C408" s="56"/>
      <c r="D408" s="56"/>
      <c r="E408" s="57"/>
      <c r="F408" s="58"/>
      <c r="G408" s="56"/>
      <c r="H408" s="56"/>
      <c r="I408" s="59"/>
      <c r="J408" s="56"/>
      <c r="K408" s="56"/>
      <c r="L408" s="56"/>
      <c r="M408" s="1"/>
      <c r="N408" s="1"/>
      <c r="O408" s="1"/>
      <c r="P408" s="1"/>
      <c r="Q408" s="1"/>
      <c r="R408" s="1"/>
      <c r="S408" s="1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</row>
    <row r="409" spans="1:32" ht="58.5" customHeight="1" x14ac:dyDescent="0.25">
      <c r="A409" s="56"/>
      <c r="B409" s="56"/>
      <c r="C409" s="56"/>
      <c r="D409" s="56"/>
      <c r="E409" s="57"/>
      <c r="F409" s="58"/>
      <c r="G409" s="56"/>
      <c r="H409" s="56"/>
      <c r="I409" s="59"/>
      <c r="J409" s="56"/>
      <c r="K409" s="56"/>
      <c r="L409" s="56"/>
      <c r="M409" s="1"/>
      <c r="N409" s="1"/>
      <c r="O409" s="1"/>
      <c r="P409" s="1"/>
      <c r="Q409" s="1"/>
      <c r="R409" s="1"/>
      <c r="S409" s="1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</row>
    <row r="410" spans="1:32" ht="58.5" customHeight="1" x14ac:dyDescent="0.25">
      <c r="A410" s="56"/>
      <c r="B410" s="56"/>
      <c r="C410" s="56"/>
      <c r="D410" s="56"/>
      <c r="E410" s="57"/>
      <c r="F410" s="58"/>
      <c r="G410" s="56"/>
      <c r="H410" s="56"/>
      <c r="I410" s="59"/>
      <c r="J410" s="56"/>
      <c r="K410" s="56"/>
      <c r="L410" s="56"/>
      <c r="M410" s="1"/>
      <c r="N410" s="1"/>
      <c r="O410" s="1"/>
      <c r="P410" s="1"/>
      <c r="Q410" s="1"/>
      <c r="R410" s="1"/>
      <c r="S410" s="1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</row>
    <row r="411" spans="1:32" ht="58.5" customHeight="1" x14ac:dyDescent="0.25">
      <c r="A411" s="56"/>
      <c r="B411" s="56"/>
      <c r="C411" s="56"/>
      <c r="D411" s="56"/>
      <c r="E411" s="57"/>
      <c r="F411" s="58"/>
      <c r="G411" s="56"/>
      <c r="H411" s="56"/>
      <c r="I411" s="59"/>
      <c r="J411" s="56"/>
      <c r="K411" s="56"/>
      <c r="L411" s="56"/>
      <c r="M411" s="1"/>
      <c r="N411" s="1"/>
      <c r="O411" s="1"/>
      <c r="P411" s="1"/>
      <c r="Q411" s="1"/>
      <c r="R411" s="1"/>
      <c r="S411" s="1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</row>
    <row r="412" spans="1:32" ht="58.5" customHeight="1" x14ac:dyDescent="0.25">
      <c r="A412" s="56"/>
      <c r="B412" s="56"/>
      <c r="C412" s="56"/>
      <c r="D412" s="56"/>
      <c r="E412" s="57"/>
      <c r="F412" s="58"/>
      <c r="G412" s="56"/>
      <c r="H412" s="56"/>
      <c r="I412" s="59"/>
      <c r="J412" s="56"/>
      <c r="K412" s="56"/>
      <c r="L412" s="56"/>
      <c r="M412" s="1"/>
      <c r="N412" s="1"/>
      <c r="O412" s="1"/>
      <c r="P412" s="1"/>
      <c r="Q412" s="1"/>
      <c r="R412" s="1"/>
      <c r="S412" s="1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</row>
    <row r="413" spans="1:32" ht="58.5" customHeight="1" x14ac:dyDescent="0.25">
      <c r="A413" s="56"/>
      <c r="B413" s="56"/>
      <c r="C413" s="56"/>
      <c r="D413" s="56"/>
      <c r="E413" s="57"/>
      <c r="F413" s="58"/>
      <c r="G413" s="56"/>
      <c r="H413" s="56"/>
      <c r="I413" s="59"/>
      <c r="J413" s="56"/>
      <c r="K413" s="56"/>
      <c r="L413" s="56"/>
      <c r="M413" s="1"/>
      <c r="N413" s="1"/>
      <c r="O413" s="1"/>
      <c r="P413" s="1"/>
      <c r="Q413" s="1"/>
      <c r="R413" s="1"/>
      <c r="S413" s="1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</row>
    <row r="414" spans="1:32" ht="58.5" customHeight="1" x14ac:dyDescent="0.25">
      <c r="A414" s="56"/>
      <c r="B414" s="56"/>
      <c r="C414" s="56"/>
      <c r="D414" s="56"/>
      <c r="E414" s="57"/>
      <c r="F414" s="58"/>
      <c r="G414" s="56"/>
      <c r="H414" s="56"/>
      <c r="I414" s="59"/>
      <c r="J414" s="56"/>
      <c r="K414" s="56"/>
      <c r="L414" s="56"/>
      <c r="M414" s="1"/>
      <c r="N414" s="1"/>
      <c r="O414" s="1"/>
      <c r="P414" s="1"/>
      <c r="Q414" s="1"/>
      <c r="R414" s="1"/>
      <c r="S414" s="1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</row>
    <row r="415" spans="1:32" ht="58.5" customHeight="1" x14ac:dyDescent="0.25">
      <c r="A415" s="56"/>
      <c r="B415" s="56"/>
      <c r="C415" s="56"/>
      <c r="D415" s="56"/>
      <c r="E415" s="57"/>
      <c r="F415" s="58"/>
      <c r="G415" s="56"/>
      <c r="H415" s="56"/>
      <c r="I415" s="59"/>
      <c r="J415" s="56"/>
      <c r="K415" s="56"/>
      <c r="L415" s="56"/>
      <c r="M415" s="1"/>
      <c r="N415" s="1"/>
      <c r="O415" s="1"/>
      <c r="P415" s="1"/>
      <c r="Q415" s="1"/>
      <c r="R415" s="1"/>
      <c r="S415" s="1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</row>
    <row r="416" spans="1:32" ht="58.5" customHeight="1" x14ac:dyDescent="0.25">
      <c r="A416" s="56"/>
      <c r="B416" s="56"/>
      <c r="C416" s="56"/>
      <c r="D416" s="56"/>
      <c r="E416" s="57"/>
      <c r="F416" s="58"/>
      <c r="G416" s="56"/>
      <c r="H416" s="56"/>
      <c r="I416" s="59"/>
      <c r="J416" s="56"/>
      <c r="K416" s="56"/>
      <c r="L416" s="56"/>
      <c r="M416" s="1"/>
      <c r="N416" s="1"/>
      <c r="O416" s="1"/>
      <c r="P416" s="1"/>
      <c r="Q416" s="1"/>
      <c r="R416" s="1"/>
      <c r="S416" s="1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</row>
    <row r="417" spans="1:32" ht="58.5" customHeight="1" x14ac:dyDescent="0.25">
      <c r="A417" s="56"/>
      <c r="B417" s="56"/>
      <c r="C417" s="56"/>
      <c r="D417" s="56"/>
      <c r="E417" s="57"/>
      <c r="F417" s="58"/>
      <c r="G417" s="56"/>
      <c r="H417" s="56"/>
      <c r="I417" s="59"/>
      <c r="J417" s="56"/>
      <c r="K417" s="56"/>
      <c r="L417" s="56"/>
      <c r="M417" s="1"/>
      <c r="N417" s="1"/>
      <c r="O417" s="1"/>
      <c r="P417" s="1"/>
      <c r="Q417" s="1"/>
      <c r="R417" s="1"/>
      <c r="S417" s="1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</row>
    <row r="418" spans="1:32" ht="58.5" customHeight="1" x14ac:dyDescent="0.25">
      <c r="A418" s="56"/>
      <c r="B418" s="56"/>
      <c r="C418" s="56"/>
      <c r="D418" s="56"/>
      <c r="E418" s="57"/>
      <c r="F418" s="58"/>
      <c r="G418" s="56"/>
      <c r="H418" s="56"/>
      <c r="I418" s="59"/>
      <c r="J418" s="56"/>
      <c r="K418" s="56"/>
      <c r="L418" s="56"/>
      <c r="M418" s="1"/>
      <c r="N418" s="1"/>
      <c r="O418" s="1"/>
      <c r="P418" s="1"/>
      <c r="Q418" s="1"/>
      <c r="R418" s="1"/>
      <c r="S418" s="1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</row>
    <row r="419" spans="1:32" ht="58.5" customHeight="1" x14ac:dyDescent="0.25">
      <c r="A419" s="56"/>
      <c r="B419" s="56"/>
      <c r="C419" s="56"/>
      <c r="D419" s="56"/>
      <c r="E419" s="57"/>
      <c r="F419" s="58"/>
      <c r="G419" s="56"/>
      <c r="H419" s="56"/>
      <c r="I419" s="59"/>
      <c r="J419" s="56"/>
      <c r="K419" s="56"/>
      <c r="L419" s="56"/>
      <c r="M419" s="1"/>
      <c r="N419" s="1"/>
      <c r="O419" s="1"/>
      <c r="P419" s="1"/>
      <c r="Q419" s="1"/>
      <c r="R419" s="1"/>
      <c r="S419" s="1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</row>
    <row r="420" spans="1:32" ht="58.5" customHeight="1" x14ac:dyDescent="0.25">
      <c r="A420" s="56"/>
      <c r="B420" s="56"/>
      <c r="C420" s="56"/>
      <c r="D420" s="56"/>
      <c r="E420" s="57"/>
      <c r="F420" s="58"/>
      <c r="G420" s="56"/>
      <c r="H420" s="56"/>
      <c r="I420" s="59"/>
      <c r="J420" s="56"/>
      <c r="K420" s="56"/>
      <c r="L420" s="56"/>
      <c r="M420" s="1"/>
      <c r="N420" s="1"/>
      <c r="O420" s="1"/>
      <c r="P420" s="1"/>
      <c r="Q420" s="1"/>
      <c r="R420" s="1"/>
      <c r="S420" s="1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</row>
    <row r="421" spans="1:32" ht="58.5" customHeight="1" x14ac:dyDescent="0.25">
      <c r="A421" s="56"/>
      <c r="B421" s="56"/>
      <c r="C421" s="56"/>
      <c r="D421" s="56"/>
      <c r="E421" s="57"/>
      <c r="F421" s="58"/>
      <c r="G421" s="56"/>
      <c r="H421" s="56"/>
      <c r="I421" s="59"/>
      <c r="J421" s="56"/>
      <c r="K421" s="56"/>
      <c r="L421" s="56"/>
      <c r="M421" s="1"/>
      <c r="N421" s="1"/>
      <c r="O421" s="1"/>
      <c r="P421" s="1"/>
      <c r="Q421" s="1"/>
      <c r="R421" s="1"/>
      <c r="S421" s="1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</row>
    <row r="422" spans="1:32" ht="58.5" customHeight="1" x14ac:dyDescent="0.25">
      <c r="A422" s="56"/>
      <c r="B422" s="56"/>
      <c r="C422" s="56"/>
      <c r="D422" s="56"/>
      <c r="E422" s="57"/>
      <c r="F422" s="58"/>
      <c r="G422" s="56"/>
      <c r="H422" s="56"/>
      <c r="I422" s="59"/>
      <c r="J422" s="56"/>
      <c r="K422" s="56"/>
      <c r="L422" s="56"/>
      <c r="M422" s="1"/>
      <c r="N422" s="1"/>
      <c r="O422" s="1"/>
      <c r="P422" s="1"/>
      <c r="Q422" s="1"/>
      <c r="R422" s="1"/>
      <c r="S422" s="1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</row>
    <row r="423" spans="1:32" ht="58.5" customHeight="1" x14ac:dyDescent="0.25">
      <c r="A423" s="56"/>
      <c r="B423" s="56"/>
      <c r="C423" s="56"/>
      <c r="D423" s="56"/>
      <c r="E423" s="57"/>
      <c r="F423" s="58"/>
      <c r="G423" s="56"/>
      <c r="H423" s="56"/>
      <c r="I423" s="59"/>
      <c r="J423" s="56"/>
      <c r="K423" s="56"/>
      <c r="L423" s="56"/>
      <c r="M423" s="1"/>
      <c r="N423" s="1"/>
      <c r="O423" s="1"/>
      <c r="P423" s="1"/>
      <c r="Q423" s="1"/>
      <c r="R423" s="1"/>
      <c r="S423" s="1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</row>
    <row r="424" spans="1:32" ht="58.5" customHeight="1" x14ac:dyDescent="0.25">
      <c r="A424" s="56"/>
      <c r="B424" s="56"/>
      <c r="C424" s="56"/>
      <c r="D424" s="56"/>
      <c r="E424" s="57"/>
      <c r="F424" s="58"/>
      <c r="G424" s="56"/>
      <c r="H424" s="56"/>
      <c r="I424" s="59"/>
      <c r="J424" s="56"/>
      <c r="K424" s="56"/>
      <c r="L424" s="56"/>
      <c r="M424" s="1"/>
      <c r="N424" s="1"/>
      <c r="O424" s="1"/>
      <c r="P424" s="1"/>
      <c r="Q424" s="1"/>
      <c r="R424" s="1"/>
      <c r="S424" s="1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</row>
    <row r="425" spans="1:32" ht="58.5" customHeight="1" x14ac:dyDescent="0.25">
      <c r="A425" s="56"/>
      <c r="B425" s="56"/>
      <c r="C425" s="56"/>
      <c r="D425" s="56"/>
      <c r="E425" s="57"/>
      <c r="F425" s="58"/>
      <c r="G425" s="56"/>
      <c r="H425" s="56"/>
      <c r="I425" s="59"/>
      <c r="J425" s="56"/>
      <c r="K425" s="56"/>
      <c r="L425" s="56"/>
      <c r="M425" s="1"/>
      <c r="N425" s="1"/>
      <c r="O425" s="1"/>
      <c r="P425" s="1"/>
      <c r="Q425" s="1"/>
      <c r="R425" s="1"/>
      <c r="S425" s="1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</row>
    <row r="426" spans="1:32" ht="58.5" customHeight="1" x14ac:dyDescent="0.25">
      <c r="A426" s="56"/>
      <c r="B426" s="56"/>
      <c r="C426" s="56"/>
      <c r="D426" s="56"/>
      <c r="E426" s="57"/>
      <c r="F426" s="58"/>
      <c r="G426" s="56"/>
      <c r="H426" s="56"/>
      <c r="I426" s="59"/>
      <c r="J426" s="56"/>
      <c r="K426" s="56"/>
      <c r="L426" s="56"/>
      <c r="M426" s="1"/>
      <c r="N426" s="1"/>
      <c r="O426" s="1"/>
      <c r="P426" s="1"/>
      <c r="Q426" s="1"/>
      <c r="R426" s="1"/>
      <c r="S426" s="1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</row>
    <row r="427" spans="1:32" ht="58.5" customHeight="1" x14ac:dyDescent="0.25">
      <c r="A427" s="56"/>
      <c r="B427" s="56"/>
      <c r="C427" s="56"/>
      <c r="D427" s="56"/>
      <c r="E427" s="57"/>
      <c r="F427" s="58"/>
      <c r="G427" s="56"/>
      <c r="H427" s="56"/>
      <c r="I427" s="59"/>
      <c r="J427" s="56"/>
      <c r="K427" s="56"/>
      <c r="L427" s="56"/>
      <c r="M427" s="1"/>
      <c r="N427" s="1"/>
      <c r="O427" s="1"/>
      <c r="P427" s="1"/>
      <c r="Q427" s="1"/>
      <c r="R427" s="1"/>
      <c r="S427" s="1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</row>
    <row r="428" spans="1:32" ht="58.5" customHeight="1" x14ac:dyDescent="0.25">
      <c r="A428" s="56"/>
      <c r="B428" s="56"/>
      <c r="C428" s="56"/>
      <c r="D428" s="56"/>
      <c r="E428" s="57"/>
      <c r="F428" s="58"/>
      <c r="G428" s="56"/>
      <c r="H428" s="56"/>
      <c r="I428" s="59"/>
      <c r="J428" s="56"/>
      <c r="K428" s="56"/>
      <c r="L428" s="56"/>
      <c r="M428" s="1"/>
      <c r="N428" s="1"/>
      <c r="O428" s="1"/>
      <c r="P428" s="1"/>
      <c r="Q428" s="1"/>
      <c r="R428" s="1"/>
      <c r="S428" s="1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</row>
    <row r="429" spans="1:32" ht="58.5" customHeight="1" x14ac:dyDescent="0.25">
      <c r="A429" s="56"/>
      <c r="B429" s="56"/>
      <c r="C429" s="56"/>
      <c r="D429" s="56"/>
      <c r="E429" s="57"/>
      <c r="F429" s="58"/>
      <c r="G429" s="56"/>
      <c r="H429" s="56"/>
      <c r="I429" s="59"/>
      <c r="J429" s="56"/>
      <c r="K429" s="56"/>
      <c r="L429" s="56"/>
      <c r="M429" s="1"/>
      <c r="N429" s="1"/>
      <c r="O429" s="1"/>
      <c r="P429" s="1"/>
      <c r="Q429" s="1"/>
      <c r="R429" s="1"/>
      <c r="S429" s="1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</row>
    <row r="430" spans="1:32" ht="58.5" customHeight="1" x14ac:dyDescent="0.25">
      <c r="A430" s="56"/>
      <c r="B430" s="56"/>
      <c r="C430" s="56"/>
      <c r="D430" s="56"/>
      <c r="E430" s="57"/>
      <c r="F430" s="58"/>
      <c r="G430" s="56"/>
      <c r="H430" s="56"/>
      <c r="I430" s="59"/>
      <c r="J430" s="56"/>
      <c r="K430" s="56"/>
      <c r="L430" s="56"/>
      <c r="M430" s="1"/>
      <c r="N430" s="1"/>
      <c r="O430" s="1"/>
      <c r="P430" s="1"/>
      <c r="Q430" s="1"/>
      <c r="R430" s="1"/>
      <c r="S430" s="1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</row>
    <row r="431" spans="1:32" ht="58.5" customHeight="1" x14ac:dyDescent="0.25">
      <c r="A431" s="56"/>
      <c r="B431" s="56"/>
      <c r="C431" s="56"/>
      <c r="D431" s="56"/>
      <c r="E431" s="57"/>
      <c r="F431" s="58"/>
      <c r="G431" s="56"/>
      <c r="H431" s="56"/>
      <c r="I431" s="59"/>
      <c r="J431" s="56"/>
      <c r="K431" s="56"/>
      <c r="L431" s="56"/>
      <c r="M431" s="1"/>
      <c r="N431" s="1"/>
      <c r="O431" s="1"/>
      <c r="P431" s="1"/>
      <c r="Q431" s="1"/>
      <c r="R431" s="1"/>
      <c r="S431" s="1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</row>
    <row r="432" spans="1:32" ht="58.5" customHeight="1" x14ac:dyDescent="0.25">
      <c r="A432" s="56"/>
      <c r="B432" s="56"/>
      <c r="C432" s="56"/>
      <c r="D432" s="56"/>
      <c r="E432" s="57"/>
      <c r="F432" s="58"/>
      <c r="G432" s="56"/>
      <c r="H432" s="56"/>
      <c r="I432" s="59"/>
      <c r="J432" s="56"/>
      <c r="K432" s="56"/>
      <c r="L432" s="56"/>
      <c r="M432" s="1"/>
      <c r="N432" s="1"/>
      <c r="O432" s="1"/>
      <c r="P432" s="1"/>
      <c r="Q432" s="1"/>
      <c r="R432" s="1"/>
      <c r="S432" s="1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</row>
    <row r="433" spans="1:32" ht="58.5" customHeight="1" x14ac:dyDescent="0.25">
      <c r="A433" s="56"/>
      <c r="B433" s="56"/>
      <c r="C433" s="56"/>
      <c r="D433" s="56"/>
      <c r="E433" s="57"/>
      <c r="F433" s="58"/>
      <c r="G433" s="56"/>
      <c r="H433" s="56"/>
      <c r="I433" s="59"/>
      <c r="J433" s="56"/>
      <c r="K433" s="56"/>
      <c r="L433" s="56"/>
      <c r="M433" s="1"/>
      <c r="N433" s="1"/>
      <c r="O433" s="1"/>
      <c r="P433" s="1"/>
      <c r="Q433" s="1"/>
      <c r="R433" s="1"/>
      <c r="S433" s="1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</row>
    <row r="434" spans="1:32" ht="58.5" customHeight="1" x14ac:dyDescent="0.25">
      <c r="A434" s="56"/>
      <c r="B434" s="56"/>
      <c r="C434" s="56"/>
      <c r="D434" s="56"/>
      <c r="E434" s="57"/>
      <c r="F434" s="58"/>
      <c r="G434" s="56"/>
      <c r="H434" s="56"/>
      <c r="I434" s="59"/>
      <c r="J434" s="56"/>
      <c r="K434" s="56"/>
      <c r="L434" s="56"/>
      <c r="M434" s="1"/>
      <c r="N434" s="1"/>
      <c r="O434" s="1"/>
      <c r="P434" s="1"/>
      <c r="Q434" s="1"/>
      <c r="R434" s="1"/>
      <c r="S434" s="1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</row>
    <row r="435" spans="1:32" ht="58.5" customHeight="1" x14ac:dyDescent="0.25">
      <c r="A435" s="56"/>
      <c r="B435" s="56"/>
      <c r="C435" s="56"/>
      <c r="D435" s="56"/>
      <c r="E435" s="57"/>
      <c r="F435" s="58"/>
      <c r="G435" s="56"/>
      <c r="H435" s="56"/>
      <c r="I435" s="59"/>
      <c r="J435" s="56"/>
      <c r="K435" s="56"/>
      <c r="L435" s="56"/>
      <c r="M435" s="1"/>
      <c r="N435" s="1"/>
      <c r="O435" s="1"/>
      <c r="P435" s="1"/>
      <c r="Q435" s="1"/>
      <c r="R435" s="1"/>
      <c r="S435" s="1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</row>
    <row r="436" spans="1:32" ht="58.5" customHeight="1" x14ac:dyDescent="0.25">
      <c r="A436" s="56"/>
      <c r="B436" s="56"/>
      <c r="C436" s="56"/>
      <c r="D436" s="56"/>
      <c r="E436" s="57"/>
      <c r="F436" s="58"/>
      <c r="G436" s="56"/>
      <c r="H436" s="56"/>
      <c r="I436" s="59"/>
      <c r="J436" s="56"/>
      <c r="K436" s="56"/>
      <c r="L436" s="56"/>
      <c r="M436" s="1"/>
      <c r="N436" s="1"/>
      <c r="O436" s="1"/>
      <c r="P436" s="1"/>
      <c r="Q436" s="1"/>
      <c r="R436" s="1"/>
      <c r="S436" s="1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</row>
    <row r="437" spans="1:32" ht="58.5" customHeight="1" x14ac:dyDescent="0.25">
      <c r="A437" s="56"/>
      <c r="B437" s="56"/>
      <c r="C437" s="56"/>
      <c r="D437" s="56"/>
      <c r="E437" s="57"/>
      <c r="F437" s="58"/>
      <c r="G437" s="56"/>
      <c r="H437" s="56"/>
      <c r="I437" s="59"/>
      <c r="J437" s="56"/>
      <c r="K437" s="56"/>
      <c r="L437" s="56"/>
      <c r="M437" s="1"/>
      <c r="N437" s="1"/>
      <c r="O437" s="1"/>
      <c r="P437" s="1"/>
      <c r="Q437" s="1"/>
      <c r="R437" s="1"/>
      <c r="S437" s="1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</row>
    <row r="438" spans="1:32" ht="58.5" customHeight="1" x14ac:dyDescent="0.25">
      <c r="A438" s="56"/>
      <c r="B438" s="56"/>
      <c r="C438" s="56"/>
      <c r="D438" s="56"/>
      <c r="E438" s="57"/>
      <c r="F438" s="58"/>
      <c r="G438" s="56"/>
      <c r="H438" s="56"/>
      <c r="I438" s="59"/>
      <c r="J438" s="56"/>
      <c r="K438" s="56"/>
      <c r="L438" s="56"/>
      <c r="M438" s="1"/>
      <c r="N438" s="1"/>
      <c r="O438" s="1"/>
      <c r="P438" s="1"/>
      <c r="Q438" s="1"/>
      <c r="R438" s="1"/>
      <c r="S438" s="1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</row>
    <row r="439" spans="1:32" ht="58.5" customHeight="1" x14ac:dyDescent="0.25">
      <c r="A439" s="56"/>
      <c r="B439" s="56"/>
      <c r="C439" s="56"/>
      <c r="D439" s="56"/>
      <c r="E439" s="57"/>
      <c r="F439" s="58"/>
      <c r="G439" s="56"/>
      <c r="H439" s="56"/>
      <c r="I439" s="59"/>
      <c r="J439" s="56"/>
      <c r="K439" s="56"/>
      <c r="L439" s="56"/>
      <c r="M439" s="1"/>
      <c r="N439" s="1"/>
      <c r="O439" s="1"/>
      <c r="P439" s="1"/>
      <c r="Q439" s="1"/>
      <c r="R439" s="1"/>
      <c r="S439" s="1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</row>
    <row r="440" spans="1:32" ht="58.5" customHeight="1" x14ac:dyDescent="0.25">
      <c r="A440" s="56"/>
      <c r="B440" s="56"/>
      <c r="C440" s="56"/>
      <c r="D440" s="56"/>
      <c r="E440" s="57"/>
      <c r="F440" s="58"/>
      <c r="G440" s="56"/>
      <c r="H440" s="56"/>
      <c r="I440" s="59"/>
      <c r="J440" s="56"/>
      <c r="K440" s="56"/>
      <c r="L440" s="56"/>
      <c r="M440" s="1"/>
      <c r="N440" s="1"/>
      <c r="O440" s="1"/>
      <c r="P440" s="1"/>
      <c r="Q440" s="1"/>
      <c r="R440" s="1"/>
      <c r="S440" s="1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</row>
    <row r="441" spans="1:32" ht="58.5" customHeight="1" x14ac:dyDescent="0.25">
      <c r="A441" s="56"/>
      <c r="B441" s="56"/>
      <c r="C441" s="56"/>
      <c r="D441" s="56"/>
      <c r="E441" s="57"/>
      <c r="F441" s="58"/>
      <c r="G441" s="56"/>
      <c r="H441" s="56"/>
      <c r="I441" s="59"/>
      <c r="J441" s="56"/>
      <c r="K441" s="56"/>
      <c r="L441" s="56"/>
      <c r="M441" s="1"/>
      <c r="N441" s="1"/>
      <c r="O441" s="1"/>
      <c r="P441" s="1"/>
      <c r="Q441" s="1"/>
      <c r="R441" s="1"/>
      <c r="S441" s="1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</row>
    <row r="442" spans="1:32" ht="58.5" customHeight="1" x14ac:dyDescent="0.25">
      <c r="A442" s="56"/>
      <c r="B442" s="56"/>
      <c r="C442" s="56"/>
      <c r="D442" s="56"/>
      <c r="E442" s="57"/>
      <c r="F442" s="58"/>
      <c r="G442" s="56"/>
      <c r="H442" s="56"/>
      <c r="I442" s="59"/>
      <c r="J442" s="56"/>
      <c r="K442" s="56"/>
      <c r="L442" s="56"/>
      <c r="M442" s="1"/>
      <c r="N442" s="1"/>
      <c r="O442" s="1"/>
      <c r="P442" s="1"/>
      <c r="Q442" s="1"/>
      <c r="R442" s="1"/>
      <c r="S442" s="1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</row>
    <row r="443" spans="1:32" ht="58.5" customHeight="1" x14ac:dyDescent="0.25">
      <c r="A443" s="56"/>
      <c r="B443" s="56"/>
      <c r="C443" s="56"/>
      <c r="D443" s="56"/>
      <c r="E443" s="57"/>
      <c r="F443" s="58"/>
      <c r="G443" s="56"/>
      <c r="H443" s="56"/>
      <c r="I443" s="59"/>
      <c r="J443" s="56"/>
      <c r="K443" s="56"/>
      <c r="L443" s="56"/>
      <c r="M443" s="1"/>
      <c r="N443" s="1"/>
      <c r="O443" s="1"/>
      <c r="P443" s="1"/>
      <c r="Q443" s="1"/>
      <c r="R443" s="1"/>
      <c r="S443" s="1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</row>
    <row r="444" spans="1:32" ht="58.5" customHeight="1" x14ac:dyDescent="0.25">
      <c r="A444" s="56"/>
      <c r="B444" s="56"/>
      <c r="C444" s="56"/>
      <c r="D444" s="56"/>
      <c r="E444" s="57"/>
      <c r="F444" s="58"/>
      <c r="G444" s="56"/>
      <c r="H444" s="56"/>
      <c r="I444" s="59"/>
      <c r="J444" s="56"/>
      <c r="K444" s="56"/>
      <c r="L444" s="56"/>
      <c r="M444" s="1"/>
      <c r="N444" s="1"/>
      <c r="O444" s="1"/>
      <c r="P444" s="1"/>
      <c r="Q444" s="1"/>
      <c r="R444" s="1"/>
      <c r="S444" s="1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</row>
    <row r="445" spans="1:32" ht="58.5" customHeight="1" x14ac:dyDescent="0.25">
      <c r="A445" s="56"/>
      <c r="B445" s="56"/>
      <c r="C445" s="56"/>
      <c r="D445" s="56"/>
      <c r="E445" s="57"/>
      <c r="F445" s="58"/>
      <c r="G445" s="56"/>
      <c r="H445" s="56"/>
      <c r="I445" s="59"/>
      <c r="J445" s="56"/>
      <c r="K445" s="56"/>
      <c r="L445" s="56"/>
      <c r="M445" s="1"/>
      <c r="N445" s="1"/>
      <c r="O445" s="1"/>
      <c r="P445" s="1"/>
      <c r="Q445" s="1"/>
      <c r="R445" s="1"/>
      <c r="S445" s="1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</row>
    <row r="446" spans="1:32" ht="58.5" customHeight="1" x14ac:dyDescent="0.25">
      <c r="A446" s="56"/>
      <c r="B446" s="56"/>
      <c r="C446" s="56"/>
      <c r="D446" s="56"/>
      <c r="E446" s="57"/>
      <c r="F446" s="58"/>
      <c r="G446" s="56"/>
      <c r="H446" s="56"/>
      <c r="I446" s="59"/>
      <c r="J446" s="56"/>
      <c r="K446" s="56"/>
      <c r="L446" s="56"/>
      <c r="M446" s="1"/>
      <c r="N446" s="1"/>
      <c r="O446" s="1"/>
      <c r="P446" s="1"/>
      <c r="Q446" s="1"/>
      <c r="R446" s="1"/>
      <c r="S446" s="1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</row>
    <row r="447" spans="1:32" ht="58.5" customHeight="1" x14ac:dyDescent="0.25">
      <c r="A447" s="56"/>
      <c r="B447" s="56"/>
      <c r="C447" s="56"/>
      <c r="D447" s="56"/>
      <c r="E447" s="57"/>
      <c r="F447" s="58"/>
      <c r="G447" s="56"/>
      <c r="H447" s="56"/>
      <c r="I447" s="59"/>
      <c r="J447" s="56"/>
      <c r="K447" s="56"/>
      <c r="L447" s="56"/>
      <c r="M447" s="1"/>
      <c r="N447" s="1"/>
      <c r="O447" s="1"/>
      <c r="P447" s="1"/>
      <c r="Q447" s="1"/>
      <c r="R447" s="1"/>
      <c r="S447" s="1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</row>
    <row r="448" spans="1:32" ht="58.5" customHeight="1" x14ac:dyDescent="0.25">
      <c r="A448" s="56"/>
      <c r="B448" s="56"/>
      <c r="C448" s="56"/>
      <c r="D448" s="56"/>
      <c r="E448" s="57"/>
      <c r="F448" s="58"/>
      <c r="G448" s="56"/>
      <c r="H448" s="56"/>
      <c r="I448" s="59"/>
      <c r="J448" s="56"/>
      <c r="K448" s="56"/>
      <c r="L448" s="56"/>
      <c r="M448" s="1"/>
      <c r="N448" s="1"/>
      <c r="O448" s="1"/>
      <c r="P448" s="1"/>
      <c r="Q448" s="1"/>
      <c r="R448" s="1"/>
      <c r="S448" s="1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</row>
    <row r="449" spans="1:32" ht="58.5" customHeight="1" x14ac:dyDescent="0.25">
      <c r="A449" s="56"/>
      <c r="B449" s="56"/>
      <c r="C449" s="56"/>
      <c r="D449" s="56"/>
      <c r="E449" s="57"/>
      <c r="F449" s="58"/>
      <c r="G449" s="56"/>
      <c r="H449" s="56"/>
      <c r="I449" s="59"/>
      <c r="J449" s="56"/>
      <c r="K449" s="56"/>
      <c r="L449" s="56"/>
      <c r="M449" s="1"/>
      <c r="N449" s="1"/>
      <c r="O449" s="1"/>
      <c r="P449" s="1"/>
      <c r="Q449" s="1"/>
      <c r="R449" s="1"/>
      <c r="S449" s="1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</row>
    <row r="450" spans="1:32" ht="58.5" customHeight="1" x14ac:dyDescent="0.25">
      <c r="A450" s="56"/>
      <c r="B450" s="56"/>
      <c r="C450" s="56"/>
      <c r="D450" s="56"/>
      <c r="E450" s="57"/>
      <c r="F450" s="58"/>
      <c r="G450" s="56"/>
      <c r="H450" s="56"/>
      <c r="I450" s="59"/>
      <c r="J450" s="56"/>
      <c r="K450" s="56"/>
      <c r="L450" s="56"/>
      <c r="M450" s="1"/>
      <c r="N450" s="1"/>
      <c r="O450" s="1"/>
      <c r="P450" s="1"/>
      <c r="Q450" s="1"/>
      <c r="R450" s="1"/>
      <c r="S450" s="1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</row>
    <row r="451" spans="1:32" ht="58.5" customHeight="1" x14ac:dyDescent="0.25">
      <c r="A451" s="56"/>
      <c r="B451" s="56"/>
      <c r="C451" s="56"/>
      <c r="D451" s="56"/>
      <c r="E451" s="57"/>
      <c r="F451" s="58"/>
      <c r="G451" s="56"/>
      <c r="H451" s="56"/>
      <c r="I451" s="59"/>
      <c r="J451" s="56"/>
      <c r="K451" s="56"/>
      <c r="L451" s="56"/>
      <c r="M451" s="1"/>
      <c r="N451" s="1"/>
      <c r="O451" s="1"/>
      <c r="P451" s="1"/>
      <c r="Q451" s="1"/>
      <c r="R451" s="1"/>
      <c r="S451" s="1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</row>
    <row r="452" spans="1:32" ht="58.5" customHeight="1" x14ac:dyDescent="0.25">
      <c r="A452" s="56"/>
      <c r="B452" s="56"/>
      <c r="C452" s="56"/>
      <c r="D452" s="56"/>
      <c r="E452" s="57"/>
      <c r="F452" s="58"/>
      <c r="G452" s="56"/>
      <c r="H452" s="56"/>
      <c r="I452" s="59"/>
      <c r="J452" s="56"/>
      <c r="K452" s="56"/>
      <c r="L452" s="56"/>
      <c r="M452" s="1"/>
      <c r="N452" s="1"/>
      <c r="O452" s="1"/>
      <c r="P452" s="1"/>
      <c r="Q452" s="1"/>
      <c r="R452" s="1"/>
      <c r="S452" s="1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</row>
    <row r="453" spans="1:32" ht="58.5" customHeight="1" x14ac:dyDescent="0.25">
      <c r="A453" s="56"/>
      <c r="B453" s="56"/>
      <c r="C453" s="56"/>
      <c r="D453" s="56"/>
      <c r="E453" s="57"/>
      <c r="F453" s="58"/>
      <c r="G453" s="56"/>
      <c r="H453" s="56"/>
      <c r="I453" s="59"/>
      <c r="J453" s="56"/>
      <c r="K453" s="56"/>
      <c r="L453" s="56"/>
      <c r="M453" s="1"/>
      <c r="N453" s="1"/>
      <c r="O453" s="1"/>
      <c r="P453" s="1"/>
      <c r="Q453" s="1"/>
      <c r="R453" s="1"/>
      <c r="S453" s="1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</row>
    <row r="454" spans="1:32" ht="58.5" customHeight="1" x14ac:dyDescent="0.25">
      <c r="A454" s="56"/>
      <c r="B454" s="56"/>
      <c r="C454" s="56"/>
      <c r="D454" s="56"/>
      <c r="E454" s="57"/>
      <c r="F454" s="58"/>
      <c r="G454" s="56"/>
      <c r="H454" s="56"/>
      <c r="I454" s="59"/>
      <c r="J454" s="56"/>
      <c r="K454" s="56"/>
      <c r="L454" s="56"/>
      <c r="M454" s="1"/>
      <c r="N454" s="1"/>
      <c r="O454" s="1"/>
      <c r="P454" s="1"/>
      <c r="Q454" s="1"/>
      <c r="R454" s="1"/>
      <c r="S454" s="1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</row>
    <row r="455" spans="1:32" ht="58.5" customHeight="1" x14ac:dyDescent="0.25">
      <c r="A455" s="56"/>
      <c r="B455" s="56"/>
      <c r="C455" s="56"/>
      <c r="D455" s="56"/>
      <c r="E455" s="57"/>
      <c r="F455" s="58"/>
      <c r="G455" s="56"/>
      <c r="H455" s="56"/>
      <c r="I455" s="59"/>
      <c r="J455" s="56"/>
      <c r="K455" s="56"/>
      <c r="L455" s="56"/>
      <c r="M455" s="1"/>
      <c r="N455" s="1"/>
      <c r="O455" s="1"/>
      <c r="P455" s="1"/>
      <c r="Q455" s="1"/>
      <c r="R455" s="1"/>
      <c r="S455" s="1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</row>
    <row r="456" spans="1:32" ht="58.5" customHeight="1" x14ac:dyDescent="0.25">
      <c r="A456" s="56"/>
      <c r="B456" s="56"/>
      <c r="C456" s="56"/>
      <c r="D456" s="56"/>
      <c r="E456" s="57"/>
      <c r="F456" s="58"/>
      <c r="G456" s="56"/>
      <c r="H456" s="56"/>
      <c r="I456" s="59"/>
      <c r="J456" s="56"/>
      <c r="K456" s="56"/>
      <c r="L456" s="56"/>
      <c r="M456" s="1"/>
      <c r="N456" s="1"/>
      <c r="O456" s="1"/>
      <c r="P456" s="1"/>
      <c r="Q456" s="1"/>
      <c r="R456" s="1"/>
      <c r="S456" s="1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</row>
    <row r="457" spans="1:32" ht="58.5" customHeight="1" x14ac:dyDescent="0.25">
      <c r="A457" s="56"/>
      <c r="B457" s="56"/>
      <c r="C457" s="56"/>
      <c r="D457" s="56"/>
      <c r="E457" s="57"/>
      <c r="F457" s="58"/>
      <c r="G457" s="56"/>
      <c r="H457" s="56"/>
      <c r="I457" s="59"/>
      <c r="J457" s="56"/>
      <c r="K457" s="56"/>
      <c r="L457" s="56"/>
      <c r="M457" s="1"/>
      <c r="N457" s="1"/>
      <c r="O457" s="1"/>
      <c r="P457" s="1"/>
      <c r="Q457" s="1"/>
      <c r="R457" s="1"/>
      <c r="S457" s="1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</row>
    <row r="458" spans="1:32" ht="58.5" customHeight="1" x14ac:dyDescent="0.25">
      <c r="A458" s="56"/>
      <c r="B458" s="56"/>
      <c r="C458" s="56"/>
      <c r="D458" s="56"/>
      <c r="E458" s="57"/>
      <c r="F458" s="58"/>
      <c r="G458" s="56"/>
      <c r="H458" s="56"/>
      <c r="I458" s="59"/>
      <c r="J458" s="56"/>
      <c r="K458" s="56"/>
      <c r="L458" s="56"/>
      <c r="M458" s="1"/>
      <c r="N458" s="1"/>
      <c r="O458" s="1"/>
      <c r="P458" s="1"/>
      <c r="Q458" s="1"/>
      <c r="R458" s="1"/>
      <c r="S458" s="1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</row>
    <row r="459" spans="1:32" ht="58.5" customHeight="1" x14ac:dyDescent="0.25">
      <c r="A459" s="56"/>
      <c r="B459" s="56"/>
      <c r="C459" s="56"/>
      <c r="D459" s="56"/>
      <c r="E459" s="57"/>
      <c r="F459" s="58"/>
      <c r="G459" s="56"/>
      <c r="H459" s="56"/>
      <c r="I459" s="59"/>
      <c r="J459" s="56"/>
      <c r="K459" s="56"/>
      <c r="L459" s="56"/>
      <c r="M459" s="1"/>
      <c r="N459" s="1"/>
      <c r="O459" s="1"/>
      <c r="P459" s="1"/>
      <c r="Q459" s="1"/>
      <c r="R459" s="1"/>
      <c r="S459" s="1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</row>
    <row r="460" spans="1:32" ht="58.5" customHeight="1" x14ac:dyDescent="0.25">
      <c r="A460" s="56"/>
      <c r="B460" s="56"/>
      <c r="C460" s="56"/>
      <c r="D460" s="56"/>
      <c r="E460" s="57"/>
      <c r="F460" s="58"/>
      <c r="G460" s="56"/>
      <c r="H460" s="56"/>
      <c r="I460" s="59"/>
      <c r="J460" s="56"/>
      <c r="K460" s="56"/>
      <c r="L460" s="56"/>
      <c r="M460" s="1"/>
      <c r="N460" s="1"/>
      <c r="O460" s="1"/>
      <c r="P460" s="1"/>
      <c r="Q460" s="1"/>
      <c r="R460" s="1"/>
      <c r="S460" s="1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</row>
    <row r="461" spans="1:32" ht="58.5" customHeight="1" x14ac:dyDescent="0.25">
      <c r="A461" s="56"/>
      <c r="B461" s="56"/>
      <c r="C461" s="56"/>
      <c r="D461" s="56"/>
      <c r="E461" s="57"/>
      <c r="F461" s="58"/>
      <c r="G461" s="56"/>
      <c r="H461" s="56"/>
      <c r="I461" s="59"/>
      <c r="J461" s="56"/>
      <c r="K461" s="56"/>
      <c r="L461" s="56"/>
      <c r="M461" s="1"/>
      <c r="N461" s="1"/>
      <c r="O461" s="1"/>
      <c r="P461" s="1"/>
      <c r="Q461" s="1"/>
      <c r="R461" s="1"/>
      <c r="S461" s="1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</row>
    <row r="462" spans="1:32" ht="58.5" customHeight="1" x14ac:dyDescent="0.25">
      <c r="A462" s="56"/>
      <c r="B462" s="56"/>
      <c r="C462" s="56"/>
      <c r="D462" s="56"/>
      <c r="E462" s="57"/>
      <c r="F462" s="58"/>
      <c r="G462" s="56"/>
      <c r="H462" s="56"/>
      <c r="I462" s="59"/>
      <c r="J462" s="56"/>
      <c r="K462" s="56"/>
      <c r="L462" s="56"/>
      <c r="M462" s="1"/>
      <c r="N462" s="1"/>
      <c r="O462" s="1"/>
      <c r="P462" s="1"/>
      <c r="Q462" s="1"/>
      <c r="R462" s="1"/>
      <c r="S462" s="1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</row>
    <row r="463" spans="1:32" ht="58.5" customHeight="1" x14ac:dyDescent="0.25">
      <c r="A463" s="56"/>
      <c r="B463" s="56"/>
      <c r="C463" s="56"/>
      <c r="D463" s="56"/>
      <c r="E463" s="57"/>
      <c r="F463" s="58"/>
      <c r="G463" s="56"/>
      <c r="H463" s="56"/>
      <c r="I463" s="59"/>
      <c r="J463" s="56"/>
      <c r="K463" s="56"/>
      <c r="L463" s="56"/>
      <c r="M463" s="1"/>
      <c r="N463" s="1"/>
      <c r="O463" s="1"/>
      <c r="P463" s="1"/>
      <c r="Q463" s="1"/>
      <c r="R463" s="1"/>
      <c r="S463" s="1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</row>
    <row r="464" spans="1:32" ht="58.5" customHeight="1" x14ac:dyDescent="0.25">
      <c r="A464" s="56"/>
      <c r="B464" s="56"/>
      <c r="C464" s="56"/>
      <c r="D464" s="56"/>
      <c r="E464" s="57"/>
      <c r="F464" s="58"/>
      <c r="G464" s="56"/>
      <c r="H464" s="56"/>
      <c r="I464" s="59"/>
      <c r="J464" s="56"/>
      <c r="K464" s="56"/>
      <c r="L464" s="56"/>
      <c r="M464" s="1"/>
      <c r="N464" s="1"/>
      <c r="O464" s="1"/>
      <c r="P464" s="1"/>
      <c r="Q464" s="1"/>
      <c r="R464" s="1"/>
      <c r="S464" s="1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</row>
    <row r="465" spans="1:32" ht="58.5" customHeight="1" x14ac:dyDescent="0.25">
      <c r="A465" s="56"/>
      <c r="B465" s="56"/>
      <c r="C465" s="56"/>
      <c r="D465" s="56"/>
      <c r="E465" s="57"/>
      <c r="F465" s="58"/>
      <c r="G465" s="56"/>
      <c r="H465" s="56"/>
      <c r="I465" s="59"/>
      <c r="J465" s="56"/>
      <c r="K465" s="56"/>
      <c r="L465" s="56"/>
      <c r="M465" s="1"/>
      <c r="N465" s="1"/>
      <c r="O465" s="1"/>
      <c r="P465" s="1"/>
      <c r="Q465" s="1"/>
      <c r="R465" s="1"/>
      <c r="S465" s="1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</row>
    <row r="466" spans="1:32" ht="58.5" customHeight="1" x14ac:dyDescent="0.25">
      <c r="A466" s="56"/>
      <c r="B466" s="56"/>
      <c r="C466" s="56"/>
      <c r="D466" s="56"/>
      <c r="E466" s="57"/>
      <c r="F466" s="58"/>
      <c r="G466" s="56"/>
      <c r="H466" s="56"/>
      <c r="I466" s="59"/>
      <c r="J466" s="56"/>
      <c r="K466" s="56"/>
      <c r="L466" s="56"/>
      <c r="M466" s="1"/>
      <c r="N466" s="1"/>
      <c r="O466" s="1"/>
      <c r="P466" s="1"/>
      <c r="Q466" s="1"/>
      <c r="R466" s="1"/>
      <c r="S466" s="1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</row>
    <row r="467" spans="1:32" ht="58.5" customHeight="1" x14ac:dyDescent="0.25">
      <c r="A467" s="56"/>
      <c r="B467" s="56"/>
      <c r="C467" s="56"/>
      <c r="D467" s="56"/>
      <c r="E467" s="57"/>
      <c r="F467" s="58"/>
      <c r="G467" s="56"/>
      <c r="H467" s="56"/>
      <c r="I467" s="59"/>
      <c r="J467" s="56"/>
      <c r="K467" s="56"/>
      <c r="L467" s="56"/>
      <c r="M467" s="1"/>
      <c r="N467" s="1"/>
      <c r="O467" s="1"/>
      <c r="P467" s="1"/>
      <c r="Q467" s="1"/>
      <c r="R467" s="1"/>
      <c r="S467" s="1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</row>
    <row r="468" spans="1:32" ht="58.5" customHeight="1" x14ac:dyDescent="0.25">
      <c r="A468" s="56"/>
      <c r="B468" s="56"/>
      <c r="C468" s="56"/>
      <c r="D468" s="56"/>
      <c r="E468" s="57"/>
      <c r="F468" s="58"/>
      <c r="G468" s="56"/>
      <c r="H468" s="56"/>
      <c r="I468" s="59"/>
      <c r="J468" s="56"/>
      <c r="K468" s="56"/>
      <c r="L468" s="56"/>
      <c r="M468" s="1"/>
      <c r="N468" s="1"/>
      <c r="O468" s="1"/>
      <c r="P468" s="1"/>
      <c r="Q468" s="1"/>
      <c r="R468" s="1"/>
      <c r="S468" s="1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</row>
    <row r="469" spans="1:32" ht="58.5" customHeight="1" x14ac:dyDescent="0.25">
      <c r="A469" s="56"/>
      <c r="B469" s="56"/>
      <c r="C469" s="56"/>
      <c r="D469" s="56"/>
      <c r="E469" s="57"/>
      <c r="F469" s="58"/>
      <c r="G469" s="56"/>
      <c r="H469" s="56"/>
      <c r="I469" s="59"/>
      <c r="J469" s="56"/>
      <c r="K469" s="56"/>
      <c r="L469" s="56"/>
      <c r="M469" s="1"/>
      <c r="N469" s="1"/>
      <c r="O469" s="1"/>
      <c r="P469" s="1"/>
      <c r="Q469" s="1"/>
      <c r="R469" s="1"/>
      <c r="S469" s="1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</row>
    <row r="470" spans="1:32" ht="58.5" customHeight="1" x14ac:dyDescent="0.25">
      <c r="A470" s="56"/>
      <c r="B470" s="56"/>
      <c r="C470" s="56"/>
      <c r="D470" s="56"/>
      <c r="E470" s="57"/>
      <c r="F470" s="58"/>
      <c r="G470" s="56"/>
      <c r="H470" s="56"/>
      <c r="I470" s="59"/>
      <c r="J470" s="56"/>
      <c r="K470" s="56"/>
      <c r="L470" s="56"/>
      <c r="M470" s="1"/>
      <c r="N470" s="1"/>
      <c r="O470" s="1"/>
      <c r="P470" s="1"/>
      <c r="Q470" s="1"/>
      <c r="R470" s="1"/>
      <c r="S470" s="1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</row>
    <row r="471" spans="1:32" ht="58.5" customHeight="1" x14ac:dyDescent="0.25">
      <c r="A471" s="56"/>
      <c r="B471" s="56"/>
      <c r="C471" s="56"/>
      <c r="D471" s="56"/>
      <c r="E471" s="57"/>
      <c r="F471" s="58"/>
      <c r="G471" s="56"/>
      <c r="H471" s="56"/>
      <c r="I471" s="59"/>
      <c r="J471" s="56"/>
      <c r="K471" s="56"/>
      <c r="L471" s="56"/>
      <c r="M471" s="1"/>
      <c r="N471" s="1"/>
      <c r="O471" s="1"/>
      <c r="P471" s="1"/>
      <c r="Q471" s="1"/>
      <c r="R471" s="1"/>
      <c r="S471" s="1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</row>
    <row r="472" spans="1:32" ht="58.5" customHeight="1" x14ac:dyDescent="0.25">
      <c r="A472" s="56"/>
      <c r="B472" s="56"/>
      <c r="C472" s="56"/>
      <c r="D472" s="56"/>
      <c r="E472" s="57"/>
      <c r="F472" s="58"/>
      <c r="G472" s="56"/>
      <c r="H472" s="56"/>
      <c r="I472" s="59"/>
      <c r="J472" s="56"/>
      <c r="K472" s="56"/>
      <c r="L472" s="56"/>
      <c r="M472" s="1"/>
      <c r="N472" s="1"/>
      <c r="O472" s="1"/>
      <c r="P472" s="1"/>
      <c r="Q472" s="1"/>
      <c r="R472" s="1"/>
      <c r="S472" s="1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</row>
    <row r="473" spans="1:32" ht="58.5" customHeight="1" x14ac:dyDescent="0.25">
      <c r="A473" s="56"/>
      <c r="B473" s="56"/>
      <c r="C473" s="56"/>
      <c r="D473" s="56"/>
      <c r="E473" s="57"/>
      <c r="F473" s="58"/>
      <c r="G473" s="56"/>
      <c r="H473" s="56"/>
      <c r="I473" s="59"/>
      <c r="J473" s="56"/>
      <c r="K473" s="56"/>
      <c r="L473" s="56"/>
      <c r="M473" s="1"/>
      <c r="N473" s="1"/>
      <c r="O473" s="1"/>
      <c r="P473" s="1"/>
      <c r="Q473" s="1"/>
      <c r="R473" s="1"/>
      <c r="S473" s="1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</row>
    <row r="474" spans="1:32" ht="58.5" customHeight="1" x14ac:dyDescent="0.25">
      <c r="A474" s="56"/>
      <c r="B474" s="56"/>
      <c r="C474" s="56"/>
      <c r="D474" s="56"/>
      <c r="E474" s="57"/>
      <c r="F474" s="58"/>
      <c r="G474" s="56"/>
      <c r="H474" s="56"/>
      <c r="I474" s="59"/>
      <c r="J474" s="56"/>
      <c r="K474" s="56"/>
      <c r="L474" s="56"/>
      <c r="M474" s="1"/>
      <c r="N474" s="1"/>
      <c r="O474" s="1"/>
      <c r="P474" s="1"/>
      <c r="Q474" s="1"/>
      <c r="R474" s="1"/>
      <c r="S474" s="1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</row>
    <row r="475" spans="1:32" ht="58.5" customHeight="1" x14ac:dyDescent="0.25">
      <c r="A475" s="56"/>
      <c r="B475" s="56"/>
      <c r="C475" s="56"/>
      <c r="D475" s="56"/>
      <c r="E475" s="57"/>
      <c r="F475" s="58"/>
      <c r="G475" s="56"/>
      <c r="H475" s="56"/>
      <c r="I475" s="59"/>
      <c r="J475" s="56"/>
      <c r="K475" s="56"/>
      <c r="L475" s="56"/>
      <c r="M475" s="1"/>
      <c r="N475" s="1"/>
      <c r="O475" s="1"/>
      <c r="P475" s="1"/>
      <c r="Q475" s="1"/>
      <c r="R475" s="1"/>
      <c r="S475" s="1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</row>
    <row r="476" spans="1:32" ht="58.5" customHeight="1" x14ac:dyDescent="0.25">
      <c r="A476" s="56"/>
      <c r="B476" s="56"/>
      <c r="C476" s="56"/>
      <c r="D476" s="56"/>
      <c r="E476" s="57"/>
      <c r="F476" s="58"/>
      <c r="G476" s="56"/>
      <c r="H476" s="56"/>
      <c r="I476" s="59"/>
      <c r="J476" s="56"/>
      <c r="K476" s="56"/>
      <c r="L476" s="56"/>
      <c r="M476" s="1"/>
      <c r="N476" s="1"/>
      <c r="O476" s="1"/>
      <c r="P476" s="1"/>
      <c r="Q476" s="1"/>
      <c r="R476" s="1"/>
      <c r="S476" s="1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</row>
    <row r="477" spans="1:32" ht="58.5" customHeight="1" x14ac:dyDescent="0.25">
      <c r="A477" s="56"/>
      <c r="B477" s="56"/>
      <c r="C477" s="56"/>
      <c r="D477" s="56"/>
      <c r="E477" s="57"/>
      <c r="F477" s="58"/>
      <c r="G477" s="56"/>
      <c r="H477" s="56"/>
      <c r="I477" s="59"/>
      <c r="J477" s="56"/>
      <c r="K477" s="56"/>
      <c r="L477" s="56"/>
      <c r="M477" s="1"/>
      <c r="N477" s="1"/>
      <c r="O477" s="1"/>
      <c r="P477" s="1"/>
      <c r="Q477" s="1"/>
      <c r="R477" s="1"/>
      <c r="S477" s="1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</row>
    <row r="478" spans="1:32" ht="58.5" customHeight="1" x14ac:dyDescent="0.25">
      <c r="A478" s="56"/>
      <c r="B478" s="56"/>
      <c r="C478" s="56"/>
      <c r="D478" s="56"/>
      <c r="E478" s="57"/>
      <c r="F478" s="58"/>
      <c r="G478" s="56"/>
      <c r="H478" s="56"/>
      <c r="I478" s="59"/>
      <c r="J478" s="56"/>
      <c r="K478" s="56"/>
      <c r="L478" s="56"/>
      <c r="M478" s="1"/>
      <c r="N478" s="1"/>
      <c r="O478" s="1"/>
      <c r="P478" s="1"/>
      <c r="Q478" s="1"/>
      <c r="R478" s="1"/>
      <c r="S478" s="1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</row>
    <row r="479" spans="1:32" ht="58.5" customHeight="1" x14ac:dyDescent="0.25">
      <c r="A479" s="56"/>
      <c r="B479" s="56"/>
      <c r="C479" s="56"/>
      <c r="D479" s="56"/>
      <c r="E479" s="57"/>
      <c r="F479" s="58"/>
      <c r="G479" s="56"/>
      <c r="H479" s="56"/>
      <c r="I479" s="59"/>
      <c r="J479" s="56"/>
      <c r="K479" s="56"/>
      <c r="L479" s="56"/>
      <c r="M479" s="1"/>
      <c r="N479" s="1"/>
      <c r="O479" s="1"/>
      <c r="P479" s="1"/>
      <c r="Q479" s="1"/>
      <c r="R479" s="1"/>
      <c r="S479" s="1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</row>
    <row r="480" spans="1:32" ht="58.5" customHeight="1" x14ac:dyDescent="0.25">
      <c r="A480" s="56"/>
      <c r="B480" s="56"/>
      <c r="C480" s="56"/>
      <c r="D480" s="56"/>
      <c r="E480" s="57"/>
      <c r="F480" s="58"/>
      <c r="G480" s="56"/>
      <c r="H480" s="56"/>
      <c r="I480" s="59"/>
      <c r="J480" s="56"/>
      <c r="K480" s="56"/>
      <c r="L480" s="56"/>
      <c r="M480" s="1"/>
      <c r="N480" s="1"/>
      <c r="O480" s="1"/>
      <c r="P480" s="1"/>
      <c r="Q480" s="1"/>
      <c r="R480" s="1"/>
      <c r="S480" s="1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</row>
    <row r="481" spans="1:32" ht="58.5" customHeight="1" x14ac:dyDescent="0.25">
      <c r="A481" s="56"/>
      <c r="B481" s="56"/>
      <c r="C481" s="56"/>
      <c r="D481" s="56"/>
      <c r="E481" s="57"/>
      <c r="F481" s="58"/>
      <c r="G481" s="56"/>
      <c r="H481" s="56"/>
      <c r="I481" s="59"/>
      <c r="J481" s="56"/>
      <c r="K481" s="56"/>
      <c r="L481" s="56"/>
      <c r="M481" s="1"/>
      <c r="N481" s="1"/>
      <c r="O481" s="1"/>
      <c r="P481" s="1"/>
      <c r="Q481" s="1"/>
      <c r="R481" s="1"/>
      <c r="S481" s="1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</row>
    <row r="482" spans="1:32" ht="58.5" customHeight="1" x14ac:dyDescent="0.25">
      <c r="A482" s="56"/>
      <c r="B482" s="56"/>
      <c r="C482" s="56"/>
      <c r="D482" s="56"/>
      <c r="E482" s="57"/>
      <c r="F482" s="58"/>
      <c r="G482" s="56"/>
      <c r="H482" s="56"/>
      <c r="I482" s="59"/>
      <c r="J482" s="56"/>
      <c r="K482" s="56"/>
      <c r="L482" s="56"/>
      <c r="M482" s="1"/>
      <c r="N482" s="1"/>
      <c r="O482" s="1"/>
      <c r="P482" s="1"/>
      <c r="Q482" s="1"/>
      <c r="R482" s="1"/>
      <c r="S482" s="1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</row>
    <row r="483" spans="1:32" ht="58.5" customHeight="1" x14ac:dyDescent="0.25">
      <c r="A483" s="56"/>
      <c r="B483" s="56"/>
      <c r="C483" s="56"/>
      <c r="D483" s="56"/>
      <c r="E483" s="57"/>
      <c r="F483" s="58"/>
      <c r="G483" s="56"/>
      <c r="H483" s="56"/>
      <c r="I483" s="59"/>
      <c r="J483" s="56"/>
      <c r="K483" s="56"/>
      <c r="L483" s="56"/>
      <c r="M483" s="1"/>
      <c r="N483" s="1"/>
      <c r="O483" s="1"/>
      <c r="P483" s="1"/>
      <c r="Q483" s="1"/>
      <c r="R483" s="1"/>
      <c r="S483" s="1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</row>
    <row r="484" spans="1:32" ht="58.5" customHeight="1" x14ac:dyDescent="0.25">
      <c r="A484" s="56"/>
      <c r="B484" s="56"/>
      <c r="C484" s="56"/>
      <c r="D484" s="56"/>
      <c r="E484" s="57"/>
      <c r="F484" s="58"/>
      <c r="G484" s="56"/>
      <c r="H484" s="56"/>
      <c r="I484" s="59"/>
      <c r="J484" s="56"/>
      <c r="K484" s="56"/>
      <c r="L484" s="56"/>
      <c r="M484" s="1"/>
      <c r="N484" s="1"/>
      <c r="O484" s="1"/>
      <c r="P484" s="1"/>
      <c r="Q484" s="1"/>
      <c r="R484" s="1"/>
      <c r="S484" s="1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</row>
    <row r="485" spans="1:32" ht="58.5" customHeight="1" x14ac:dyDescent="0.25">
      <c r="A485" s="56"/>
      <c r="B485" s="56"/>
      <c r="C485" s="56"/>
      <c r="D485" s="56"/>
      <c r="E485" s="57"/>
      <c r="F485" s="58"/>
      <c r="G485" s="56"/>
      <c r="H485" s="56"/>
      <c r="I485" s="59"/>
      <c r="J485" s="56"/>
      <c r="K485" s="56"/>
      <c r="L485" s="56"/>
      <c r="M485" s="1"/>
      <c r="N485" s="1"/>
      <c r="O485" s="1"/>
      <c r="P485" s="1"/>
      <c r="Q485" s="1"/>
      <c r="R485" s="1"/>
      <c r="S485" s="1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</row>
    <row r="486" spans="1:32" ht="58.5" customHeight="1" x14ac:dyDescent="0.25">
      <c r="A486" s="56"/>
      <c r="B486" s="56"/>
      <c r="C486" s="56"/>
      <c r="D486" s="56"/>
      <c r="E486" s="57"/>
      <c r="F486" s="58"/>
      <c r="G486" s="56"/>
      <c r="H486" s="56"/>
      <c r="I486" s="59"/>
      <c r="J486" s="56"/>
      <c r="K486" s="56"/>
      <c r="L486" s="56"/>
      <c r="M486" s="1"/>
      <c r="N486" s="1"/>
      <c r="O486" s="1"/>
      <c r="P486" s="1"/>
      <c r="Q486" s="1"/>
      <c r="R486" s="1"/>
      <c r="S486" s="1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</row>
    <row r="487" spans="1:32" ht="58.5" customHeight="1" x14ac:dyDescent="0.25">
      <c r="A487" s="56"/>
      <c r="B487" s="56"/>
      <c r="C487" s="56"/>
      <c r="D487" s="56"/>
      <c r="E487" s="57"/>
      <c r="F487" s="58"/>
      <c r="G487" s="56"/>
      <c r="H487" s="56"/>
      <c r="I487" s="59"/>
      <c r="J487" s="56"/>
      <c r="K487" s="56"/>
      <c r="L487" s="56"/>
      <c r="M487" s="1"/>
      <c r="N487" s="1"/>
      <c r="O487" s="1"/>
      <c r="P487" s="1"/>
      <c r="Q487" s="1"/>
      <c r="R487" s="1"/>
      <c r="S487" s="1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</row>
    <row r="488" spans="1:32" ht="58.5" customHeight="1" x14ac:dyDescent="0.25">
      <c r="A488" s="56"/>
      <c r="B488" s="56"/>
      <c r="C488" s="56"/>
      <c r="D488" s="56"/>
      <c r="E488" s="57"/>
      <c r="F488" s="58"/>
      <c r="G488" s="56"/>
      <c r="H488" s="56"/>
      <c r="I488" s="59"/>
      <c r="J488" s="56"/>
      <c r="K488" s="56"/>
      <c r="L488" s="56"/>
      <c r="M488" s="1"/>
      <c r="N488" s="1"/>
      <c r="O488" s="1"/>
      <c r="P488" s="1"/>
      <c r="Q488" s="1"/>
      <c r="R488" s="1"/>
      <c r="S488" s="1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</row>
    <row r="489" spans="1:32" ht="58.5" customHeight="1" x14ac:dyDescent="0.25">
      <c r="A489" s="56"/>
      <c r="B489" s="56"/>
      <c r="C489" s="56"/>
      <c r="D489" s="56"/>
      <c r="E489" s="57"/>
      <c r="F489" s="58"/>
      <c r="G489" s="56"/>
      <c r="H489" s="56"/>
      <c r="I489" s="59"/>
      <c r="J489" s="56"/>
      <c r="K489" s="56"/>
      <c r="L489" s="56"/>
      <c r="M489" s="1"/>
      <c r="N489" s="1"/>
      <c r="O489" s="1"/>
      <c r="P489" s="1"/>
      <c r="Q489" s="1"/>
      <c r="R489" s="1"/>
      <c r="S489" s="1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</row>
    <row r="490" spans="1:32" ht="58.5" customHeight="1" x14ac:dyDescent="0.25">
      <c r="A490" s="56"/>
      <c r="B490" s="56"/>
      <c r="C490" s="56"/>
      <c r="D490" s="56"/>
      <c r="E490" s="57"/>
      <c r="F490" s="58"/>
      <c r="G490" s="56"/>
      <c r="H490" s="56"/>
      <c r="I490" s="59"/>
      <c r="J490" s="56"/>
      <c r="K490" s="56"/>
      <c r="L490" s="56"/>
      <c r="M490" s="1"/>
      <c r="N490" s="1"/>
      <c r="O490" s="1"/>
      <c r="P490" s="1"/>
      <c r="Q490" s="1"/>
      <c r="R490" s="1"/>
      <c r="S490" s="1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</row>
    <row r="491" spans="1:32" ht="58.5" customHeight="1" x14ac:dyDescent="0.25">
      <c r="A491" s="56"/>
      <c r="B491" s="56"/>
      <c r="C491" s="56"/>
      <c r="D491" s="56"/>
      <c r="E491" s="57"/>
      <c r="F491" s="58"/>
      <c r="G491" s="56"/>
      <c r="H491" s="56"/>
      <c r="I491" s="59"/>
      <c r="J491" s="56"/>
      <c r="K491" s="56"/>
      <c r="L491" s="56"/>
      <c r="M491" s="1"/>
      <c r="N491" s="1"/>
      <c r="O491" s="1"/>
      <c r="P491" s="1"/>
      <c r="Q491" s="1"/>
      <c r="R491" s="1"/>
      <c r="S491" s="1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</row>
    <row r="492" spans="1:32" ht="58.5" customHeight="1" x14ac:dyDescent="0.25">
      <c r="A492" s="56"/>
      <c r="B492" s="56"/>
      <c r="C492" s="56"/>
      <c r="D492" s="56"/>
      <c r="E492" s="57"/>
      <c r="F492" s="58"/>
      <c r="G492" s="56"/>
      <c r="H492" s="56"/>
      <c r="I492" s="59"/>
      <c r="J492" s="56"/>
      <c r="K492" s="56"/>
      <c r="L492" s="56"/>
      <c r="M492" s="1"/>
      <c r="N492" s="1"/>
      <c r="O492" s="1"/>
      <c r="P492" s="1"/>
      <c r="Q492" s="1"/>
      <c r="R492" s="1"/>
      <c r="S492" s="1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</row>
    <row r="493" spans="1:32" ht="58.5" customHeight="1" x14ac:dyDescent="0.25">
      <c r="A493" s="56"/>
      <c r="B493" s="56"/>
      <c r="C493" s="56"/>
      <c r="D493" s="56"/>
      <c r="E493" s="57"/>
      <c r="F493" s="58"/>
      <c r="G493" s="56"/>
      <c r="H493" s="56"/>
      <c r="I493" s="59"/>
      <c r="J493" s="56"/>
      <c r="K493" s="56"/>
      <c r="L493" s="56"/>
      <c r="M493" s="1"/>
      <c r="N493" s="1"/>
      <c r="O493" s="1"/>
      <c r="P493" s="1"/>
      <c r="Q493" s="1"/>
      <c r="R493" s="1"/>
      <c r="S493" s="1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</row>
    <row r="494" spans="1:32" ht="58.5" customHeight="1" x14ac:dyDescent="0.25">
      <c r="A494" s="56"/>
      <c r="B494" s="56"/>
      <c r="C494" s="56"/>
      <c r="D494" s="56"/>
      <c r="E494" s="57"/>
      <c r="F494" s="58"/>
      <c r="G494" s="56"/>
      <c r="H494" s="56"/>
      <c r="I494" s="59"/>
      <c r="J494" s="56"/>
      <c r="K494" s="56"/>
      <c r="L494" s="56"/>
      <c r="M494" s="1"/>
      <c r="N494" s="1"/>
      <c r="O494" s="1"/>
      <c r="P494" s="1"/>
      <c r="Q494" s="1"/>
      <c r="R494" s="1"/>
      <c r="S494" s="1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</row>
    <row r="495" spans="1:32" ht="58.5" customHeight="1" x14ac:dyDescent="0.25">
      <c r="A495" s="56"/>
      <c r="B495" s="56"/>
      <c r="C495" s="56"/>
      <c r="D495" s="56"/>
      <c r="E495" s="57"/>
      <c r="F495" s="58"/>
      <c r="G495" s="56"/>
      <c r="H495" s="56"/>
      <c r="I495" s="59"/>
      <c r="J495" s="56"/>
      <c r="K495" s="56"/>
      <c r="L495" s="56"/>
      <c r="M495" s="1"/>
      <c r="N495" s="1"/>
      <c r="O495" s="1"/>
      <c r="P495" s="1"/>
      <c r="Q495" s="1"/>
      <c r="R495" s="1"/>
      <c r="S495" s="1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</row>
    <row r="496" spans="1:32" ht="58.5" customHeight="1" x14ac:dyDescent="0.25">
      <c r="A496" s="56"/>
      <c r="B496" s="56"/>
      <c r="C496" s="56"/>
      <c r="D496" s="56"/>
      <c r="E496" s="57"/>
      <c r="F496" s="58"/>
      <c r="G496" s="56"/>
      <c r="H496" s="56"/>
      <c r="I496" s="59"/>
      <c r="J496" s="56"/>
      <c r="K496" s="56"/>
      <c r="L496" s="56"/>
      <c r="M496" s="1"/>
      <c r="N496" s="1"/>
      <c r="O496" s="1"/>
      <c r="P496" s="1"/>
      <c r="Q496" s="1"/>
      <c r="R496" s="1"/>
      <c r="S496" s="1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</row>
    <row r="497" spans="1:32" ht="58.5" customHeight="1" x14ac:dyDescent="0.25">
      <c r="A497" s="56"/>
      <c r="B497" s="56"/>
      <c r="C497" s="56"/>
      <c r="D497" s="56"/>
      <c r="E497" s="57"/>
      <c r="F497" s="58"/>
      <c r="G497" s="56"/>
      <c r="H497" s="56"/>
      <c r="I497" s="59"/>
      <c r="J497" s="56"/>
      <c r="K497" s="56"/>
      <c r="L497" s="56"/>
      <c r="M497" s="1"/>
      <c r="N497" s="1"/>
      <c r="O497" s="1"/>
      <c r="P497" s="1"/>
      <c r="Q497" s="1"/>
      <c r="R497" s="1"/>
      <c r="S497" s="1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</row>
    <row r="498" spans="1:32" ht="58.5" customHeight="1" x14ac:dyDescent="0.25">
      <c r="A498" s="56"/>
      <c r="B498" s="56"/>
      <c r="C498" s="56"/>
      <c r="D498" s="56"/>
      <c r="E498" s="57"/>
      <c r="F498" s="58"/>
      <c r="G498" s="56"/>
      <c r="H498" s="56"/>
      <c r="I498" s="59"/>
      <c r="J498" s="56"/>
      <c r="K498" s="56"/>
      <c r="L498" s="56"/>
      <c r="M498" s="1"/>
      <c r="N498" s="1"/>
      <c r="O498" s="1"/>
      <c r="P498" s="1"/>
      <c r="Q498" s="1"/>
      <c r="R498" s="1"/>
      <c r="S498" s="1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</row>
    <row r="499" spans="1:32" ht="58.5" customHeight="1" x14ac:dyDescent="0.25">
      <c r="A499" s="56"/>
      <c r="B499" s="56"/>
      <c r="C499" s="56"/>
      <c r="D499" s="56"/>
      <c r="E499" s="57"/>
      <c r="F499" s="58"/>
      <c r="G499" s="56"/>
      <c r="H499" s="56"/>
      <c r="I499" s="59"/>
      <c r="J499" s="56"/>
      <c r="K499" s="56"/>
      <c r="L499" s="56"/>
      <c r="M499" s="1"/>
      <c r="N499" s="1"/>
      <c r="O499" s="1"/>
      <c r="P499" s="1"/>
      <c r="Q499" s="1"/>
      <c r="R499" s="1"/>
      <c r="S499" s="1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</row>
    <row r="500" spans="1:32" ht="58.5" customHeight="1" x14ac:dyDescent="0.25">
      <c r="A500" s="56"/>
      <c r="B500" s="56"/>
      <c r="C500" s="56"/>
      <c r="D500" s="56"/>
      <c r="E500" s="57"/>
      <c r="F500" s="58"/>
      <c r="G500" s="56"/>
      <c r="H500" s="56"/>
      <c r="I500" s="59"/>
      <c r="J500" s="56"/>
      <c r="K500" s="56"/>
      <c r="L500" s="56"/>
      <c r="M500" s="1"/>
      <c r="N500" s="1"/>
      <c r="O500" s="1"/>
      <c r="P500" s="1"/>
      <c r="Q500" s="1"/>
      <c r="R500" s="1"/>
      <c r="S500" s="1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</row>
    <row r="501" spans="1:32" ht="58.5" customHeight="1" x14ac:dyDescent="0.25">
      <c r="A501" s="56"/>
      <c r="B501" s="56"/>
      <c r="C501" s="56"/>
      <c r="D501" s="56"/>
      <c r="E501" s="57"/>
      <c r="F501" s="58"/>
      <c r="G501" s="56"/>
      <c r="H501" s="56"/>
      <c r="I501" s="59"/>
      <c r="J501" s="56"/>
      <c r="K501" s="56"/>
      <c r="L501" s="56"/>
      <c r="M501" s="1"/>
      <c r="N501" s="1"/>
      <c r="O501" s="1"/>
      <c r="P501" s="1"/>
      <c r="Q501" s="1"/>
      <c r="R501" s="1"/>
      <c r="S501" s="1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</row>
    <row r="502" spans="1:32" ht="58.5" customHeight="1" x14ac:dyDescent="0.25">
      <c r="A502" s="56"/>
      <c r="B502" s="56"/>
      <c r="C502" s="56"/>
      <c r="D502" s="56"/>
      <c r="E502" s="57"/>
      <c r="F502" s="58"/>
      <c r="G502" s="56"/>
      <c r="H502" s="56"/>
      <c r="I502" s="59"/>
      <c r="J502" s="56"/>
      <c r="K502" s="56"/>
      <c r="L502" s="56"/>
      <c r="M502" s="1"/>
      <c r="N502" s="1"/>
      <c r="O502" s="1"/>
      <c r="P502" s="1"/>
      <c r="Q502" s="1"/>
      <c r="R502" s="1"/>
      <c r="S502" s="1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</row>
    <row r="503" spans="1:32" ht="58.5" customHeight="1" x14ac:dyDescent="0.25">
      <c r="A503" s="56"/>
      <c r="B503" s="56"/>
      <c r="C503" s="56"/>
      <c r="D503" s="56"/>
      <c r="E503" s="57"/>
      <c r="F503" s="58"/>
      <c r="G503" s="56"/>
      <c r="H503" s="56"/>
      <c r="I503" s="59"/>
      <c r="J503" s="56"/>
      <c r="K503" s="56"/>
      <c r="L503" s="56"/>
      <c r="M503" s="1"/>
      <c r="N503" s="1"/>
      <c r="O503" s="1"/>
      <c r="P503" s="1"/>
      <c r="Q503" s="1"/>
      <c r="R503" s="1"/>
      <c r="S503" s="1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</row>
    <row r="504" spans="1:32" ht="58.5" customHeight="1" x14ac:dyDescent="0.25">
      <c r="A504" s="56"/>
      <c r="B504" s="56"/>
      <c r="C504" s="56"/>
      <c r="D504" s="56"/>
      <c r="E504" s="57"/>
      <c r="F504" s="58"/>
      <c r="G504" s="56"/>
      <c r="H504" s="56"/>
      <c r="I504" s="59"/>
      <c r="J504" s="56"/>
      <c r="K504" s="56"/>
      <c r="L504" s="56"/>
      <c r="M504" s="1"/>
      <c r="N504" s="1"/>
      <c r="O504" s="1"/>
      <c r="P504" s="1"/>
      <c r="Q504" s="1"/>
      <c r="R504" s="1"/>
      <c r="S504" s="1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</row>
    <row r="505" spans="1:32" ht="58.5" customHeight="1" x14ac:dyDescent="0.25">
      <c r="A505" s="56"/>
      <c r="B505" s="56"/>
      <c r="C505" s="56"/>
      <c r="D505" s="56"/>
      <c r="E505" s="57"/>
      <c r="F505" s="58"/>
      <c r="G505" s="56"/>
      <c r="H505" s="56"/>
      <c r="I505" s="59"/>
      <c r="J505" s="56"/>
      <c r="K505" s="56"/>
      <c r="L505" s="56"/>
      <c r="M505" s="1"/>
      <c r="N505" s="1"/>
      <c r="O505" s="1"/>
      <c r="P505" s="1"/>
      <c r="Q505" s="1"/>
      <c r="R505" s="1"/>
      <c r="S505" s="1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</row>
    <row r="506" spans="1:32" ht="58.5" customHeight="1" x14ac:dyDescent="0.25">
      <c r="A506" s="56"/>
      <c r="B506" s="56"/>
      <c r="C506" s="56"/>
      <c r="D506" s="56"/>
      <c r="E506" s="57"/>
      <c r="F506" s="58"/>
      <c r="G506" s="56"/>
      <c r="H506" s="56"/>
      <c r="I506" s="59"/>
      <c r="J506" s="56"/>
      <c r="K506" s="56"/>
      <c r="L506" s="56"/>
      <c r="M506" s="1"/>
      <c r="N506" s="1"/>
      <c r="O506" s="1"/>
      <c r="P506" s="1"/>
      <c r="Q506" s="1"/>
      <c r="R506" s="1"/>
      <c r="S506" s="1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</row>
    <row r="507" spans="1:32" ht="58.5" customHeight="1" x14ac:dyDescent="0.25">
      <c r="A507" s="56"/>
      <c r="B507" s="56"/>
      <c r="C507" s="56"/>
      <c r="D507" s="56"/>
      <c r="E507" s="57"/>
      <c r="F507" s="58"/>
      <c r="G507" s="56"/>
      <c r="H507" s="56"/>
      <c r="I507" s="59"/>
      <c r="J507" s="56"/>
      <c r="K507" s="56"/>
      <c r="L507" s="56"/>
      <c r="M507" s="1"/>
      <c r="N507" s="1"/>
      <c r="O507" s="1"/>
      <c r="P507" s="1"/>
      <c r="Q507" s="1"/>
      <c r="R507" s="1"/>
      <c r="S507" s="1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</row>
    <row r="508" spans="1:32" ht="58.5" customHeight="1" x14ac:dyDescent="0.25">
      <c r="A508" s="56"/>
      <c r="B508" s="56"/>
      <c r="C508" s="56"/>
      <c r="D508" s="56"/>
      <c r="E508" s="57"/>
      <c r="F508" s="58"/>
      <c r="G508" s="56"/>
      <c r="H508" s="56"/>
      <c r="I508" s="59"/>
      <c r="J508" s="56"/>
      <c r="K508" s="56"/>
      <c r="L508" s="56"/>
      <c r="M508" s="1"/>
      <c r="N508" s="1"/>
      <c r="O508" s="1"/>
      <c r="P508" s="1"/>
      <c r="Q508" s="1"/>
      <c r="R508" s="1"/>
      <c r="S508" s="1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</row>
    <row r="509" spans="1:32" ht="58.5" customHeight="1" x14ac:dyDescent="0.25">
      <c r="A509" s="56"/>
      <c r="B509" s="56"/>
      <c r="C509" s="56"/>
      <c r="D509" s="56"/>
      <c r="E509" s="57"/>
      <c r="F509" s="58"/>
      <c r="G509" s="56"/>
      <c r="H509" s="56"/>
      <c r="I509" s="59"/>
      <c r="J509" s="56"/>
      <c r="K509" s="56"/>
      <c r="L509" s="56"/>
      <c r="M509" s="1"/>
      <c r="N509" s="1"/>
      <c r="O509" s="1"/>
      <c r="P509" s="1"/>
      <c r="Q509" s="1"/>
      <c r="R509" s="1"/>
      <c r="S509" s="1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</row>
    <row r="510" spans="1:32" ht="58.5" customHeight="1" x14ac:dyDescent="0.25">
      <c r="A510" s="56"/>
      <c r="B510" s="56"/>
      <c r="C510" s="56"/>
      <c r="D510" s="56"/>
      <c r="E510" s="57"/>
      <c r="F510" s="58"/>
      <c r="G510" s="56"/>
      <c r="H510" s="56"/>
      <c r="I510" s="59"/>
      <c r="J510" s="56"/>
      <c r="K510" s="56"/>
      <c r="L510" s="56"/>
      <c r="M510" s="1"/>
      <c r="N510" s="1"/>
      <c r="O510" s="1"/>
      <c r="P510" s="1"/>
      <c r="Q510" s="1"/>
      <c r="R510" s="1"/>
      <c r="S510" s="1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</row>
    <row r="511" spans="1:32" ht="58.5" customHeight="1" x14ac:dyDescent="0.25">
      <c r="A511" s="56"/>
      <c r="B511" s="56"/>
      <c r="C511" s="56"/>
      <c r="D511" s="56"/>
      <c r="E511" s="57"/>
      <c r="F511" s="58"/>
      <c r="G511" s="56"/>
      <c r="H511" s="56"/>
      <c r="I511" s="59"/>
      <c r="J511" s="56"/>
      <c r="K511" s="56"/>
      <c r="L511" s="56"/>
      <c r="M511" s="1"/>
      <c r="N511" s="1"/>
      <c r="O511" s="1"/>
      <c r="P511" s="1"/>
      <c r="Q511" s="1"/>
      <c r="R511" s="1"/>
      <c r="S511" s="1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</row>
    <row r="512" spans="1:32" ht="58.5" customHeight="1" x14ac:dyDescent="0.25">
      <c r="A512" s="56"/>
      <c r="B512" s="56"/>
      <c r="C512" s="56"/>
      <c r="D512" s="56"/>
      <c r="E512" s="57"/>
      <c r="F512" s="58"/>
      <c r="G512" s="56"/>
      <c r="H512" s="56"/>
      <c r="I512" s="59"/>
      <c r="J512" s="56"/>
      <c r="K512" s="56"/>
      <c r="L512" s="56"/>
      <c r="M512" s="1"/>
      <c r="N512" s="1"/>
      <c r="O512" s="1"/>
      <c r="P512" s="1"/>
      <c r="Q512" s="1"/>
      <c r="R512" s="1"/>
      <c r="S512" s="1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</row>
    <row r="513" spans="1:32" ht="58.5" customHeight="1" x14ac:dyDescent="0.25">
      <c r="A513" s="56"/>
      <c r="B513" s="56"/>
      <c r="C513" s="56"/>
      <c r="D513" s="56"/>
      <c r="E513" s="57"/>
      <c r="F513" s="58"/>
      <c r="G513" s="56"/>
      <c r="H513" s="56"/>
      <c r="I513" s="59"/>
      <c r="J513" s="56"/>
      <c r="K513" s="56"/>
      <c r="L513" s="56"/>
      <c r="M513" s="1"/>
      <c r="N513" s="1"/>
      <c r="O513" s="1"/>
      <c r="P513" s="1"/>
      <c r="Q513" s="1"/>
      <c r="R513" s="1"/>
      <c r="S513" s="1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</row>
    <row r="514" spans="1:32" ht="58.5" customHeight="1" x14ac:dyDescent="0.25">
      <c r="A514" s="56"/>
      <c r="B514" s="56"/>
      <c r="C514" s="56"/>
      <c r="D514" s="56"/>
      <c r="E514" s="57"/>
      <c r="F514" s="58"/>
      <c r="G514" s="56"/>
      <c r="H514" s="56"/>
      <c r="I514" s="59"/>
      <c r="J514" s="56"/>
      <c r="K514" s="56"/>
      <c r="L514" s="56"/>
      <c r="M514" s="1"/>
      <c r="N514" s="1"/>
      <c r="O514" s="1"/>
      <c r="P514" s="1"/>
      <c r="Q514" s="1"/>
      <c r="R514" s="1"/>
      <c r="S514" s="1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</row>
    <row r="515" spans="1:32" ht="58.5" customHeight="1" x14ac:dyDescent="0.25">
      <c r="A515" s="56"/>
      <c r="B515" s="56"/>
      <c r="C515" s="56"/>
      <c r="D515" s="56"/>
      <c r="E515" s="57"/>
      <c r="F515" s="58"/>
      <c r="G515" s="56"/>
      <c r="H515" s="56"/>
      <c r="I515" s="59"/>
      <c r="J515" s="56"/>
      <c r="K515" s="56"/>
      <c r="L515" s="56"/>
      <c r="M515" s="1"/>
      <c r="N515" s="1"/>
      <c r="O515" s="1"/>
      <c r="P515" s="1"/>
      <c r="Q515" s="1"/>
      <c r="R515" s="1"/>
      <c r="S515" s="1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</row>
    <row r="516" spans="1:32" ht="58.5" customHeight="1" x14ac:dyDescent="0.25">
      <c r="A516" s="56"/>
      <c r="B516" s="56"/>
      <c r="C516" s="56"/>
      <c r="D516" s="56"/>
      <c r="E516" s="57"/>
      <c r="F516" s="58"/>
      <c r="G516" s="56"/>
      <c r="H516" s="56"/>
      <c r="I516" s="59"/>
      <c r="J516" s="56"/>
      <c r="K516" s="56"/>
      <c r="L516" s="56"/>
      <c r="M516" s="1"/>
      <c r="N516" s="1"/>
      <c r="O516" s="1"/>
      <c r="P516" s="1"/>
      <c r="Q516" s="1"/>
      <c r="R516" s="1"/>
      <c r="S516" s="1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</row>
    <row r="517" spans="1:32" ht="58.5" customHeight="1" x14ac:dyDescent="0.25">
      <c r="A517" s="56"/>
      <c r="B517" s="56"/>
      <c r="C517" s="56"/>
      <c r="D517" s="56"/>
      <c r="E517" s="57"/>
      <c r="F517" s="58"/>
      <c r="G517" s="56"/>
      <c r="H517" s="56"/>
      <c r="I517" s="59"/>
      <c r="J517" s="56"/>
      <c r="K517" s="56"/>
      <c r="L517" s="56"/>
      <c r="M517" s="1"/>
      <c r="N517" s="1"/>
      <c r="O517" s="1"/>
      <c r="P517" s="1"/>
      <c r="Q517" s="1"/>
      <c r="R517" s="1"/>
      <c r="S517" s="1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</row>
    <row r="518" spans="1:32" ht="58.5" customHeight="1" x14ac:dyDescent="0.25">
      <c r="A518" s="56"/>
      <c r="B518" s="56"/>
      <c r="C518" s="56"/>
      <c r="D518" s="56"/>
      <c r="E518" s="57"/>
      <c r="F518" s="58"/>
      <c r="G518" s="56"/>
      <c r="H518" s="56"/>
      <c r="I518" s="59"/>
      <c r="J518" s="56"/>
      <c r="K518" s="56"/>
      <c r="L518" s="56"/>
      <c r="M518" s="1"/>
      <c r="N518" s="1"/>
      <c r="O518" s="1"/>
      <c r="P518" s="1"/>
      <c r="Q518" s="1"/>
      <c r="R518" s="1"/>
      <c r="S518" s="1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</row>
    <row r="519" spans="1:32" ht="58.5" customHeight="1" x14ac:dyDescent="0.25">
      <c r="A519" s="56"/>
      <c r="B519" s="56"/>
      <c r="C519" s="56"/>
      <c r="D519" s="56"/>
      <c r="E519" s="57"/>
      <c r="F519" s="58"/>
      <c r="G519" s="56"/>
      <c r="H519" s="56"/>
      <c r="I519" s="59"/>
      <c r="J519" s="56"/>
      <c r="K519" s="56"/>
      <c r="L519" s="56"/>
      <c r="M519" s="1"/>
      <c r="N519" s="1"/>
      <c r="O519" s="1"/>
      <c r="P519" s="1"/>
      <c r="Q519" s="1"/>
      <c r="R519" s="1"/>
      <c r="S519" s="1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</row>
    <row r="520" spans="1:32" ht="58.5" customHeight="1" x14ac:dyDescent="0.25">
      <c r="A520" s="56"/>
      <c r="B520" s="56"/>
      <c r="C520" s="56"/>
      <c r="D520" s="56"/>
      <c r="E520" s="57"/>
      <c r="F520" s="58"/>
      <c r="G520" s="56"/>
      <c r="H520" s="56"/>
      <c r="I520" s="59"/>
      <c r="J520" s="56"/>
      <c r="K520" s="56"/>
      <c r="L520" s="56"/>
      <c r="M520" s="1"/>
      <c r="N520" s="1"/>
      <c r="O520" s="1"/>
      <c r="P520" s="1"/>
      <c r="Q520" s="1"/>
      <c r="R520" s="1"/>
      <c r="S520" s="1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</row>
    <row r="521" spans="1:32" ht="58.5" customHeight="1" x14ac:dyDescent="0.25">
      <c r="A521" s="56"/>
      <c r="B521" s="56"/>
      <c r="C521" s="56"/>
      <c r="D521" s="56"/>
      <c r="E521" s="57"/>
      <c r="F521" s="58"/>
      <c r="G521" s="56"/>
      <c r="H521" s="56"/>
      <c r="I521" s="59"/>
      <c r="J521" s="56"/>
      <c r="K521" s="56"/>
      <c r="L521" s="56"/>
      <c r="M521" s="1"/>
      <c r="N521" s="1"/>
      <c r="O521" s="1"/>
      <c r="P521" s="1"/>
      <c r="Q521" s="1"/>
      <c r="R521" s="1"/>
      <c r="S521" s="1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</row>
    <row r="522" spans="1:32" ht="58.5" customHeight="1" x14ac:dyDescent="0.25">
      <c r="A522" s="56"/>
      <c r="B522" s="56"/>
      <c r="C522" s="56"/>
      <c r="D522" s="56"/>
      <c r="E522" s="57"/>
      <c r="F522" s="58"/>
      <c r="G522" s="56"/>
      <c r="H522" s="56"/>
      <c r="I522" s="59"/>
      <c r="J522" s="56"/>
      <c r="K522" s="56"/>
      <c r="L522" s="56"/>
      <c r="M522" s="1"/>
      <c r="N522" s="1"/>
      <c r="O522" s="1"/>
      <c r="P522" s="1"/>
      <c r="Q522" s="1"/>
      <c r="R522" s="1"/>
      <c r="S522" s="1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</row>
    <row r="523" spans="1:32" ht="58.5" customHeight="1" x14ac:dyDescent="0.25">
      <c r="A523" s="56"/>
      <c r="B523" s="56"/>
      <c r="C523" s="56"/>
      <c r="D523" s="56"/>
      <c r="E523" s="57"/>
      <c r="F523" s="58"/>
      <c r="G523" s="56"/>
      <c r="H523" s="56"/>
      <c r="I523" s="59"/>
      <c r="J523" s="56"/>
      <c r="K523" s="56"/>
      <c r="L523" s="56"/>
      <c r="M523" s="1"/>
      <c r="N523" s="1"/>
      <c r="O523" s="1"/>
      <c r="P523" s="1"/>
      <c r="Q523" s="1"/>
      <c r="R523" s="1"/>
      <c r="S523" s="1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</row>
    <row r="524" spans="1:32" ht="58.5" customHeight="1" x14ac:dyDescent="0.25">
      <c r="A524" s="56"/>
      <c r="B524" s="56"/>
      <c r="C524" s="56"/>
      <c r="D524" s="56"/>
      <c r="E524" s="57"/>
      <c r="F524" s="58"/>
      <c r="G524" s="56"/>
      <c r="H524" s="56"/>
      <c r="I524" s="59"/>
      <c r="J524" s="56"/>
      <c r="K524" s="56"/>
      <c r="L524" s="56"/>
      <c r="M524" s="1"/>
      <c r="N524" s="1"/>
      <c r="O524" s="1"/>
      <c r="P524" s="1"/>
      <c r="Q524" s="1"/>
      <c r="R524" s="1"/>
      <c r="S524" s="1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</row>
    <row r="525" spans="1:32" ht="58.5" customHeight="1" x14ac:dyDescent="0.25">
      <c r="A525" s="56"/>
      <c r="B525" s="56"/>
      <c r="C525" s="56"/>
      <c r="D525" s="56"/>
      <c r="E525" s="57"/>
      <c r="F525" s="58"/>
      <c r="G525" s="56"/>
      <c r="H525" s="56"/>
      <c r="I525" s="59"/>
      <c r="J525" s="56"/>
      <c r="K525" s="56"/>
      <c r="L525" s="56"/>
      <c r="M525" s="1"/>
      <c r="N525" s="1"/>
      <c r="O525" s="1"/>
      <c r="P525" s="1"/>
      <c r="Q525" s="1"/>
      <c r="R525" s="1"/>
      <c r="S525" s="1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</row>
    <row r="526" spans="1:32" ht="58.5" customHeight="1" x14ac:dyDescent="0.25">
      <c r="A526" s="56"/>
      <c r="B526" s="56"/>
      <c r="C526" s="56"/>
      <c r="D526" s="56"/>
      <c r="E526" s="57"/>
      <c r="F526" s="58"/>
      <c r="G526" s="56"/>
      <c r="H526" s="56"/>
      <c r="I526" s="59"/>
      <c r="J526" s="56"/>
      <c r="K526" s="56"/>
      <c r="L526" s="56"/>
      <c r="M526" s="1"/>
      <c r="N526" s="1"/>
      <c r="O526" s="1"/>
      <c r="P526" s="1"/>
      <c r="Q526" s="1"/>
      <c r="R526" s="1"/>
      <c r="S526" s="1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</row>
    <row r="527" spans="1:32" ht="58.5" customHeight="1" x14ac:dyDescent="0.25">
      <c r="A527" s="56"/>
      <c r="B527" s="56"/>
      <c r="C527" s="56"/>
      <c r="D527" s="56"/>
      <c r="E527" s="57"/>
      <c r="F527" s="58"/>
      <c r="G527" s="56"/>
      <c r="H527" s="56"/>
      <c r="I527" s="59"/>
      <c r="J527" s="56"/>
      <c r="K527" s="56"/>
      <c r="L527" s="56"/>
      <c r="M527" s="1"/>
      <c r="N527" s="1"/>
      <c r="O527" s="1"/>
      <c r="P527" s="1"/>
      <c r="Q527" s="1"/>
      <c r="R527" s="1"/>
      <c r="S527" s="1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</row>
    <row r="528" spans="1:32" ht="58.5" customHeight="1" x14ac:dyDescent="0.25">
      <c r="A528" s="56"/>
      <c r="B528" s="56"/>
      <c r="C528" s="56"/>
      <c r="D528" s="56"/>
      <c r="E528" s="57"/>
      <c r="F528" s="58"/>
      <c r="G528" s="56"/>
      <c r="H528" s="56"/>
      <c r="I528" s="59"/>
      <c r="J528" s="56"/>
      <c r="K528" s="56"/>
      <c r="L528" s="56"/>
      <c r="M528" s="1"/>
      <c r="N528" s="1"/>
      <c r="O528" s="1"/>
      <c r="P528" s="1"/>
      <c r="Q528" s="1"/>
      <c r="R528" s="1"/>
      <c r="S528" s="1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</row>
    <row r="529" spans="1:32" ht="58.5" customHeight="1" x14ac:dyDescent="0.25">
      <c r="A529" s="56"/>
      <c r="B529" s="56"/>
      <c r="C529" s="56"/>
      <c r="D529" s="56"/>
      <c r="E529" s="57"/>
      <c r="F529" s="58"/>
      <c r="G529" s="56"/>
      <c r="H529" s="56"/>
      <c r="I529" s="59"/>
      <c r="J529" s="56"/>
      <c r="K529" s="56"/>
      <c r="L529" s="56"/>
      <c r="M529" s="1"/>
      <c r="N529" s="1"/>
      <c r="O529" s="1"/>
      <c r="P529" s="1"/>
      <c r="Q529" s="1"/>
      <c r="R529" s="1"/>
      <c r="S529" s="1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</row>
    <row r="530" spans="1:32" ht="58.5" customHeight="1" x14ac:dyDescent="0.25">
      <c r="A530" s="56"/>
      <c r="B530" s="56"/>
      <c r="C530" s="56"/>
      <c r="D530" s="56"/>
      <c r="E530" s="57"/>
      <c r="F530" s="58"/>
      <c r="G530" s="56"/>
      <c r="H530" s="56"/>
      <c r="I530" s="59"/>
      <c r="J530" s="56"/>
      <c r="K530" s="56"/>
      <c r="L530" s="56"/>
      <c r="M530" s="1"/>
      <c r="N530" s="1"/>
      <c r="O530" s="1"/>
      <c r="P530" s="1"/>
      <c r="Q530" s="1"/>
      <c r="R530" s="1"/>
      <c r="S530" s="1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</row>
    <row r="531" spans="1:32" ht="58.5" customHeight="1" x14ac:dyDescent="0.25">
      <c r="A531" s="56"/>
      <c r="B531" s="56"/>
      <c r="C531" s="56"/>
      <c r="D531" s="56"/>
      <c r="E531" s="57"/>
      <c r="F531" s="58"/>
      <c r="G531" s="56"/>
      <c r="H531" s="56"/>
      <c r="I531" s="59"/>
      <c r="J531" s="56"/>
      <c r="K531" s="56"/>
      <c r="L531" s="56"/>
      <c r="M531" s="1"/>
      <c r="N531" s="1"/>
      <c r="O531" s="1"/>
      <c r="P531" s="1"/>
      <c r="Q531" s="1"/>
      <c r="R531" s="1"/>
      <c r="S531" s="1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</row>
    <row r="532" spans="1:32" ht="58.5" customHeight="1" x14ac:dyDescent="0.25">
      <c r="A532" s="56"/>
      <c r="B532" s="56"/>
      <c r="C532" s="56"/>
      <c r="D532" s="56"/>
      <c r="E532" s="57"/>
      <c r="F532" s="58"/>
      <c r="G532" s="56"/>
      <c r="H532" s="56"/>
      <c r="I532" s="59"/>
      <c r="J532" s="56"/>
      <c r="K532" s="56"/>
      <c r="L532" s="56"/>
      <c r="M532" s="1"/>
      <c r="N532" s="1"/>
      <c r="O532" s="1"/>
      <c r="P532" s="1"/>
      <c r="Q532" s="1"/>
      <c r="R532" s="1"/>
      <c r="S532" s="1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</row>
    <row r="533" spans="1:32" ht="58.5" customHeight="1" x14ac:dyDescent="0.25">
      <c r="A533" s="56"/>
      <c r="B533" s="56"/>
      <c r="C533" s="56"/>
      <c r="D533" s="56"/>
      <c r="E533" s="57"/>
      <c r="F533" s="58"/>
      <c r="G533" s="56"/>
      <c r="H533" s="56"/>
      <c r="I533" s="59"/>
      <c r="J533" s="56"/>
      <c r="K533" s="56"/>
      <c r="L533" s="56"/>
      <c r="M533" s="1"/>
      <c r="N533" s="1"/>
      <c r="O533" s="1"/>
      <c r="P533" s="1"/>
      <c r="Q533" s="1"/>
      <c r="R533" s="1"/>
      <c r="S533" s="1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</row>
    <row r="534" spans="1:32" ht="58.5" customHeight="1" x14ac:dyDescent="0.25">
      <c r="A534" s="56"/>
      <c r="B534" s="56"/>
      <c r="C534" s="56"/>
      <c r="D534" s="56"/>
      <c r="E534" s="57"/>
      <c r="F534" s="58"/>
      <c r="G534" s="56"/>
      <c r="H534" s="56"/>
      <c r="I534" s="59"/>
      <c r="J534" s="56"/>
      <c r="K534" s="56"/>
      <c r="L534" s="56"/>
      <c r="M534" s="1"/>
      <c r="N534" s="1"/>
      <c r="O534" s="1"/>
      <c r="P534" s="1"/>
      <c r="Q534" s="1"/>
      <c r="R534" s="1"/>
      <c r="S534" s="1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</row>
    <row r="535" spans="1:32" ht="58.5" customHeight="1" x14ac:dyDescent="0.25">
      <c r="A535" s="56"/>
      <c r="B535" s="56"/>
      <c r="C535" s="56"/>
      <c r="D535" s="56"/>
      <c r="E535" s="57"/>
      <c r="F535" s="58"/>
      <c r="G535" s="56"/>
      <c r="H535" s="56"/>
      <c r="I535" s="59"/>
      <c r="J535" s="56"/>
      <c r="K535" s="56"/>
      <c r="L535" s="56"/>
      <c r="M535" s="1"/>
      <c r="N535" s="1"/>
      <c r="O535" s="1"/>
      <c r="P535" s="1"/>
      <c r="Q535" s="1"/>
      <c r="R535" s="1"/>
      <c r="S535" s="1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</row>
    <row r="536" spans="1:32" ht="58.5" customHeight="1" x14ac:dyDescent="0.25">
      <c r="A536" s="56"/>
      <c r="B536" s="56"/>
      <c r="C536" s="56"/>
      <c r="D536" s="56"/>
      <c r="E536" s="57"/>
      <c r="F536" s="58"/>
      <c r="G536" s="56"/>
      <c r="H536" s="56"/>
      <c r="I536" s="59"/>
      <c r="J536" s="56"/>
      <c r="K536" s="56"/>
      <c r="L536" s="56"/>
      <c r="M536" s="1"/>
      <c r="N536" s="1"/>
      <c r="O536" s="1"/>
      <c r="P536" s="1"/>
      <c r="Q536" s="1"/>
      <c r="R536" s="1"/>
      <c r="S536" s="1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</row>
    <row r="537" spans="1:32" ht="58.5" customHeight="1" x14ac:dyDescent="0.25">
      <c r="A537" s="56"/>
      <c r="B537" s="56"/>
      <c r="C537" s="56"/>
      <c r="D537" s="56"/>
      <c r="E537" s="57"/>
      <c r="F537" s="58"/>
      <c r="G537" s="56"/>
      <c r="H537" s="56"/>
      <c r="I537" s="59"/>
      <c r="J537" s="56"/>
      <c r="K537" s="56"/>
      <c r="L537" s="56"/>
      <c r="M537" s="1"/>
      <c r="N537" s="1"/>
      <c r="O537" s="1"/>
      <c r="P537" s="1"/>
      <c r="Q537" s="1"/>
      <c r="R537" s="1"/>
      <c r="S537" s="1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</row>
    <row r="538" spans="1:32" ht="58.5" customHeight="1" x14ac:dyDescent="0.25">
      <c r="A538" s="56"/>
      <c r="B538" s="56"/>
      <c r="C538" s="56"/>
      <c r="D538" s="56"/>
      <c r="E538" s="57"/>
      <c r="F538" s="58"/>
      <c r="G538" s="56"/>
      <c r="H538" s="56"/>
      <c r="I538" s="59"/>
      <c r="J538" s="56"/>
      <c r="K538" s="56"/>
      <c r="L538" s="56"/>
      <c r="M538" s="1"/>
      <c r="N538" s="1"/>
      <c r="O538" s="1"/>
      <c r="P538" s="1"/>
      <c r="Q538" s="1"/>
      <c r="R538" s="1"/>
      <c r="S538" s="1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</row>
    <row r="539" spans="1:32" ht="58.5" customHeight="1" x14ac:dyDescent="0.25">
      <c r="A539" s="56"/>
      <c r="B539" s="56"/>
      <c r="C539" s="56"/>
      <c r="D539" s="56"/>
      <c r="E539" s="57"/>
      <c r="F539" s="58"/>
      <c r="G539" s="56"/>
      <c r="H539" s="56"/>
      <c r="I539" s="59"/>
      <c r="J539" s="56"/>
      <c r="K539" s="56"/>
      <c r="L539" s="56"/>
      <c r="M539" s="1"/>
      <c r="N539" s="1"/>
      <c r="O539" s="1"/>
      <c r="P539" s="1"/>
      <c r="Q539" s="1"/>
      <c r="R539" s="1"/>
      <c r="S539" s="1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</row>
    <row r="540" spans="1:32" ht="58.5" customHeight="1" x14ac:dyDescent="0.25">
      <c r="A540" s="56"/>
      <c r="B540" s="56"/>
      <c r="C540" s="56"/>
      <c r="D540" s="56"/>
      <c r="E540" s="57"/>
      <c r="F540" s="58"/>
      <c r="G540" s="56"/>
      <c r="H540" s="56"/>
      <c r="I540" s="59"/>
      <c r="J540" s="56"/>
      <c r="K540" s="56"/>
      <c r="L540" s="56"/>
      <c r="M540" s="1"/>
      <c r="N540" s="1"/>
      <c r="O540" s="1"/>
      <c r="P540" s="1"/>
      <c r="Q540" s="1"/>
      <c r="R540" s="1"/>
      <c r="S540" s="1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</row>
    <row r="541" spans="1:32" ht="58.5" customHeight="1" x14ac:dyDescent="0.25">
      <c r="A541" s="56"/>
      <c r="B541" s="56"/>
      <c r="C541" s="56"/>
      <c r="D541" s="56"/>
      <c r="E541" s="57"/>
      <c r="F541" s="58"/>
      <c r="G541" s="56"/>
      <c r="H541" s="56"/>
      <c r="I541" s="59"/>
      <c r="J541" s="56"/>
      <c r="K541" s="56"/>
      <c r="L541" s="56"/>
      <c r="M541" s="1"/>
      <c r="N541" s="1"/>
      <c r="O541" s="1"/>
      <c r="P541" s="1"/>
      <c r="Q541" s="1"/>
      <c r="R541" s="1"/>
      <c r="S541" s="1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</row>
    <row r="542" spans="1:32" ht="58.5" customHeight="1" x14ac:dyDescent="0.25">
      <c r="A542" s="56"/>
      <c r="B542" s="56"/>
      <c r="C542" s="56"/>
      <c r="D542" s="56"/>
      <c r="E542" s="57"/>
      <c r="F542" s="58"/>
      <c r="G542" s="56"/>
      <c r="H542" s="56"/>
      <c r="I542" s="59"/>
      <c r="J542" s="56"/>
      <c r="K542" s="56"/>
      <c r="L542" s="56"/>
      <c r="M542" s="1"/>
      <c r="N542" s="1"/>
      <c r="O542" s="1"/>
      <c r="P542" s="1"/>
      <c r="Q542" s="1"/>
      <c r="R542" s="1"/>
      <c r="S542" s="1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</row>
    <row r="543" spans="1:32" ht="58.5" customHeight="1" x14ac:dyDescent="0.25">
      <c r="A543" s="56"/>
      <c r="B543" s="56"/>
      <c r="C543" s="56"/>
      <c r="D543" s="56"/>
      <c r="E543" s="57"/>
      <c r="F543" s="58"/>
      <c r="G543" s="56"/>
      <c r="H543" s="56"/>
      <c r="I543" s="59"/>
      <c r="J543" s="56"/>
      <c r="K543" s="56"/>
      <c r="L543" s="56"/>
      <c r="M543" s="1"/>
      <c r="N543" s="1"/>
      <c r="O543" s="1"/>
      <c r="P543" s="1"/>
      <c r="Q543" s="1"/>
      <c r="R543" s="1"/>
      <c r="S543" s="1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</row>
    <row r="544" spans="1:32" ht="58.5" customHeight="1" x14ac:dyDescent="0.25">
      <c r="A544" s="56"/>
      <c r="B544" s="56"/>
      <c r="C544" s="56"/>
      <c r="D544" s="56"/>
      <c r="E544" s="57"/>
      <c r="F544" s="58"/>
      <c r="G544" s="56"/>
      <c r="H544" s="56"/>
      <c r="I544" s="59"/>
      <c r="J544" s="56"/>
      <c r="K544" s="56"/>
      <c r="L544" s="56"/>
      <c r="M544" s="1"/>
      <c r="N544" s="1"/>
      <c r="O544" s="1"/>
      <c r="P544" s="1"/>
      <c r="Q544" s="1"/>
      <c r="R544" s="1"/>
      <c r="S544" s="1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</row>
    <row r="545" spans="1:32" ht="58.5" customHeight="1" x14ac:dyDescent="0.25">
      <c r="A545" s="56"/>
      <c r="B545" s="56"/>
      <c r="C545" s="56"/>
      <c r="D545" s="56"/>
      <c r="E545" s="57"/>
      <c r="F545" s="58"/>
      <c r="G545" s="56"/>
      <c r="H545" s="56"/>
      <c r="I545" s="59"/>
      <c r="J545" s="56"/>
      <c r="K545" s="56"/>
      <c r="L545" s="56"/>
      <c r="M545" s="1"/>
      <c r="N545" s="1"/>
      <c r="O545" s="1"/>
      <c r="P545" s="1"/>
      <c r="Q545" s="1"/>
      <c r="R545" s="1"/>
      <c r="S545" s="1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</row>
    <row r="546" spans="1:32" ht="58.5" customHeight="1" x14ac:dyDescent="0.25">
      <c r="A546" s="56"/>
      <c r="B546" s="56"/>
      <c r="C546" s="56"/>
      <c r="D546" s="56"/>
      <c r="E546" s="57"/>
      <c r="F546" s="58"/>
      <c r="G546" s="56"/>
      <c r="H546" s="56"/>
      <c r="I546" s="59"/>
      <c r="J546" s="56"/>
      <c r="K546" s="56"/>
      <c r="L546" s="56"/>
      <c r="M546" s="1"/>
      <c r="N546" s="1"/>
      <c r="O546" s="1"/>
      <c r="P546" s="1"/>
      <c r="Q546" s="1"/>
      <c r="R546" s="1"/>
      <c r="S546" s="1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</row>
    <row r="547" spans="1:32" ht="58.5" customHeight="1" x14ac:dyDescent="0.25">
      <c r="A547" s="56"/>
      <c r="B547" s="56"/>
      <c r="C547" s="56"/>
      <c r="D547" s="56"/>
      <c r="E547" s="57"/>
      <c r="F547" s="58"/>
      <c r="G547" s="56"/>
      <c r="H547" s="56"/>
      <c r="I547" s="59"/>
      <c r="J547" s="56"/>
      <c r="K547" s="56"/>
      <c r="L547" s="56"/>
      <c r="M547" s="1"/>
      <c r="N547" s="1"/>
      <c r="O547" s="1"/>
      <c r="P547" s="1"/>
      <c r="Q547" s="1"/>
      <c r="R547" s="1"/>
      <c r="S547" s="1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</row>
    <row r="548" spans="1:32" ht="58.5" customHeight="1" x14ac:dyDescent="0.25">
      <c r="A548" s="56"/>
      <c r="B548" s="56"/>
      <c r="C548" s="56"/>
      <c r="D548" s="56"/>
      <c r="E548" s="57"/>
      <c r="F548" s="58"/>
      <c r="G548" s="56"/>
      <c r="H548" s="56"/>
      <c r="I548" s="59"/>
      <c r="J548" s="56"/>
      <c r="K548" s="56"/>
      <c r="L548" s="56"/>
      <c r="M548" s="1"/>
      <c r="N548" s="1"/>
      <c r="O548" s="1"/>
      <c r="P548" s="1"/>
      <c r="Q548" s="1"/>
      <c r="R548" s="1"/>
      <c r="S548" s="1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</row>
    <row r="549" spans="1:32" ht="58.5" customHeight="1" x14ac:dyDescent="0.25">
      <c r="A549" s="56"/>
      <c r="B549" s="56"/>
      <c r="C549" s="56"/>
      <c r="D549" s="56"/>
      <c r="E549" s="57"/>
      <c r="F549" s="58"/>
      <c r="G549" s="56"/>
      <c r="H549" s="56"/>
      <c r="I549" s="59"/>
      <c r="J549" s="56"/>
      <c r="K549" s="56"/>
      <c r="L549" s="56"/>
      <c r="M549" s="1"/>
      <c r="N549" s="1"/>
      <c r="O549" s="1"/>
      <c r="P549" s="1"/>
      <c r="Q549" s="1"/>
      <c r="R549" s="1"/>
      <c r="S549" s="1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</row>
    <row r="550" spans="1:32" ht="58.5" customHeight="1" x14ac:dyDescent="0.25">
      <c r="A550" s="56"/>
      <c r="B550" s="56"/>
      <c r="C550" s="56"/>
      <c r="D550" s="56"/>
      <c r="E550" s="57"/>
      <c r="F550" s="58"/>
      <c r="G550" s="56"/>
      <c r="H550" s="56"/>
      <c r="I550" s="59"/>
      <c r="J550" s="56"/>
      <c r="K550" s="56"/>
      <c r="L550" s="56"/>
      <c r="M550" s="1"/>
      <c r="N550" s="1"/>
      <c r="O550" s="1"/>
      <c r="P550" s="1"/>
      <c r="Q550" s="1"/>
      <c r="R550" s="1"/>
      <c r="S550" s="1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</row>
    <row r="551" spans="1:32" ht="58.5" customHeight="1" x14ac:dyDescent="0.25">
      <c r="A551" s="56"/>
      <c r="B551" s="56"/>
      <c r="C551" s="56"/>
      <c r="D551" s="56"/>
      <c r="E551" s="57"/>
      <c r="F551" s="58"/>
      <c r="G551" s="56"/>
      <c r="H551" s="56"/>
      <c r="I551" s="59"/>
      <c r="J551" s="56"/>
      <c r="K551" s="56"/>
      <c r="L551" s="56"/>
      <c r="M551" s="1"/>
      <c r="N551" s="1"/>
      <c r="O551" s="1"/>
      <c r="P551" s="1"/>
      <c r="Q551" s="1"/>
      <c r="R551" s="1"/>
      <c r="S551" s="1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</row>
    <row r="552" spans="1:32" ht="58.5" customHeight="1" x14ac:dyDescent="0.25">
      <c r="A552" s="56"/>
      <c r="B552" s="56"/>
      <c r="C552" s="56"/>
      <c r="D552" s="56"/>
      <c r="E552" s="57"/>
      <c r="F552" s="58"/>
      <c r="G552" s="56"/>
      <c r="H552" s="56"/>
      <c r="I552" s="59"/>
      <c r="J552" s="56"/>
      <c r="K552" s="56"/>
      <c r="L552" s="56"/>
      <c r="M552" s="1"/>
      <c r="N552" s="1"/>
      <c r="O552" s="1"/>
      <c r="P552" s="1"/>
      <c r="Q552" s="1"/>
      <c r="R552" s="1"/>
      <c r="S552" s="1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</row>
    <row r="553" spans="1:32" ht="58.5" customHeight="1" x14ac:dyDescent="0.25">
      <c r="A553" s="56"/>
      <c r="B553" s="56"/>
      <c r="C553" s="56"/>
      <c r="D553" s="56"/>
      <c r="E553" s="57"/>
      <c r="F553" s="58"/>
      <c r="G553" s="56"/>
      <c r="H553" s="56"/>
      <c r="I553" s="59"/>
      <c r="J553" s="56"/>
      <c r="K553" s="56"/>
      <c r="L553" s="56"/>
      <c r="M553" s="1"/>
      <c r="N553" s="1"/>
      <c r="O553" s="1"/>
      <c r="P553" s="1"/>
      <c r="Q553" s="1"/>
      <c r="R553" s="1"/>
      <c r="S553" s="1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</row>
    <row r="554" spans="1:32" ht="58.5" customHeight="1" x14ac:dyDescent="0.25">
      <c r="A554" s="56"/>
      <c r="B554" s="56"/>
      <c r="C554" s="56"/>
      <c r="D554" s="56"/>
      <c r="E554" s="57"/>
      <c r="F554" s="58"/>
      <c r="G554" s="56"/>
      <c r="H554" s="56"/>
      <c r="I554" s="59"/>
      <c r="J554" s="56"/>
      <c r="K554" s="56"/>
      <c r="L554" s="56"/>
      <c r="M554" s="1"/>
      <c r="N554" s="1"/>
      <c r="O554" s="1"/>
      <c r="P554" s="1"/>
      <c r="Q554" s="1"/>
      <c r="R554" s="1"/>
      <c r="S554" s="1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</row>
    <row r="555" spans="1:32" ht="58.5" customHeight="1" x14ac:dyDescent="0.25">
      <c r="A555" s="56"/>
      <c r="B555" s="56"/>
      <c r="C555" s="56"/>
      <c r="D555" s="56"/>
      <c r="E555" s="57"/>
      <c r="F555" s="58"/>
      <c r="G555" s="56"/>
      <c r="H555" s="56"/>
      <c r="I555" s="59"/>
      <c r="J555" s="56"/>
      <c r="K555" s="56"/>
      <c r="L555" s="56"/>
      <c r="M555" s="1"/>
      <c r="N555" s="1"/>
      <c r="O555" s="1"/>
      <c r="P555" s="1"/>
      <c r="Q555" s="1"/>
      <c r="R555" s="1"/>
      <c r="S555" s="1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</row>
    <row r="556" spans="1:32" ht="58.5" customHeight="1" x14ac:dyDescent="0.25">
      <c r="A556" s="56"/>
      <c r="B556" s="56"/>
      <c r="C556" s="56"/>
      <c r="D556" s="56"/>
      <c r="E556" s="57"/>
      <c r="F556" s="58"/>
      <c r="G556" s="56"/>
      <c r="H556" s="56"/>
      <c r="I556" s="59"/>
      <c r="J556" s="56"/>
      <c r="K556" s="56"/>
      <c r="L556" s="56"/>
      <c r="M556" s="1"/>
      <c r="N556" s="1"/>
      <c r="O556" s="1"/>
      <c r="P556" s="1"/>
      <c r="Q556" s="1"/>
      <c r="R556" s="1"/>
      <c r="S556" s="1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</row>
    <row r="557" spans="1:32" ht="58.5" customHeight="1" x14ac:dyDescent="0.25">
      <c r="A557" s="56"/>
      <c r="B557" s="56"/>
      <c r="C557" s="56"/>
      <c r="D557" s="56"/>
      <c r="E557" s="57"/>
      <c r="F557" s="58"/>
      <c r="G557" s="56"/>
      <c r="H557" s="56"/>
      <c r="I557" s="59"/>
      <c r="J557" s="56"/>
      <c r="K557" s="56"/>
      <c r="L557" s="56"/>
      <c r="M557" s="1"/>
      <c r="N557" s="1"/>
      <c r="O557" s="1"/>
      <c r="P557" s="1"/>
      <c r="Q557" s="1"/>
      <c r="R557" s="1"/>
      <c r="S557" s="1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</row>
    <row r="558" spans="1:32" ht="58.5" customHeight="1" x14ac:dyDescent="0.25">
      <c r="A558" s="56"/>
      <c r="B558" s="56"/>
      <c r="C558" s="56"/>
      <c r="D558" s="56"/>
      <c r="E558" s="57"/>
      <c r="F558" s="58"/>
      <c r="G558" s="56"/>
      <c r="H558" s="56"/>
      <c r="I558" s="59"/>
      <c r="J558" s="56"/>
      <c r="K558" s="56"/>
      <c r="L558" s="56"/>
      <c r="M558" s="1"/>
      <c r="N558" s="1"/>
      <c r="O558" s="1"/>
      <c r="P558" s="1"/>
      <c r="Q558" s="1"/>
      <c r="R558" s="1"/>
      <c r="S558" s="1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</row>
    <row r="559" spans="1:32" ht="58.5" customHeight="1" x14ac:dyDescent="0.25">
      <c r="A559" s="56"/>
      <c r="B559" s="56"/>
      <c r="C559" s="56"/>
      <c r="D559" s="56"/>
      <c r="E559" s="57"/>
      <c r="F559" s="58"/>
      <c r="G559" s="56"/>
      <c r="H559" s="56"/>
      <c r="I559" s="59"/>
      <c r="J559" s="56"/>
      <c r="K559" s="56"/>
      <c r="L559" s="56"/>
      <c r="M559" s="1"/>
      <c r="N559" s="1"/>
      <c r="O559" s="1"/>
      <c r="P559" s="1"/>
      <c r="Q559" s="1"/>
      <c r="R559" s="1"/>
      <c r="S559" s="1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</row>
    <row r="560" spans="1:32" ht="58.5" customHeight="1" x14ac:dyDescent="0.25">
      <c r="A560" s="56"/>
      <c r="B560" s="56"/>
      <c r="C560" s="56"/>
      <c r="D560" s="56"/>
      <c r="E560" s="57"/>
      <c r="F560" s="58"/>
      <c r="G560" s="56"/>
      <c r="H560" s="56"/>
      <c r="I560" s="59"/>
      <c r="J560" s="56"/>
      <c r="K560" s="56"/>
      <c r="L560" s="56"/>
      <c r="M560" s="1"/>
      <c r="N560" s="1"/>
      <c r="O560" s="1"/>
      <c r="P560" s="1"/>
      <c r="Q560" s="1"/>
      <c r="R560" s="1"/>
      <c r="S560" s="1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</row>
    <row r="561" spans="1:32" ht="58.5" customHeight="1" x14ac:dyDescent="0.25">
      <c r="A561" s="56"/>
      <c r="B561" s="56"/>
      <c r="C561" s="56"/>
      <c r="D561" s="56"/>
      <c r="E561" s="57"/>
      <c r="F561" s="58"/>
      <c r="G561" s="56"/>
      <c r="H561" s="56"/>
      <c r="I561" s="59"/>
      <c r="J561" s="56"/>
      <c r="K561" s="56"/>
      <c r="L561" s="56"/>
      <c r="M561" s="1"/>
      <c r="N561" s="1"/>
      <c r="O561" s="1"/>
      <c r="P561" s="1"/>
      <c r="Q561" s="1"/>
      <c r="R561" s="1"/>
      <c r="S561" s="1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</row>
    <row r="562" spans="1:32" ht="58.5" customHeight="1" x14ac:dyDescent="0.25">
      <c r="A562" s="56"/>
      <c r="B562" s="56"/>
      <c r="C562" s="56"/>
      <c r="D562" s="56"/>
      <c r="E562" s="57"/>
      <c r="F562" s="58"/>
      <c r="G562" s="56"/>
      <c r="H562" s="56"/>
      <c r="I562" s="59"/>
      <c r="J562" s="56"/>
      <c r="K562" s="56"/>
      <c r="L562" s="56"/>
      <c r="M562" s="1"/>
      <c r="N562" s="1"/>
      <c r="O562" s="1"/>
      <c r="P562" s="1"/>
      <c r="Q562" s="1"/>
      <c r="R562" s="1"/>
      <c r="S562" s="1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</row>
    <row r="563" spans="1:32" ht="58.5" customHeight="1" x14ac:dyDescent="0.25">
      <c r="A563" s="56"/>
      <c r="B563" s="56"/>
      <c r="C563" s="56"/>
      <c r="D563" s="56"/>
      <c r="E563" s="57"/>
      <c r="F563" s="58"/>
      <c r="G563" s="56"/>
      <c r="H563" s="56"/>
      <c r="I563" s="59"/>
      <c r="J563" s="56"/>
      <c r="K563" s="56"/>
      <c r="L563" s="56"/>
      <c r="M563" s="1"/>
      <c r="N563" s="1"/>
      <c r="O563" s="1"/>
      <c r="P563" s="1"/>
      <c r="Q563" s="1"/>
      <c r="R563" s="1"/>
      <c r="S563" s="1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</row>
    <row r="564" spans="1:32" ht="58.5" customHeight="1" x14ac:dyDescent="0.25">
      <c r="A564" s="56"/>
      <c r="B564" s="56"/>
      <c r="C564" s="56"/>
      <c r="D564" s="56"/>
      <c r="E564" s="57"/>
      <c r="F564" s="58"/>
      <c r="G564" s="56"/>
      <c r="H564" s="56"/>
      <c r="I564" s="59"/>
      <c r="J564" s="56"/>
      <c r="K564" s="56"/>
      <c r="L564" s="56"/>
      <c r="M564" s="1"/>
      <c r="N564" s="1"/>
      <c r="O564" s="1"/>
      <c r="P564" s="1"/>
      <c r="Q564" s="1"/>
      <c r="R564" s="1"/>
      <c r="S564" s="1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</row>
    <row r="565" spans="1:32" ht="58.5" customHeight="1" x14ac:dyDescent="0.25">
      <c r="A565" s="56"/>
      <c r="B565" s="56"/>
      <c r="C565" s="56"/>
      <c r="D565" s="56"/>
      <c r="E565" s="57"/>
      <c r="F565" s="58"/>
      <c r="G565" s="56"/>
      <c r="H565" s="56"/>
      <c r="I565" s="59"/>
      <c r="J565" s="56"/>
      <c r="K565" s="56"/>
      <c r="L565" s="56"/>
      <c r="M565" s="1"/>
      <c r="N565" s="1"/>
      <c r="O565" s="1"/>
      <c r="P565" s="1"/>
      <c r="Q565" s="1"/>
      <c r="R565" s="1"/>
      <c r="S565" s="1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</row>
    <row r="566" spans="1:32" ht="58.5" customHeight="1" x14ac:dyDescent="0.25">
      <c r="A566" s="56"/>
      <c r="B566" s="56"/>
      <c r="C566" s="56"/>
      <c r="D566" s="56"/>
      <c r="E566" s="57"/>
      <c r="F566" s="58"/>
      <c r="G566" s="56"/>
      <c r="H566" s="56"/>
      <c r="I566" s="59"/>
      <c r="J566" s="56"/>
      <c r="K566" s="56"/>
      <c r="L566" s="56"/>
      <c r="M566" s="1"/>
      <c r="N566" s="1"/>
      <c r="O566" s="1"/>
      <c r="P566" s="1"/>
      <c r="Q566" s="1"/>
      <c r="R566" s="1"/>
      <c r="S566" s="1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</row>
    <row r="567" spans="1:32" ht="58.5" customHeight="1" x14ac:dyDescent="0.25">
      <c r="A567" s="56"/>
      <c r="B567" s="56"/>
      <c r="C567" s="56"/>
      <c r="D567" s="56"/>
      <c r="E567" s="57"/>
      <c r="F567" s="58"/>
      <c r="G567" s="56"/>
      <c r="H567" s="56"/>
      <c r="I567" s="59"/>
      <c r="J567" s="56"/>
      <c r="K567" s="56"/>
      <c r="L567" s="56"/>
      <c r="M567" s="1"/>
      <c r="N567" s="1"/>
      <c r="O567" s="1"/>
      <c r="P567" s="1"/>
      <c r="Q567" s="1"/>
      <c r="R567" s="1"/>
      <c r="S567" s="1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</row>
    <row r="568" spans="1:32" ht="58.5" customHeight="1" x14ac:dyDescent="0.25">
      <c r="A568" s="56"/>
      <c r="B568" s="56"/>
      <c r="C568" s="56"/>
      <c r="D568" s="56"/>
      <c r="E568" s="57"/>
      <c r="F568" s="58"/>
      <c r="G568" s="56"/>
      <c r="H568" s="56"/>
      <c r="I568" s="59"/>
      <c r="J568" s="56"/>
      <c r="K568" s="56"/>
      <c r="L568" s="56"/>
      <c r="M568" s="1"/>
      <c r="N568" s="1"/>
      <c r="O568" s="1"/>
      <c r="P568" s="1"/>
      <c r="Q568" s="1"/>
      <c r="R568" s="1"/>
      <c r="S568" s="1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</row>
    <row r="569" spans="1:32" ht="58.5" customHeight="1" x14ac:dyDescent="0.25">
      <c r="A569" s="56"/>
      <c r="B569" s="56"/>
      <c r="C569" s="56"/>
      <c r="D569" s="56"/>
      <c r="E569" s="57"/>
      <c r="F569" s="58"/>
      <c r="G569" s="56"/>
      <c r="H569" s="56"/>
      <c r="I569" s="59"/>
      <c r="J569" s="56"/>
      <c r="K569" s="56"/>
      <c r="L569" s="56"/>
      <c r="M569" s="1"/>
      <c r="N569" s="1"/>
      <c r="O569" s="1"/>
      <c r="P569" s="1"/>
      <c r="Q569" s="1"/>
      <c r="R569" s="1"/>
      <c r="S569" s="1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</row>
    <row r="570" spans="1:32" ht="58.5" customHeight="1" x14ac:dyDescent="0.25">
      <c r="A570" s="56"/>
      <c r="B570" s="56"/>
      <c r="C570" s="56"/>
      <c r="D570" s="56"/>
      <c r="E570" s="57"/>
      <c r="F570" s="58"/>
      <c r="G570" s="56"/>
      <c r="H570" s="56"/>
      <c r="I570" s="59"/>
      <c r="J570" s="56"/>
      <c r="K570" s="56"/>
      <c r="L570" s="56"/>
      <c r="M570" s="1"/>
      <c r="N570" s="1"/>
      <c r="O570" s="1"/>
      <c r="P570" s="1"/>
      <c r="Q570" s="1"/>
      <c r="R570" s="1"/>
      <c r="S570" s="1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</row>
    <row r="571" spans="1:32" ht="58.5" customHeight="1" x14ac:dyDescent="0.25">
      <c r="A571" s="56"/>
      <c r="B571" s="56"/>
      <c r="C571" s="56"/>
      <c r="D571" s="56"/>
      <c r="E571" s="57"/>
      <c r="F571" s="58"/>
      <c r="G571" s="56"/>
      <c r="H571" s="56"/>
      <c r="I571" s="59"/>
      <c r="J571" s="56"/>
      <c r="K571" s="56"/>
      <c r="L571" s="56"/>
      <c r="M571" s="1"/>
      <c r="N571" s="1"/>
      <c r="O571" s="1"/>
      <c r="P571" s="1"/>
      <c r="Q571" s="1"/>
      <c r="R571" s="1"/>
      <c r="S571" s="1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</row>
    <row r="572" spans="1:32" ht="58.5" customHeight="1" x14ac:dyDescent="0.25">
      <c r="A572" s="56"/>
      <c r="B572" s="56"/>
      <c r="C572" s="56"/>
      <c r="D572" s="56"/>
      <c r="E572" s="57"/>
      <c r="F572" s="58"/>
      <c r="G572" s="56"/>
      <c r="H572" s="56"/>
      <c r="I572" s="59"/>
      <c r="J572" s="56"/>
      <c r="K572" s="56"/>
      <c r="L572" s="56"/>
      <c r="M572" s="1"/>
      <c r="N572" s="1"/>
      <c r="O572" s="1"/>
      <c r="P572" s="1"/>
      <c r="Q572" s="1"/>
      <c r="R572" s="1"/>
      <c r="S572" s="1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</row>
    <row r="573" spans="1:32" ht="58.5" customHeight="1" x14ac:dyDescent="0.25">
      <c r="A573" s="56"/>
      <c r="B573" s="56"/>
      <c r="C573" s="56"/>
      <c r="D573" s="56"/>
      <c r="E573" s="57"/>
      <c r="F573" s="58"/>
      <c r="G573" s="56"/>
      <c r="H573" s="56"/>
      <c r="I573" s="59"/>
      <c r="J573" s="56"/>
      <c r="K573" s="56"/>
      <c r="L573" s="56"/>
      <c r="M573" s="1"/>
      <c r="N573" s="1"/>
      <c r="O573" s="1"/>
      <c r="P573" s="1"/>
      <c r="Q573" s="1"/>
      <c r="R573" s="1"/>
      <c r="S573" s="1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</row>
    <row r="574" spans="1:32" ht="58.5" customHeight="1" x14ac:dyDescent="0.25">
      <c r="A574" s="56"/>
      <c r="B574" s="56"/>
      <c r="C574" s="56"/>
      <c r="D574" s="56"/>
      <c r="E574" s="57"/>
      <c r="F574" s="58"/>
      <c r="G574" s="56"/>
      <c r="H574" s="56"/>
      <c r="I574" s="59"/>
      <c r="J574" s="56"/>
      <c r="K574" s="56"/>
      <c r="L574" s="56"/>
      <c r="M574" s="1"/>
      <c r="N574" s="1"/>
      <c r="O574" s="1"/>
      <c r="P574" s="1"/>
      <c r="Q574" s="1"/>
      <c r="R574" s="1"/>
      <c r="S574" s="1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</row>
    <row r="575" spans="1:32" ht="58.5" customHeight="1" x14ac:dyDescent="0.25">
      <c r="A575" s="56"/>
      <c r="B575" s="56"/>
      <c r="C575" s="56"/>
      <c r="D575" s="56"/>
      <c r="E575" s="57"/>
      <c r="F575" s="58"/>
      <c r="G575" s="56"/>
      <c r="H575" s="56"/>
      <c r="I575" s="59"/>
      <c r="J575" s="56"/>
      <c r="K575" s="56"/>
      <c r="L575" s="56"/>
      <c r="M575" s="1"/>
      <c r="N575" s="1"/>
      <c r="O575" s="1"/>
      <c r="P575" s="1"/>
      <c r="Q575" s="1"/>
      <c r="R575" s="1"/>
      <c r="S575" s="1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</row>
    <row r="576" spans="1:32" ht="58.5" customHeight="1" x14ac:dyDescent="0.25">
      <c r="A576" s="56"/>
      <c r="B576" s="56"/>
      <c r="C576" s="56"/>
      <c r="D576" s="56"/>
      <c r="E576" s="57"/>
      <c r="F576" s="58"/>
      <c r="G576" s="56"/>
      <c r="H576" s="56"/>
      <c r="I576" s="59"/>
      <c r="J576" s="56"/>
      <c r="K576" s="56"/>
      <c r="L576" s="56"/>
      <c r="M576" s="1"/>
      <c r="N576" s="1"/>
      <c r="O576" s="1"/>
      <c r="P576" s="1"/>
      <c r="Q576" s="1"/>
      <c r="R576" s="1"/>
      <c r="S576" s="1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</row>
    <row r="577" spans="1:32" ht="58.5" customHeight="1" x14ac:dyDescent="0.25">
      <c r="A577" s="56"/>
      <c r="B577" s="56"/>
      <c r="C577" s="56"/>
      <c r="D577" s="56"/>
      <c r="E577" s="57"/>
      <c r="F577" s="58"/>
      <c r="G577" s="56"/>
      <c r="H577" s="56"/>
      <c r="I577" s="59"/>
      <c r="J577" s="56"/>
      <c r="K577" s="56"/>
      <c r="L577" s="56"/>
      <c r="M577" s="1"/>
      <c r="N577" s="1"/>
      <c r="O577" s="1"/>
      <c r="P577" s="1"/>
      <c r="Q577" s="1"/>
      <c r="R577" s="1"/>
      <c r="S577" s="1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</row>
    <row r="578" spans="1:32" ht="58.5" customHeight="1" x14ac:dyDescent="0.25">
      <c r="A578" s="56"/>
      <c r="B578" s="56"/>
      <c r="C578" s="56"/>
      <c r="D578" s="56"/>
      <c r="E578" s="57"/>
      <c r="F578" s="58"/>
      <c r="G578" s="56"/>
      <c r="H578" s="56"/>
      <c r="I578" s="59"/>
      <c r="J578" s="56"/>
      <c r="K578" s="56"/>
      <c r="L578" s="56"/>
      <c r="M578" s="1"/>
      <c r="N578" s="1"/>
      <c r="O578" s="1"/>
      <c r="P578" s="1"/>
      <c r="Q578" s="1"/>
      <c r="R578" s="1"/>
      <c r="S578" s="1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</row>
    <row r="579" spans="1:32" ht="58.5" customHeight="1" x14ac:dyDescent="0.25">
      <c r="A579" s="56"/>
      <c r="B579" s="56"/>
      <c r="C579" s="56"/>
      <c r="D579" s="56"/>
      <c r="E579" s="57"/>
      <c r="F579" s="58"/>
      <c r="G579" s="56"/>
      <c r="H579" s="56"/>
      <c r="I579" s="59"/>
      <c r="J579" s="56"/>
      <c r="K579" s="56"/>
      <c r="L579" s="56"/>
      <c r="M579" s="1"/>
      <c r="N579" s="1"/>
      <c r="O579" s="1"/>
      <c r="P579" s="1"/>
      <c r="Q579" s="1"/>
      <c r="R579" s="1"/>
      <c r="S579" s="1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</row>
    <row r="580" spans="1:32" ht="58.5" customHeight="1" x14ac:dyDescent="0.25">
      <c r="A580" s="56"/>
      <c r="B580" s="56"/>
      <c r="C580" s="56"/>
      <c r="D580" s="56"/>
      <c r="E580" s="57"/>
      <c r="F580" s="58"/>
      <c r="G580" s="56"/>
      <c r="H580" s="56"/>
      <c r="I580" s="59"/>
      <c r="J580" s="56"/>
      <c r="K580" s="56"/>
      <c r="L580" s="56"/>
      <c r="M580" s="1"/>
      <c r="N580" s="1"/>
      <c r="O580" s="1"/>
      <c r="P580" s="1"/>
      <c r="Q580" s="1"/>
      <c r="R580" s="1"/>
      <c r="S580" s="1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</row>
    <row r="581" spans="1:32" ht="58.5" customHeight="1" x14ac:dyDescent="0.25">
      <c r="A581" s="56"/>
      <c r="B581" s="56"/>
      <c r="C581" s="56"/>
      <c r="D581" s="56"/>
      <c r="E581" s="57"/>
      <c r="F581" s="58"/>
      <c r="G581" s="56"/>
      <c r="H581" s="56"/>
      <c r="I581" s="59"/>
      <c r="J581" s="56"/>
      <c r="K581" s="56"/>
      <c r="L581" s="56"/>
      <c r="M581" s="1"/>
      <c r="N581" s="1"/>
      <c r="O581" s="1"/>
      <c r="P581" s="1"/>
      <c r="Q581" s="1"/>
      <c r="R581" s="1"/>
      <c r="S581" s="1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</row>
    <row r="582" spans="1:32" ht="58.5" customHeight="1" x14ac:dyDescent="0.25">
      <c r="A582" s="56"/>
      <c r="B582" s="56"/>
      <c r="C582" s="56"/>
      <c r="D582" s="56"/>
      <c r="E582" s="57"/>
      <c r="F582" s="58"/>
      <c r="G582" s="56"/>
      <c r="H582" s="56"/>
      <c r="I582" s="59"/>
      <c r="J582" s="56"/>
      <c r="K582" s="56"/>
      <c r="L582" s="56"/>
      <c r="M582" s="1"/>
      <c r="N582" s="1"/>
      <c r="O582" s="1"/>
      <c r="P582" s="1"/>
      <c r="Q582" s="1"/>
      <c r="R582" s="1"/>
      <c r="S582" s="1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</row>
    <row r="583" spans="1:32" ht="58.5" customHeight="1" x14ac:dyDescent="0.25">
      <c r="A583" s="56"/>
      <c r="B583" s="56"/>
      <c r="C583" s="56"/>
      <c r="D583" s="56"/>
      <c r="E583" s="57"/>
      <c r="F583" s="58"/>
      <c r="G583" s="56"/>
      <c r="H583" s="56"/>
      <c r="I583" s="59"/>
      <c r="J583" s="56"/>
      <c r="K583" s="56"/>
      <c r="L583" s="56"/>
      <c r="M583" s="1"/>
      <c r="N583" s="1"/>
      <c r="O583" s="1"/>
      <c r="P583" s="1"/>
      <c r="Q583" s="1"/>
      <c r="R583" s="1"/>
      <c r="S583" s="1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</row>
    <row r="584" spans="1:32" ht="58.5" customHeight="1" x14ac:dyDescent="0.25">
      <c r="A584" s="56"/>
      <c r="B584" s="56"/>
      <c r="C584" s="56"/>
      <c r="D584" s="56"/>
      <c r="E584" s="57"/>
      <c r="F584" s="58"/>
      <c r="G584" s="56"/>
      <c r="H584" s="56"/>
      <c r="I584" s="59"/>
      <c r="J584" s="56"/>
      <c r="K584" s="56"/>
      <c r="L584" s="56"/>
      <c r="M584" s="1"/>
      <c r="N584" s="1"/>
      <c r="O584" s="1"/>
      <c r="P584" s="1"/>
      <c r="Q584" s="1"/>
      <c r="R584" s="1"/>
      <c r="S584" s="1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</row>
    <row r="585" spans="1:32" ht="58.5" customHeight="1" x14ac:dyDescent="0.25">
      <c r="A585" s="56"/>
      <c r="B585" s="56"/>
      <c r="C585" s="56"/>
      <c r="D585" s="56"/>
      <c r="E585" s="57"/>
      <c r="F585" s="58"/>
      <c r="G585" s="56"/>
      <c r="H585" s="56"/>
      <c r="I585" s="59"/>
      <c r="J585" s="56"/>
      <c r="K585" s="56"/>
      <c r="L585" s="56"/>
      <c r="M585" s="1"/>
      <c r="N585" s="1"/>
      <c r="O585" s="1"/>
      <c r="P585" s="1"/>
      <c r="Q585" s="1"/>
      <c r="R585" s="1"/>
      <c r="S585" s="1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</row>
    <row r="586" spans="1:32" ht="58.5" customHeight="1" x14ac:dyDescent="0.25">
      <c r="A586" s="56"/>
      <c r="B586" s="56"/>
      <c r="C586" s="56"/>
      <c r="D586" s="56"/>
      <c r="E586" s="57"/>
      <c r="F586" s="58"/>
      <c r="G586" s="56"/>
      <c r="H586" s="56"/>
      <c r="I586" s="59"/>
      <c r="J586" s="56"/>
      <c r="K586" s="56"/>
      <c r="L586" s="56"/>
      <c r="M586" s="1"/>
      <c r="N586" s="1"/>
      <c r="O586" s="1"/>
      <c r="P586" s="1"/>
      <c r="Q586" s="1"/>
      <c r="R586" s="1"/>
      <c r="S586" s="1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</row>
    <row r="587" spans="1:32" ht="58.5" customHeight="1" x14ac:dyDescent="0.25">
      <c r="A587" s="56"/>
      <c r="B587" s="56"/>
      <c r="C587" s="56"/>
      <c r="D587" s="56"/>
      <c r="E587" s="57"/>
      <c r="F587" s="58"/>
      <c r="G587" s="56"/>
      <c r="H587" s="56"/>
      <c r="I587" s="59"/>
      <c r="J587" s="56"/>
      <c r="K587" s="56"/>
      <c r="L587" s="56"/>
      <c r="M587" s="1"/>
      <c r="N587" s="1"/>
      <c r="O587" s="1"/>
      <c r="P587" s="1"/>
      <c r="Q587" s="1"/>
      <c r="R587" s="1"/>
      <c r="S587" s="1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</row>
    <row r="588" spans="1:32" ht="58.5" customHeight="1" x14ac:dyDescent="0.25">
      <c r="A588" s="56"/>
      <c r="B588" s="56"/>
      <c r="C588" s="56"/>
      <c r="D588" s="56"/>
      <c r="E588" s="57"/>
      <c r="F588" s="58"/>
      <c r="G588" s="56"/>
      <c r="H588" s="56"/>
      <c r="I588" s="59"/>
      <c r="J588" s="56"/>
      <c r="K588" s="56"/>
      <c r="L588" s="56"/>
      <c r="M588" s="1"/>
      <c r="N588" s="1"/>
      <c r="O588" s="1"/>
      <c r="P588" s="1"/>
      <c r="Q588" s="1"/>
      <c r="R588" s="1"/>
      <c r="S588" s="1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</row>
    <row r="589" spans="1:32" ht="58.5" customHeight="1" x14ac:dyDescent="0.25">
      <c r="A589" s="56"/>
      <c r="B589" s="56"/>
      <c r="C589" s="56"/>
      <c r="D589" s="56"/>
      <c r="E589" s="57"/>
      <c r="F589" s="58"/>
      <c r="G589" s="56"/>
      <c r="H589" s="56"/>
      <c r="I589" s="59"/>
      <c r="J589" s="56"/>
      <c r="K589" s="56"/>
      <c r="L589" s="56"/>
      <c r="M589" s="1"/>
      <c r="N589" s="1"/>
      <c r="O589" s="1"/>
      <c r="P589" s="1"/>
      <c r="Q589" s="1"/>
      <c r="R589" s="1"/>
      <c r="S589" s="1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</row>
    <row r="590" spans="1:32" ht="58.5" customHeight="1" x14ac:dyDescent="0.25">
      <c r="A590" s="56"/>
      <c r="B590" s="56"/>
      <c r="C590" s="56"/>
      <c r="D590" s="56"/>
      <c r="E590" s="57"/>
      <c r="F590" s="58"/>
      <c r="G590" s="56"/>
      <c r="H590" s="56"/>
      <c r="I590" s="59"/>
      <c r="J590" s="56"/>
      <c r="K590" s="56"/>
      <c r="L590" s="56"/>
      <c r="M590" s="1"/>
      <c r="N590" s="1"/>
      <c r="O590" s="1"/>
      <c r="P590" s="1"/>
      <c r="Q590" s="1"/>
      <c r="R590" s="1"/>
      <c r="S590" s="1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</row>
    <row r="591" spans="1:32" ht="58.5" customHeight="1" x14ac:dyDescent="0.25">
      <c r="A591" s="56"/>
      <c r="B591" s="56"/>
      <c r="C591" s="56"/>
      <c r="D591" s="56"/>
      <c r="E591" s="57"/>
      <c r="F591" s="58"/>
      <c r="G591" s="56"/>
      <c r="H591" s="56"/>
      <c r="I591" s="59"/>
      <c r="J591" s="56"/>
      <c r="K591" s="56"/>
      <c r="L591" s="56"/>
      <c r="M591" s="1"/>
      <c r="N591" s="1"/>
      <c r="O591" s="1"/>
      <c r="P591" s="1"/>
      <c r="Q591" s="1"/>
      <c r="R591" s="1"/>
      <c r="S591" s="1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</row>
    <row r="592" spans="1:32" ht="58.5" customHeight="1" x14ac:dyDescent="0.25">
      <c r="A592" s="56"/>
      <c r="B592" s="56"/>
      <c r="C592" s="56"/>
      <c r="D592" s="56"/>
      <c r="E592" s="57"/>
      <c r="F592" s="58"/>
      <c r="G592" s="56"/>
      <c r="H592" s="56"/>
      <c r="I592" s="59"/>
      <c r="J592" s="56"/>
      <c r="K592" s="56"/>
      <c r="L592" s="56"/>
      <c r="M592" s="1"/>
      <c r="N592" s="1"/>
      <c r="O592" s="1"/>
      <c r="P592" s="1"/>
      <c r="Q592" s="1"/>
      <c r="R592" s="1"/>
      <c r="S592" s="1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</row>
    <row r="593" spans="1:32" ht="58.5" customHeight="1" x14ac:dyDescent="0.25">
      <c r="A593" s="56"/>
      <c r="B593" s="56"/>
      <c r="C593" s="56"/>
      <c r="D593" s="56"/>
      <c r="E593" s="57"/>
      <c r="F593" s="58"/>
      <c r="G593" s="56"/>
      <c r="H593" s="56"/>
      <c r="I593" s="59"/>
      <c r="J593" s="56"/>
      <c r="K593" s="56"/>
      <c r="L593" s="56"/>
      <c r="M593" s="1"/>
      <c r="N593" s="1"/>
      <c r="O593" s="1"/>
      <c r="P593" s="1"/>
      <c r="Q593" s="1"/>
      <c r="R593" s="1"/>
      <c r="S593" s="1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</row>
    <row r="594" spans="1:32" ht="58.5" customHeight="1" x14ac:dyDescent="0.25">
      <c r="A594" s="56"/>
      <c r="B594" s="56"/>
      <c r="C594" s="56"/>
      <c r="D594" s="56"/>
      <c r="E594" s="57"/>
      <c r="F594" s="58"/>
      <c r="G594" s="56"/>
      <c r="H594" s="56"/>
      <c r="I594" s="59"/>
      <c r="J594" s="56"/>
      <c r="K594" s="56"/>
      <c r="L594" s="56"/>
      <c r="M594" s="1"/>
      <c r="N594" s="1"/>
      <c r="O594" s="1"/>
      <c r="P594" s="1"/>
      <c r="Q594" s="1"/>
      <c r="R594" s="1"/>
      <c r="S594" s="1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</row>
    <row r="595" spans="1:32" ht="58.5" customHeight="1" x14ac:dyDescent="0.25">
      <c r="A595" s="56"/>
      <c r="B595" s="56"/>
      <c r="C595" s="56"/>
      <c r="D595" s="56"/>
      <c r="E595" s="57"/>
      <c r="F595" s="58"/>
      <c r="G595" s="56"/>
      <c r="H595" s="56"/>
      <c r="I595" s="59"/>
      <c r="J595" s="56"/>
      <c r="K595" s="56"/>
      <c r="L595" s="56"/>
      <c r="M595" s="1"/>
      <c r="N595" s="1"/>
      <c r="O595" s="1"/>
      <c r="P595" s="1"/>
      <c r="Q595" s="1"/>
      <c r="R595" s="1"/>
      <c r="S595" s="1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</row>
    <row r="596" spans="1:32" ht="58.5" customHeight="1" x14ac:dyDescent="0.25">
      <c r="A596" s="56"/>
      <c r="B596" s="56"/>
      <c r="C596" s="56"/>
      <c r="D596" s="56"/>
      <c r="E596" s="57"/>
      <c r="F596" s="58"/>
      <c r="G596" s="56"/>
      <c r="H596" s="56"/>
      <c r="I596" s="59"/>
      <c r="J596" s="56"/>
      <c r="K596" s="56"/>
      <c r="L596" s="56"/>
      <c r="M596" s="1"/>
      <c r="N596" s="1"/>
      <c r="O596" s="1"/>
      <c r="P596" s="1"/>
      <c r="Q596" s="1"/>
      <c r="R596" s="1"/>
      <c r="S596" s="1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</row>
    <row r="597" spans="1:32" ht="58.5" customHeight="1" x14ac:dyDescent="0.25">
      <c r="A597" s="56"/>
      <c r="B597" s="56"/>
      <c r="C597" s="56"/>
      <c r="D597" s="56"/>
      <c r="E597" s="57"/>
      <c r="F597" s="58"/>
      <c r="G597" s="56"/>
      <c r="H597" s="56"/>
      <c r="I597" s="59"/>
      <c r="J597" s="56"/>
      <c r="K597" s="56"/>
      <c r="L597" s="56"/>
      <c r="M597" s="1"/>
      <c r="N597" s="1"/>
      <c r="O597" s="1"/>
      <c r="P597" s="1"/>
      <c r="Q597" s="1"/>
      <c r="R597" s="1"/>
      <c r="S597" s="1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</row>
    <row r="598" spans="1:32" ht="58.5" customHeight="1" x14ac:dyDescent="0.25">
      <c r="A598" s="56"/>
      <c r="B598" s="56"/>
      <c r="C598" s="56"/>
      <c r="D598" s="56"/>
      <c r="E598" s="57"/>
      <c r="F598" s="58"/>
      <c r="G598" s="56"/>
      <c r="H598" s="56"/>
      <c r="I598" s="59"/>
      <c r="J598" s="56"/>
      <c r="K598" s="56"/>
      <c r="L598" s="56"/>
      <c r="M598" s="1"/>
      <c r="N598" s="1"/>
      <c r="O598" s="1"/>
      <c r="P598" s="1"/>
      <c r="Q598" s="1"/>
      <c r="R598" s="1"/>
      <c r="S598" s="1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</row>
    <row r="599" spans="1:32" ht="58.5" customHeight="1" x14ac:dyDescent="0.25">
      <c r="A599" s="56"/>
      <c r="B599" s="56"/>
      <c r="C599" s="56"/>
      <c r="D599" s="56"/>
      <c r="E599" s="57"/>
      <c r="F599" s="58"/>
      <c r="G599" s="56"/>
      <c r="H599" s="56"/>
      <c r="I599" s="59"/>
      <c r="J599" s="56"/>
      <c r="K599" s="56"/>
      <c r="L599" s="56"/>
      <c r="M599" s="1"/>
      <c r="N599" s="1"/>
      <c r="O599" s="1"/>
      <c r="P599" s="1"/>
      <c r="Q599" s="1"/>
      <c r="R599" s="1"/>
      <c r="S599" s="1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</row>
    <row r="600" spans="1:32" ht="58.5" customHeight="1" x14ac:dyDescent="0.25">
      <c r="A600" s="56"/>
      <c r="B600" s="56"/>
      <c r="C600" s="56"/>
      <c r="D600" s="56"/>
      <c r="E600" s="57"/>
      <c r="F600" s="58"/>
      <c r="G600" s="56"/>
      <c r="H600" s="56"/>
      <c r="I600" s="59"/>
      <c r="J600" s="56"/>
      <c r="K600" s="56"/>
      <c r="L600" s="56"/>
      <c r="M600" s="1"/>
      <c r="N600" s="1"/>
      <c r="O600" s="1"/>
      <c r="P600" s="1"/>
      <c r="Q600" s="1"/>
      <c r="R600" s="1"/>
      <c r="S600" s="1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</row>
    <row r="601" spans="1:32" ht="58.5" customHeight="1" x14ac:dyDescent="0.25">
      <c r="A601" s="56"/>
      <c r="B601" s="56"/>
      <c r="C601" s="56"/>
      <c r="D601" s="56"/>
      <c r="E601" s="57"/>
      <c r="F601" s="58"/>
      <c r="G601" s="56"/>
      <c r="H601" s="56"/>
      <c r="I601" s="59"/>
      <c r="J601" s="56"/>
      <c r="K601" s="56"/>
      <c r="L601" s="56"/>
      <c r="M601" s="1"/>
      <c r="N601" s="1"/>
      <c r="O601" s="1"/>
      <c r="P601" s="1"/>
      <c r="Q601" s="1"/>
      <c r="R601" s="1"/>
      <c r="S601" s="1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</row>
    <row r="602" spans="1:32" ht="58.5" customHeight="1" x14ac:dyDescent="0.25">
      <c r="A602" s="56"/>
      <c r="B602" s="56"/>
      <c r="C602" s="56"/>
      <c r="D602" s="56"/>
      <c r="E602" s="57"/>
      <c r="F602" s="58"/>
      <c r="G602" s="56"/>
      <c r="H602" s="56"/>
      <c r="I602" s="59"/>
      <c r="J602" s="56"/>
      <c r="K602" s="56"/>
      <c r="L602" s="56"/>
      <c r="M602" s="1"/>
      <c r="N602" s="1"/>
      <c r="O602" s="1"/>
      <c r="P602" s="1"/>
      <c r="Q602" s="1"/>
      <c r="R602" s="1"/>
      <c r="S602" s="1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</row>
    <row r="603" spans="1:32" ht="58.5" customHeight="1" x14ac:dyDescent="0.25">
      <c r="A603" s="56"/>
      <c r="B603" s="56"/>
      <c r="C603" s="56"/>
      <c r="D603" s="56"/>
      <c r="E603" s="57"/>
      <c r="F603" s="58"/>
      <c r="G603" s="56"/>
      <c r="H603" s="56"/>
      <c r="I603" s="59"/>
      <c r="J603" s="56"/>
      <c r="K603" s="56"/>
      <c r="L603" s="56"/>
      <c r="M603" s="1"/>
      <c r="N603" s="1"/>
      <c r="O603" s="1"/>
      <c r="P603" s="1"/>
      <c r="Q603" s="1"/>
      <c r="R603" s="1"/>
      <c r="S603" s="1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</row>
    <row r="604" spans="1:32" ht="58.5" customHeight="1" x14ac:dyDescent="0.25">
      <c r="A604" s="56"/>
      <c r="B604" s="56"/>
      <c r="C604" s="56"/>
      <c r="D604" s="56"/>
      <c r="E604" s="57"/>
      <c r="F604" s="58"/>
      <c r="G604" s="56"/>
      <c r="H604" s="56"/>
      <c r="I604" s="59"/>
      <c r="J604" s="56"/>
      <c r="K604" s="56"/>
      <c r="L604" s="56"/>
      <c r="M604" s="1"/>
      <c r="N604" s="1"/>
      <c r="O604" s="1"/>
      <c r="P604" s="1"/>
      <c r="Q604" s="1"/>
      <c r="R604" s="1"/>
      <c r="S604" s="1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</row>
    <row r="605" spans="1:32" ht="58.5" customHeight="1" x14ac:dyDescent="0.25">
      <c r="A605" s="56"/>
      <c r="B605" s="56"/>
      <c r="C605" s="56"/>
      <c r="D605" s="56"/>
      <c r="E605" s="57"/>
      <c r="F605" s="58"/>
      <c r="G605" s="56"/>
      <c r="H605" s="56"/>
      <c r="I605" s="59"/>
      <c r="J605" s="56"/>
      <c r="K605" s="56"/>
      <c r="L605" s="56"/>
      <c r="M605" s="1"/>
      <c r="N605" s="1"/>
      <c r="O605" s="1"/>
      <c r="P605" s="1"/>
      <c r="Q605" s="1"/>
      <c r="R605" s="1"/>
      <c r="S605" s="1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</row>
    <row r="606" spans="1:32" ht="58.5" customHeight="1" x14ac:dyDescent="0.25">
      <c r="A606" s="56"/>
      <c r="B606" s="56"/>
      <c r="C606" s="56"/>
      <c r="D606" s="56"/>
      <c r="E606" s="57"/>
      <c r="F606" s="58"/>
      <c r="G606" s="56"/>
      <c r="H606" s="56"/>
      <c r="I606" s="59"/>
      <c r="J606" s="56"/>
      <c r="K606" s="56"/>
      <c r="L606" s="56"/>
      <c r="M606" s="1"/>
      <c r="N606" s="1"/>
      <c r="O606" s="1"/>
      <c r="P606" s="1"/>
      <c r="Q606" s="1"/>
      <c r="R606" s="1"/>
      <c r="S606" s="1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</row>
    <row r="607" spans="1:32" ht="58.5" customHeight="1" x14ac:dyDescent="0.25">
      <c r="A607" s="56"/>
      <c r="B607" s="56"/>
      <c r="C607" s="56"/>
      <c r="D607" s="56"/>
      <c r="E607" s="57"/>
      <c r="F607" s="58"/>
      <c r="G607" s="56"/>
      <c r="H607" s="56"/>
      <c r="I607" s="59"/>
      <c r="J607" s="56"/>
      <c r="K607" s="56"/>
      <c r="L607" s="56"/>
      <c r="M607" s="1"/>
      <c r="N607" s="1"/>
      <c r="O607" s="1"/>
      <c r="P607" s="1"/>
      <c r="Q607" s="1"/>
      <c r="R607" s="1"/>
      <c r="S607" s="1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</row>
    <row r="608" spans="1:32" ht="58.5" customHeight="1" x14ac:dyDescent="0.25">
      <c r="A608" s="56"/>
      <c r="B608" s="56"/>
      <c r="C608" s="56"/>
      <c r="D608" s="56"/>
      <c r="E608" s="57"/>
      <c r="F608" s="58"/>
      <c r="G608" s="56"/>
      <c r="H608" s="56"/>
      <c r="I608" s="59"/>
      <c r="J608" s="56"/>
      <c r="K608" s="56"/>
      <c r="L608" s="56"/>
      <c r="M608" s="1"/>
      <c r="N608" s="1"/>
      <c r="O608" s="1"/>
      <c r="P608" s="1"/>
      <c r="Q608" s="1"/>
      <c r="R608" s="1"/>
      <c r="S608" s="1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</row>
    <row r="609" spans="1:32" ht="58.5" customHeight="1" x14ac:dyDescent="0.25">
      <c r="A609" s="56"/>
      <c r="B609" s="56"/>
      <c r="C609" s="56"/>
      <c r="D609" s="56"/>
      <c r="E609" s="57"/>
      <c r="F609" s="58"/>
      <c r="G609" s="56"/>
      <c r="H609" s="56"/>
      <c r="I609" s="59"/>
      <c r="J609" s="56"/>
      <c r="K609" s="56"/>
      <c r="L609" s="56"/>
      <c r="M609" s="1"/>
      <c r="N609" s="1"/>
      <c r="O609" s="1"/>
      <c r="P609" s="1"/>
      <c r="Q609" s="1"/>
      <c r="R609" s="1"/>
      <c r="S609" s="1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</row>
    <row r="610" spans="1:32" ht="58.5" customHeight="1" x14ac:dyDescent="0.25">
      <c r="A610" s="56"/>
      <c r="B610" s="56"/>
      <c r="C610" s="56"/>
      <c r="D610" s="56"/>
      <c r="E610" s="57"/>
      <c r="F610" s="58"/>
      <c r="G610" s="56"/>
      <c r="H610" s="56"/>
      <c r="I610" s="59"/>
      <c r="J610" s="56"/>
      <c r="K610" s="56"/>
      <c r="L610" s="56"/>
      <c r="M610" s="1"/>
      <c r="N610" s="1"/>
      <c r="O610" s="1"/>
      <c r="P610" s="1"/>
      <c r="Q610" s="1"/>
      <c r="R610" s="1"/>
      <c r="S610" s="1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</row>
    <row r="611" spans="1:32" ht="58.5" customHeight="1" x14ac:dyDescent="0.25">
      <c r="A611" s="56"/>
      <c r="B611" s="56"/>
      <c r="C611" s="56"/>
      <c r="D611" s="56"/>
      <c r="E611" s="57"/>
      <c r="F611" s="58"/>
      <c r="G611" s="56"/>
      <c r="H611" s="56"/>
      <c r="I611" s="59"/>
      <c r="J611" s="56"/>
      <c r="K611" s="56"/>
      <c r="L611" s="56"/>
      <c r="M611" s="1"/>
      <c r="N611" s="1"/>
      <c r="O611" s="1"/>
      <c r="P611" s="1"/>
      <c r="Q611" s="1"/>
      <c r="R611" s="1"/>
      <c r="S611" s="1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</row>
    <row r="612" spans="1:32" ht="58.5" customHeight="1" x14ac:dyDescent="0.25">
      <c r="A612" s="56"/>
      <c r="B612" s="56"/>
      <c r="C612" s="56"/>
      <c r="D612" s="56"/>
      <c r="E612" s="57"/>
      <c r="F612" s="58"/>
      <c r="G612" s="56"/>
      <c r="H612" s="56"/>
      <c r="I612" s="59"/>
      <c r="J612" s="56"/>
      <c r="K612" s="56"/>
      <c r="L612" s="56"/>
      <c r="M612" s="1"/>
      <c r="N612" s="1"/>
      <c r="O612" s="1"/>
      <c r="P612" s="1"/>
      <c r="Q612" s="1"/>
      <c r="R612" s="1"/>
      <c r="S612" s="1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</row>
    <row r="613" spans="1:32" ht="58.5" customHeight="1" x14ac:dyDescent="0.25">
      <c r="A613" s="56"/>
      <c r="B613" s="56"/>
      <c r="C613" s="56"/>
      <c r="D613" s="56"/>
      <c r="E613" s="57"/>
      <c r="F613" s="58"/>
      <c r="G613" s="56"/>
      <c r="H613" s="56"/>
      <c r="I613" s="59"/>
      <c r="J613" s="56"/>
      <c r="K613" s="56"/>
      <c r="L613" s="56"/>
      <c r="M613" s="1"/>
      <c r="N613" s="1"/>
      <c r="O613" s="1"/>
      <c r="P613" s="1"/>
      <c r="Q613" s="1"/>
      <c r="R613" s="1"/>
      <c r="S613" s="1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</row>
    <row r="614" spans="1:32" ht="58.5" customHeight="1" x14ac:dyDescent="0.25">
      <c r="A614" s="56"/>
      <c r="B614" s="56"/>
      <c r="C614" s="56"/>
      <c r="D614" s="56"/>
      <c r="E614" s="57"/>
      <c r="F614" s="58"/>
      <c r="G614" s="56"/>
      <c r="H614" s="56"/>
      <c r="I614" s="59"/>
      <c r="J614" s="56"/>
      <c r="K614" s="56"/>
      <c r="L614" s="56"/>
      <c r="M614" s="1"/>
      <c r="N614" s="1"/>
      <c r="O614" s="1"/>
      <c r="P614" s="1"/>
      <c r="Q614" s="1"/>
      <c r="R614" s="1"/>
      <c r="S614" s="1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</row>
    <row r="615" spans="1:32" ht="58.5" customHeight="1" x14ac:dyDescent="0.25">
      <c r="A615" s="56"/>
      <c r="B615" s="56"/>
      <c r="C615" s="56"/>
      <c r="D615" s="56"/>
      <c r="E615" s="57"/>
      <c r="F615" s="58"/>
      <c r="G615" s="56"/>
      <c r="H615" s="56"/>
      <c r="I615" s="59"/>
      <c r="J615" s="56"/>
      <c r="K615" s="56"/>
      <c r="L615" s="56"/>
      <c r="M615" s="1"/>
      <c r="N615" s="1"/>
      <c r="O615" s="1"/>
      <c r="P615" s="1"/>
      <c r="Q615" s="1"/>
      <c r="R615" s="1"/>
      <c r="S615" s="1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</row>
    <row r="616" spans="1:32" ht="58.5" customHeight="1" x14ac:dyDescent="0.25">
      <c r="A616" s="56"/>
      <c r="B616" s="56"/>
      <c r="C616" s="56"/>
      <c r="D616" s="56"/>
      <c r="E616" s="57"/>
      <c r="F616" s="58"/>
      <c r="G616" s="56"/>
      <c r="H616" s="56"/>
      <c r="I616" s="59"/>
      <c r="J616" s="56"/>
      <c r="K616" s="56"/>
      <c r="L616" s="56"/>
      <c r="M616" s="1"/>
      <c r="N616" s="1"/>
      <c r="O616" s="1"/>
      <c r="P616" s="1"/>
      <c r="Q616" s="1"/>
      <c r="R616" s="1"/>
      <c r="S616" s="1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</row>
    <row r="617" spans="1:32" ht="58.5" customHeight="1" x14ac:dyDescent="0.25">
      <c r="A617" s="56"/>
      <c r="B617" s="56"/>
      <c r="C617" s="56"/>
      <c r="D617" s="56"/>
      <c r="E617" s="57"/>
      <c r="F617" s="58"/>
      <c r="G617" s="56"/>
      <c r="H617" s="56"/>
      <c r="I617" s="59"/>
      <c r="J617" s="56"/>
      <c r="K617" s="56"/>
      <c r="L617" s="56"/>
      <c r="M617" s="1"/>
      <c r="N617" s="1"/>
      <c r="O617" s="1"/>
      <c r="P617" s="1"/>
      <c r="Q617" s="1"/>
      <c r="R617" s="1"/>
      <c r="S617" s="1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</row>
    <row r="618" spans="1:32" ht="58.5" customHeight="1" x14ac:dyDescent="0.25">
      <c r="A618" s="56"/>
      <c r="B618" s="56"/>
      <c r="C618" s="56"/>
      <c r="D618" s="56"/>
      <c r="E618" s="57"/>
      <c r="F618" s="58"/>
      <c r="G618" s="56"/>
      <c r="H618" s="56"/>
      <c r="I618" s="59"/>
      <c r="J618" s="56"/>
      <c r="K618" s="56"/>
      <c r="L618" s="56"/>
      <c r="M618" s="1"/>
      <c r="N618" s="1"/>
      <c r="O618" s="1"/>
      <c r="P618" s="1"/>
      <c r="Q618" s="1"/>
      <c r="R618" s="1"/>
      <c r="S618" s="1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</row>
    <row r="619" spans="1:32" ht="58.5" customHeight="1" x14ac:dyDescent="0.25">
      <c r="A619" s="56"/>
      <c r="B619" s="56"/>
      <c r="C619" s="56"/>
      <c r="D619" s="56"/>
      <c r="E619" s="57"/>
      <c r="F619" s="58"/>
      <c r="G619" s="56"/>
      <c r="H619" s="56"/>
      <c r="I619" s="59"/>
      <c r="J619" s="56"/>
      <c r="K619" s="56"/>
      <c r="L619" s="56"/>
      <c r="M619" s="1"/>
      <c r="N619" s="1"/>
      <c r="O619" s="1"/>
      <c r="P619" s="1"/>
      <c r="Q619" s="1"/>
      <c r="R619" s="1"/>
      <c r="S619" s="1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</row>
    <row r="620" spans="1:32" ht="58.5" customHeight="1" x14ac:dyDescent="0.25">
      <c r="A620" s="56"/>
      <c r="B620" s="56"/>
      <c r="C620" s="56"/>
      <c r="D620" s="56"/>
      <c r="E620" s="57"/>
      <c r="F620" s="58"/>
      <c r="G620" s="56"/>
      <c r="H620" s="56"/>
      <c r="I620" s="59"/>
      <c r="J620" s="56"/>
      <c r="K620" s="56"/>
      <c r="L620" s="56"/>
      <c r="M620" s="1"/>
      <c r="N620" s="1"/>
      <c r="O620" s="1"/>
      <c r="P620" s="1"/>
      <c r="Q620" s="1"/>
      <c r="R620" s="1"/>
      <c r="S620" s="1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</row>
    <row r="621" spans="1:32" ht="58.5" customHeight="1" x14ac:dyDescent="0.25">
      <c r="A621" s="56"/>
      <c r="B621" s="56"/>
      <c r="C621" s="56"/>
      <c r="D621" s="56"/>
      <c r="E621" s="57"/>
      <c r="F621" s="58"/>
      <c r="G621" s="56"/>
      <c r="H621" s="56"/>
      <c r="I621" s="59"/>
      <c r="J621" s="56"/>
      <c r="K621" s="56"/>
      <c r="L621" s="56"/>
      <c r="M621" s="1"/>
      <c r="N621" s="1"/>
      <c r="O621" s="1"/>
      <c r="P621" s="1"/>
      <c r="Q621" s="1"/>
      <c r="R621" s="1"/>
      <c r="S621" s="1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</row>
    <row r="622" spans="1:32" ht="58.5" customHeight="1" x14ac:dyDescent="0.25">
      <c r="A622" s="56"/>
      <c r="B622" s="56"/>
      <c r="C622" s="56"/>
      <c r="D622" s="56"/>
      <c r="E622" s="57"/>
      <c r="F622" s="58"/>
      <c r="G622" s="56"/>
      <c r="H622" s="56"/>
      <c r="I622" s="59"/>
      <c r="J622" s="56"/>
      <c r="K622" s="56"/>
      <c r="L622" s="56"/>
      <c r="M622" s="1"/>
      <c r="N622" s="1"/>
      <c r="O622" s="1"/>
      <c r="P622" s="1"/>
      <c r="Q622" s="1"/>
      <c r="R622" s="1"/>
      <c r="S622" s="1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</row>
    <row r="623" spans="1:32" ht="58.5" customHeight="1" x14ac:dyDescent="0.25">
      <c r="A623" s="56"/>
      <c r="B623" s="56"/>
      <c r="C623" s="56"/>
      <c r="D623" s="56"/>
      <c r="E623" s="57"/>
      <c r="F623" s="58"/>
      <c r="G623" s="56"/>
      <c r="H623" s="56"/>
      <c r="I623" s="59"/>
      <c r="J623" s="56"/>
      <c r="K623" s="56"/>
      <c r="L623" s="56"/>
      <c r="M623" s="1"/>
      <c r="N623" s="1"/>
      <c r="O623" s="1"/>
      <c r="P623" s="1"/>
      <c r="Q623" s="1"/>
      <c r="R623" s="1"/>
      <c r="S623" s="1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</row>
    <row r="624" spans="1:32" ht="58.5" customHeight="1" x14ac:dyDescent="0.25">
      <c r="A624" s="56"/>
      <c r="B624" s="56"/>
      <c r="C624" s="56"/>
      <c r="D624" s="56"/>
      <c r="E624" s="57"/>
      <c r="F624" s="58"/>
      <c r="G624" s="56"/>
      <c r="H624" s="56"/>
      <c r="I624" s="59"/>
      <c r="J624" s="56"/>
      <c r="K624" s="56"/>
      <c r="L624" s="56"/>
      <c r="M624" s="1"/>
      <c r="N624" s="1"/>
      <c r="O624" s="1"/>
      <c r="P624" s="1"/>
      <c r="Q624" s="1"/>
      <c r="R624" s="1"/>
      <c r="S624" s="1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</row>
    <row r="625" spans="1:32" ht="58.5" customHeight="1" x14ac:dyDescent="0.25">
      <c r="A625" s="56"/>
      <c r="B625" s="56"/>
      <c r="C625" s="56"/>
      <c r="D625" s="56"/>
      <c r="E625" s="57"/>
      <c r="F625" s="58"/>
      <c r="G625" s="56"/>
      <c r="H625" s="56"/>
      <c r="I625" s="59"/>
      <c r="J625" s="56"/>
      <c r="K625" s="56"/>
      <c r="L625" s="56"/>
      <c r="M625" s="1"/>
      <c r="N625" s="1"/>
      <c r="O625" s="1"/>
      <c r="P625" s="1"/>
      <c r="Q625" s="1"/>
      <c r="R625" s="1"/>
      <c r="S625" s="1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</row>
    <row r="626" spans="1:32" ht="58.5" customHeight="1" x14ac:dyDescent="0.25">
      <c r="A626" s="56"/>
      <c r="B626" s="56"/>
      <c r="C626" s="56"/>
      <c r="D626" s="56"/>
      <c r="E626" s="57"/>
      <c r="F626" s="58"/>
      <c r="G626" s="56"/>
      <c r="H626" s="56"/>
      <c r="I626" s="59"/>
      <c r="J626" s="56"/>
      <c r="K626" s="56"/>
      <c r="L626" s="56"/>
      <c r="M626" s="1"/>
      <c r="N626" s="1"/>
      <c r="O626" s="1"/>
      <c r="P626" s="1"/>
      <c r="Q626" s="1"/>
      <c r="R626" s="1"/>
      <c r="S626" s="1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</row>
    <row r="627" spans="1:32" ht="58.5" customHeight="1" x14ac:dyDescent="0.25">
      <c r="A627" s="56"/>
      <c r="B627" s="56"/>
      <c r="C627" s="56"/>
      <c r="D627" s="56"/>
      <c r="E627" s="57"/>
      <c r="F627" s="58"/>
      <c r="G627" s="56"/>
      <c r="H627" s="56"/>
      <c r="I627" s="59"/>
      <c r="J627" s="56"/>
      <c r="K627" s="56"/>
      <c r="L627" s="56"/>
      <c r="M627" s="1"/>
      <c r="N627" s="1"/>
      <c r="O627" s="1"/>
      <c r="P627" s="1"/>
      <c r="Q627" s="1"/>
      <c r="R627" s="1"/>
      <c r="S627" s="1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</row>
    <row r="628" spans="1:32" ht="58.5" customHeight="1" x14ac:dyDescent="0.25">
      <c r="A628" s="56"/>
      <c r="B628" s="56"/>
      <c r="C628" s="56"/>
      <c r="D628" s="56"/>
      <c r="E628" s="57"/>
      <c r="F628" s="58"/>
      <c r="G628" s="56"/>
      <c r="H628" s="56"/>
      <c r="I628" s="59"/>
      <c r="J628" s="56"/>
      <c r="K628" s="56"/>
      <c r="L628" s="56"/>
      <c r="M628" s="1"/>
      <c r="N628" s="1"/>
      <c r="O628" s="1"/>
      <c r="P628" s="1"/>
      <c r="Q628" s="1"/>
      <c r="R628" s="1"/>
      <c r="S628" s="1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</row>
    <row r="629" spans="1:32" ht="58.5" customHeight="1" x14ac:dyDescent="0.25">
      <c r="A629" s="56"/>
      <c r="B629" s="56"/>
      <c r="C629" s="56"/>
      <c r="D629" s="56"/>
      <c r="E629" s="57"/>
      <c r="F629" s="58"/>
      <c r="G629" s="56"/>
      <c r="H629" s="56"/>
      <c r="I629" s="59"/>
      <c r="J629" s="56"/>
      <c r="K629" s="56"/>
      <c r="L629" s="56"/>
      <c r="M629" s="1"/>
      <c r="N629" s="1"/>
      <c r="O629" s="1"/>
      <c r="P629" s="1"/>
      <c r="Q629" s="1"/>
      <c r="R629" s="1"/>
      <c r="S629" s="1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</row>
    <row r="630" spans="1:32" ht="58.5" customHeight="1" x14ac:dyDescent="0.25">
      <c r="A630" s="56"/>
      <c r="B630" s="56"/>
      <c r="C630" s="56"/>
      <c r="D630" s="56"/>
      <c r="E630" s="57"/>
      <c r="F630" s="58"/>
      <c r="G630" s="56"/>
      <c r="H630" s="56"/>
      <c r="I630" s="59"/>
      <c r="J630" s="56"/>
      <c r="K630" s="56"/>
      <c r="L630" s="56"/>
      <c r="M630" s="1"/>
      <c r="N630" s="1"/>
      <c r="O630" s="1"/>
      <c r="P630" s="1"/>
      <c r="Q630" s="1"/>
      <c r="R630" s="1"/>
      <c r="S630" s="1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</row>
    <row r="631" spans="1:32" ht="58.5" customHeight="1" x14ac:dyDescent="0.25">
      <c r="A631" s="56"/>
      <c r="B631" s="56"/>
      <c r="C631" s="56"/>
      <c r="D631" s="56"/>
      <c r="E631" s="57"/>
      <c r="F631" s="58"/>
      <c r="G631" s="56"/>
      <c r="H631" s="56"/>
      <c r="I631" s="59"/>
      <c r="J631" s="56"/>
      <c r="K631" s="56"/>
      <c r="L631" s="56"/>
      <c r="M631" s="1"/>
      <c r="N631" s="1"/>
      <c r="O631" s="1"/>
      <c r="P631" s="1"/>
      <c r="Q631" s="1"/>
      <c r="R631" s="1"/>
      <c r="S631" s="1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</row>
    <row r="632" spans="1:32" ht="58.5" customHeight="1" x14ac:dyDescent="0.25">
      <c r="A632" s="56"/>
      <c r="B632" s="56"/>
      <c r="C632" s="56"/>
      <c r="D632" s="56"/>
      <c r="E632" s="57"/>
      <c r="F632" s="58"/>
      <c r="G632" s="56"/>
      <c r="H632" s="56"/>
      <c r="I632" s="59"/>
      <c r="J632" s="56"/>
      <c r="K632" s="56"/>
      <c r="L632" s="56"/>
      <c r="M632" s="1"/>
      <c r="N632" s="1"/>
      <c r="O632" s="1"/>
      <c r="P632" s="1"/>
      <c r="Q632" s="1"/>
      <c r="R632" s="1"/>
      <c r="S632" s="1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</row>
    <row r="633" spans="1:32" ht="58.5" customHeight="1" x14ac:dyDescent="0.25">
      <c r="A633" s="56"/>
      <c r="B633" s="56"/>
      <c r="C633" s="56"/>
      <c r="D633" s="56"/>
      <c r="E633" s="57"/>
      <c r="F633" s="58"/>
      <c r="G633" s="56"/>
      <c r="H633" s="56"/>
      <c r="I633" s="59"/>
      <c r="J633" s="56"/>
      <c r="K633" s="56"/>
      <c r="L633" s="56"/>
      <c r="M633" s="1"/>
      <c r="N633" s="1"/>
      <c r="O633" s="1"/>
      <c r="P633" s="1"/>
      <c r="Q633" s="1"/>
      <c r="R633" s="1"/>
      <c r="S633" s="1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</row>
    <row r="634" spans="1:32" ht="58.5" customHeight="1" x14ac:dyDescent="0.25">
      <c r="A634" s="56"/>
      <c r="B634" s="56"/>
      <c r="C634" s="56"/>
      <c r="D634" s="56"/>
      <c r="E634" s="57"/>
      <c r="F634" s="58"/>
      <c r="G634" s="56"/>
      <c r="H634" s="56"/>
      <c r="I634" s="59"/>
      <c r="J634" s="56"/>
      <c r="K634" s="56"/>
      <c r="L634" s="56"/>
      <c r="M634" s="1"/>
      <c r="N634" s="1"/>
      <c r="O634" s="1"/>
      <c r="P634" s="1"/>
      <c r="Q634" s="1"/>
      <c r="R634" s="1"/>
      <c r="S634" s="1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</row>
    <row r="635" spans="1:32" ht="58.5" customHeight="1" x14ac:dyDescent="0.25">
      <c r="A635" s="56"/>
      <c r="B635" s="56"/>
      <c r="C635" s="56"/>
      <c r="D635" s="56"/>
      <c r="E635" s="57"/>
      <c r="F635" s="58"/>
      <c r="G635" s="56"/>
      <c r="H635" s="56"/>
      <c r="I635" s="59"/>
      <c r="J635" s="56"/>
      <c r="K635" s="56"/>
      <c r="L635" s="56"/>
      <c r="M635" s="1"/>
      <c r="N635" s="1"/>
      <c r="O635" s="1"/>
      <c r="P635" s="1"/>
      <c r="Q635" s="1"/>
      <c r="R635" s="1"/>
      <c r="S635" s="1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</row>
    <row r="636" spans="1:32" ht="58.5" customHeight="1" x14ac:dyDescent="0.25">
      <c r="A636" s="56"/>
      <c r="B636" s="56"/>
      <c r="C636" s="56"/>
      <c r="D636" s="56"/>
      <c r="E636" s="57"/>
      <c r="F636" s="58"/>
      <c r="G636" s="56"/>
      <c r="H636" s="56"/>
      <c r="I636" s="59"/>
      <c r="J636" s="56"/>
      <c r="K636" s="56"/>
      <c r="L636" s="56"/>
      <c r="M636" s="1"/>
      <c r="N636" s="1"/>
      <c r="O636" s="1"/>
      <c r="P636" s="1"/>
      <c r="Q636" s="1"/>
      <c r="R636" s="1"/>
      <c r="S636" s="1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</row>
    <row r="637" spans="1:32" ht="58.5" customHeight="1" x14ac:dyDescent="0.25">
      <c r="A637" s="56"/>
      <c r="B637" s="56"/>
      <c r="C637" s="56"/>
      <c r="D637" s="56"/>
      <c r="E637" s="57"/>
      <c r="F637" s="58"/>
      <c r="G637" s="56"/>
      <c r="H637" s="56"/>
      <c r="I637" s="59"/>
      <c r="J637" s="56"/>
      <c r="K637" s="56"/>
      <c r="L637" s="56"/>
      <c r="M637" s="1"/>
      <c r="N637" s="1"/>
      <c r="O637" s="1"/>
      <c r="P637" s="1"/>
      <c r="Q637" s="1"/>
      <c r="R637" s="1"/>
      <c r="S637" s="1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</row>
    <row r="638" spans="1:32" ht="58.5" customHeight="1" x14ac:dyDescent="0.25">
      <c r="A638" s="56"/>
      <c r="B638" s="56"/>
      <c r="C638" s="56"/>
      <c r="D638" s="56"/>
      <c r="E638" s="57"/>
      <c r="F638" s="58"/>
      <c r="G638" s="56"/>
      <c r="H638" s="56"/>
      <c r="I638" s="59"/>
      <c r="J638" s="56"/>
      <c r="K638" s="56"/>
      <c r="L638" s="56"/>
      <c r="M638" s="1"/>
      <c r="N638" s="1"/>
      <c r="O638" s="1"/>
      <c r="P638" s="1"/>
      <c r="Q638" s="1"/>
      <c r="R638" s="1"/>
      <c r="S638" s="1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</row>
    <row r="639" spans="1:32" ht="58.5" customHeight="1" x14ac:dyDescent="0.25">
      <c r="A639" s="56"/>
      <c r="B639" s="56"/>
      <c r="C639" s="56"/>
      <c r="D639" s="56"/>
      <c r="E639" s="57"/>
      <c r="F639" s="58"/>
      <c r="G639" s="56"/>
      <c r="H639" s="56"/>
      <c r="I639" s="59"/>
      <c r="J639" s="56"/>
      <c r="K639" s="56"/>
      <c r="L639" s="56"/>
      <c r="M639" s="1"/>
      <c r="N639" s="1"/>
      <c r="O639" s="1"/>
      <c r="P639" s="1"/>
      <c r="Q639" s="1"/>
      <c r="R639" s="1"/>
      <c r="S639" s="1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</row>
    <row r="640" spans="1:32" ht="58.5" customHeight="1" x14ac:dyDescent="0.25">
      <c r="A640" s="56"/>
      <c r="B640" s="56"/>
      <c r="C640" s="56"/>
      <c r="D640" s="56"/>
      <c r="E640" s="57"/>
      <c r="F640" s="58"/>
      <c r="G640" s="56"/>
      <c r="H640" s="56"/>
      <c r="I640" s="59"/>
      <c r="J640" s="56"/>
      <c r="K640" s="56"/>
      <c r="L640" s="56"/>
      <c r="M640" s="1"/>
      <c r="N640" s="1"/>
      <c r="O640" s="1"/>
      <c r="P640" s="1"/>
      <c r="Q640" s="1"/>
      <c r="R640" s="1"/>
      <c r="S640" s="1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</row>
    <row r="641" spans="1:32" ht="58.5" customHeight="1" x14ac:dyDescent="0.25">
      <c r="A641" s="56"/>
      <c r="B641" s="56"/>
      <c r="C641" s="56"/>
      <c r="D641" s="56"/>
      <c r="E641" s="57"/>
      <c r="F641" s="58"/>
      <c r="G641" s="56"/>
      <c r="H641" s="56"/>
      <c r="I641" s="59"/>
      <c r="J641" s="56"/>
      <c r="K641" s="56"/>
      <c r="L641" s="56"/>
      <c r="M641" s="1"/>
      <c r="N641" s="1"/>
      <c r="O641" s="1"/>
      <c r="P641" s="1"/>
      <c r="Q641" s="1"/>
      <c r="R641" s="1"/>
      <c r="S641" s="1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</row>
    <row r="642" spans="1:32" ht="58.5" customHeight="1" x14ac:dyDescent="0.25">
      <c r="A642" s="56"/>
      <c r="B642" s="56"/>
      <c r="C642" s="56"/>
      <c r="D642" s="56"/>
      <c r="E642" s="57"/>
      <c r="F642" s="58"/>
      <c r="G642" s="56"/>
      <c r="H642" s="56"/>
      <c r="I642" s="59"/>
      <c r="J642" s="56"/>
      <c r="K642" s="56"/>
      <c r="L642" s="56"/>
      <c r="M642" s="1"/>
      <c r="N642" s="1"/>
      <c r="O642" s="1"/>
      <c r="P642" s="1"/>
      <c r="Q642" s="1"/>
      <c r="R642" s="1"/>
      <c r="S642" s="1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</row>
    <row r="643" spans="1:32" ht="58.5" customHeight="1" x14ac:dyDescent="0.25">
      <c r="A643" s="56"/>
      <c r="B643" s="56"/>
      <c r="C643" s="56"/>
      <c r="D643" s="56"/>
      <c r="E643" s="57"/>
      <c r="F643" s="58"/>
      <c r="G643" s="56"/>
      <c r="H643" s="56"/>
      <c r="I643" s="59"/>
      <c r="J643" s="56"/>
      <c r="K643" s="56"/>
      <c r="L643" s="56"/>
      <c r="M643" s="1"/>
      <c r="N643" s="1"/>
      <c r="O643" s="1"/>
      <c r="P643" s="1"/>
      <c r="Q643" s="1"/>
      <c r="R643" s="1"/>
      <c r="S643" s="1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</row>
    <row r="644" spans="1:32" ht="58.5" customHeight="1" x14ac:dyDescent="0.25">
      <c r="A644" s="56"/>
      <c r="B644" s="56"/>
      <c r="C644" s="56"/>
      <c r="D644" s="56"/>
      <c r="E644" s="57"/>
      <c r="F644" s="58"/>
      <c r="G644" s="56"/>
      <c r="H644" s="56"/>
      <c r="I644" s="59"/>
      <c r="J644" s="56"/>
      <c r="K644" s="56"/>
      <c r="L644" s="56"/>
      <c r="M644" s="1"/>
      <c r="N644" s="1"/>
      <c r="O644" s="1"/>
      <c r="P644" s="1"/>
      <c r="Q644" s="1"/>
      <c r="R644" s="1"/>
      <c r="S644" s="1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</row>
    <row r="645" spans="1:32" ht="58.5" customHeight="1" x14ac:dyDescent="0.25">
      <c r="A645" s="56"/>
      <c r="B645" s="56"/>
      <c r="C645" s="56"/>
      <c r="D645" s="56"/>
      <c r="E645" s="57"/>
      <c r="F645" s="58"/>
      <c r="G645" s="56"/>
      <c r="H645" s="56"/>
      <c r="I645" s="59"/>
      <c r="J645" s="56"/>
      <c r="K645" s="56"/>
      <c r="L645" s="56"/>
      <c r="M645" s="1"/>
      <c r="N645" s="1"/>
      <c r="O645" s="1"/>
      <c r="P645" s="1"/>
      <c r="Q645" s="1"/>
      <c r="R645" s="1"/>
      <c r="S645" s="1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</row>
    <row r="646" spans="1:32" ht="58.5" customHeight="1" x14ac:dyDescent="0.25">
      <c r="A646" s="56"/>
      <c r="B646" s="56"/>
      <c r="C646" s="56"/>
      <c r="D646" s="56"/>
      <c r="E646" s="57"/>
      <c r="F646" s="58"/>
      <c r="G646" s="56"/>
      <c r="H646" s="56"/>
      <c r="I646" s="59"/>
      <c r="J646" s="56"/>
      <c r="K646" s="56"/>
      <c r="L646" s="56"/>
      <c r="M646" s="1"/>
      <c r="N646" s="1"/>
      <c r="O646" s="1"/>
      <c r="P646" s="1"/>
      <c r="Q646" s="1"/>
      <c r="R646" s="1"/>
      <c r="S646" s="1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</row>
    <row r="647" spans="1:32" ht="58.5" customHeight="1" x14ac:dyDescent="0.25">
      <c r="A647" s="56"/>
      <c r="B647" s="56"/>
      <c r="C647" s="56"/>
      <c r="D647" s="56"/>
      <c r="E647" s="57"/>
      <c r="F647" s="58"/>
      <c r="G647" s="56"/>
      <c r="H647" s="56"/>
      <c r="I647" s="59"/>
      <c r="J647" s="56"/>
      <c r="K647" s="56"/>
      <c r="L647" s="56"/>
      <c r="M647" s="1"/>
      <c r="N647" s="1"/>
      <c r="O647" s="1"/>
      <c r="P647" s="1"/>
      <c r="Q647" s="1"/>
      <c r="R647" s="1"/>
      <c r="S647" s="1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</row>
    <row r="648" spans="1:32" ht="58.5" customHeight="1" x14ac:dyDescent="0.25">
      <c r="A648" s="56"/>
      <c r="B648" s="56"/>
      <c r="C648" s="56"/>
      <c r="D648" s="56"/>
      <c r="E648" s="57"/>
      <c r="F648" s="58"/>
      <c r="G648" s="56"/>
      <c r="H648" s="56"/>
      <c r="I648" s="59"/>
      <c r="J648" s="56"/>
      <c r="K648" s="56"/>
      <c r="L648" s="56"/>
      <c r="M648" s="1"/>
      <c r="N648" s="1"/>
      <c r="O648" s="1"/>
      <c r="P648" s="1"/>
      <c r="Q648" s="1"/>
      <c r="R648" s="1"/>
      <c r="S648" s="1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</row>
    <row r="649" spans="1:32" ht="58.5" customHeight="1" x14ac:dyDescent="0.25">
      <c r="A649" s="56"/>
      <c r="B649" s="56"/>
      <c r="C649" s="56"/>
      <c r="D649" s="56"/>
      <c r="E649" s="57"/>
      <c r="F649" s="58"/>
      <c r="G649" s="56"/>
      <c r="H649" s="56"/>
      <c r="I649" s="59"/>
      <c r="J649" s="56"/>
      <c r="K649" s="56"/>
      <c r="L649" s="56"/>
      <c r="M649" s="1"/>
      <c r="N649" s="1"/>
      <c r="O649" s="1"/>
      <c r="P649" s="1"/>
      <c r="Q649" s="1"/>
      <c r="R649" s="1"/>
      <c r="S649" s="1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</row>
    <row r="650" spans="1:32" ht="58.5" customHeight="1" x14ac:dyDescent="0.25">
      <c r="A650" s="56"/>
      <c r="B650" s="56"/>
      <c r="C650" s="56"/>
      <c r="D650" s="56"/>
      <c r="E650" s="57"/>
      <c r="F650" s="58"/>
      <c r="G650" s="56"/>
      <c r="H650" s="56"/>
      <c r="I650" s="59"/>
      <c r="J650" s="56"/>
      <c r="K650" s="56"/>
      <c r="L650" s="56"/>
      <c r="M650" s="1"/>
      <c r="N650" s="1"/>
      <c r="O650" s="1"/>
      <c r="P650" s="1"/>
      <c r="Q650" s="1"/>
      <c r="R650" s="1"/>
      <c r="S650" s="1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</row>
    <row r="651" spans="1:32" ht="58.5" customHeight="1" x14ac:dyDescent="0.25">
      <c r="A651" s="56"/>
      <c r="B651" s="56"/>
      <c r="C651" s="56"/>
      <c r="D651" s="56"/>
      <c r="E651" s="57"/>
      <c r="F651" s="58"/>
      <c r="G651" s="56"/>
      <c r="H651" s="56"/>
      <c r="I651" s="59"/>
      <c r="J651" s="56"/>
      <c r="K651" s="56"/>
      <c r="L651" s="56"/>
      <c r="M651" s="1"/>
      <c r="N651" s="1"/>
      <c r="O651" s="1"/>
      <c r="P651" s="1"/>
      <c r="Q651" s="1"/>
      <c r="R651" s="1"/>
      <c r="S651" s="1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</row>
    <row r="652" spans="1:32" ht="58.5" customHeight="1" x14ac:dyDescent="0.25">
      <c r="A652" s="56"/>
      <c r="B652" s="56"/>
      <c r="C652" s="56"/>
      <c r="D652" s="56"/>
      <c r="E652" s="57"/>
      <c r="F652" s="58"/>
      <c r="G652" s="56"/>
      <c r="H652" s="56"/>
      <c r="I652" s="59"/>
      <c r="J652" s="56"/>
      <c r="K652" s="56"/>
      <c r="L652" s="56"/>
      <c r="M652" s="1"/>
      <c r="N652" s="1"/>
      <c r="O652" s="1"/>
      <c r="P652" s="1"/>
      <c r="Q652" s="1"/>
      <c r="R652" s="1"/>
      <c r="S652" s="1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</row>
    <row r="653" spans="1:32" ht="58.5" customHeight="1" x14ac:dyDescent="0.25">
      <c r="A653" s="56"/>
      <c r="B653" s="56"/>
      <c r="C653" s="56"/>
      <c r="D653" s="56"/>
      <c r="E653" s="57"/>
      <c r="F653" s="58"/>
      <c r="G653" s="56"/>
      <c r="H653" s="56"/>
      <c r="I653" s="59"/>
      <c r="J653" s="56"/>
      <c r="K653" s="56"/>
      <c r="L653" s="56"/>
      <c r="M653" s="1"/>
      <c r="N653" s="1"/>
      <c r="O653" s="1"/>
      <c r="P653" s="1"/>
      <c r="Q653" s="1"/>
      <c r="R653" s="1"/>
      <c r="S653" s="1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</row>
    <row r="654" spans="1:32" ht="58.5" customHeight="1" x14ac:dyDescent="0.25">
      <c r="A654" s="56"/>
      <c r="B654" s="56"/>
      <c r="C654" s="56"/>
      <c r="D654" s="56"/>
      <c r="E654" s="57"/>
      <c r="F654" s="58"/>
      <c r="G654" s="56"/>
      <c r="H654" s="56"/>
      <c r="I654" s="59"/>
      <c r="J654" s="56"/>
      <c r="K654" s="56"/>
      <c r="L654" s="56"/>
      <c r="M654" s="1"/>
      <c r="N654" s="1"/>
      <c r="O654" s="1"/>
      <c r="P654" s="1"/>
      <c r="Q654" s="1"/>
      <c r="R654" s="1"/>
      <c r="S654" s="1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</row>
    <row r="655" spans="1:32" ht="58.5" customHeight="1" x14ac:dyDescent="0.25">
      <c r="A655" s="56"/>
      <c r="B655" s="56"/>
      <c r="C655" s="56"/>
      <c r="D655" s="56"/>
      <c r="E655" s="57"/>
      <c r="F655" s="58"/>
      <c r="G655" s="56"/>
      <c r="H655" s="56"/>
      <c r="I655" s="59"/>
      <c r="J655" s="56"/>
      <c r="K655" s="56"/>
      <c r="L655" s="56"/>
      <c r="M655" s="1"/>
      <c r="N655" s="1"/>
      <c r="O655" s="1"/>
      <c r="P655" s="1"/>
      <c r="Q655" s="1"/>
      <c r="R655" s="1"/>
      <c r="S655" s="1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</row>
    <row r="656" spans="1:32" ht="58.5" customHeight="1" x14ac:dyDescent="0.25">
      <c r="A656" s="56"/>
      <c r="B656" s="56"/>
      <c r="C656" s="56"/>
      <c r="D656" s="56"/>
      <c r="E656" s="57"/>
      <c r="F656" s="58"/>
      <c r="G656" s="56"/>
      <c r="H656" s="56"/>
      <c r="I656" s="59"/>
      <c r="J656" s="56"/>
      <c r="K656" s="56"/>
      <c r="L656" s="56"/>
      <c r="M656" s="1"/>
      <c r="N656" s="1"/>
      <c r="O656" s="1"/>
      <c r="P656" s="1"/>
      <c r="Q656" s="1"/>
      <c r="R656" s="1"/>
      <c r="S656" s="1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</row>
    <row r="657" spans="1:32" ht="58.5" customHeight="1" x14ac:dyDescent="0.25">
      <c r="A657" s="56"/>
      <c r="B657" s="56"/>
      <c r="C657" s="56"/>
      <c r="D657" s="56"/>
      <c r="E657" s="57"/>
      <c r="F657" s="58"/>
      <c r="G657" s="56"/>
      <c r="H657" s="56"/>
      <c r="I657" s="59"/>
      <c r="J657" s="56"/>
      <c r="K657" s="56"/>
      <c r="L657" s="56"/>
      <c r="M657" s="1"/>
      <c r="N657" s="1"/>
      <c r="O657" s="1"/>
      <c r="P657" s="1"/>
      <c r="Q657" s="1"/>
      <c r="R657" s="1"/>
      <c r="S657" s="1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</row>
    <row r="658" spans="1:32" ht="58.5" customHeight="1" x14ac:dyDescent="0.25">
      <c r="A658" s="56"/>
      <c r="B658" s="56"/>
      <c r="C658" s="56"/>
      <c r="D658" s="56"/>
      <c r="E658" s="57"/>
      <c r="F658" s="58"/>
      <c r="G658" s="56"/>
      <c r="H658" s="56"/>
      <c r="I658" s="59"/>
      <c r="J658" s="56"/>
      <c r="K658" s="56"/>
      <c r="L658" s="56"/>
      <c r="M658" s="1"/>
      <c r="N658" s="1"/>
      <c r="O658" s="1"/>
      <c r="P658" s="1"/>
      <c r="Q658" s="1"/>
      <c r="R658" s="1"/>
      <c r="S658" s="1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</row>
    <row r="659" spans="1:32" ht="58.5" customHeight="1" x14ac:dyDescent="0.25">
      <c r="A659" s="56"/>
      <c r="B659" s="56"/>
      <c r="C659" s="56"/>
      <c r="D659" s="56"/>
      <c r="E659" s="57"/>
      <c r="F659" s="58"/>
      <c r="G659" s="56"/>
      <c r="H659" s="56"/>
      <c r="I659" s="59"/>
      <c r="J659" s="56"/>
      <c r="K659" s="56"/>
      <c r="L659" s="56"/>
      <c r="M659" s="1"/>
      <c r="N659" s="1"/>
      <c r="O659" s="1"/>
      <c r="P659" s="1"/>
      <c r="Q659" s="1"/>
      <c r="R659" s="1"/>
      <c r="S659" s="1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</row>
    <row r="660" spans="1:32" ht="58.5" customHeight="1" x14ac:dyDescent="0.25">
      <c r="A660" s="56"/>
      <c r="B660" s="56"/>
      <c r="C660" s="56"/>
      <c r="D660" s="56"/>
      <c r="E660" s="57"/>
      <c r="F660" s="58"/>
      <c r="G660" s="56"/>
      <c r="H660" s="56"/>
      <c r="I660" s="59"/>
      <c r="J660" s="56"/>
      <c r="K660" s="56"/>
      <c r="L660" s="56"/>
      <c r="M660" s="1"/>
      <c r="N660" s="1"/>
      <c r="O660" s="1"/>
      <c r="P660" s="1"/>
      <c r="Q660" s="1"/>
      <c r="R660" s="1"/>
      <c r="S660" s="1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</row>
    <row r="661" spans="1:32" ht="58.5" customHeight="1" x14ac:dyDescent="0.25">
      <c r="A661" s="56"/>
      <c r="B661" s="56"/>
      <c r="C661" s="56"/>
      <c r="D661" s="56"/>
      <c r="E661" s="57"/>
      <c r="F661" s="58"/>
      <c r="G661" s="56"/>
      <c r="H661" s="56"/>
      <c r="I661" s="59"/>
      <c r="J661" s="56"/>
      <c r="K661" s="56"/>
      <c r="L661" s="56"/>
      <c r="M661" s="1"/>
      <c r="N661" s="1"/>
      <c r="O661" s="1"/>
      <c r="P661" s="1"/>
      <c r="Q661" s="1"/>
      <c r="R661" s="1"/>
      <c r="S661" s="1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</row>
    <row r="662" spans="1:32" ht="58.5" customHeight="1" x14ac:dyDescent="0.25">
      <c r="A662" s="56"/>
      <c r="B662" s="56"/>
      <c r="C662" s="56"/>
      <c r="D662" s="56"/>
      <c r="E662" s="57"/>
      <c r="F662" s="58"/>
      <c r="G662" s="56"/>
      <c r="H662" s="56"/>
      <c r="I662" s="59"/>
      <c r="J662" s="56"/>
      <c r="K662" s="56"/>
      <c r="L662" s="56"/>
      <c r="M662" s="1"/>
      <c r="N662" s="1"/>
      <c r="O662" s="1"/>
      <c r="P662" s="1"/>
      <c r="Q662" s="1"/>
      <c r="R662" s="1"/>
      <c r="S662" s="1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</row>
    <row r="663" spans="1:32" ht="58.5" customHeight="1" x14ac:dyDescent="0.25">
      <c r="A663" s="56"/>
      <c r="B663" s="56"/>
      <c r="C663" s="56"/>
      <c r="D663" s="56"/>
      <c r="E663" s="57"/>
      <c r="F663" s="58"/>
      <c r="G663" s="56"/>
      <c r="H663" s="56"/>
      <c r="I663" s="59"/>
      <c r="J663" s="56"/>
      <c r="K663" s="56"/>
      <c r="L663" s="56"/>
      <c r="M663" s="1"/>
      <c r="N663" s="1"/>
      <c r="O663" s="1"/>
      <c r="P663" s="1"/>
      <c r="Q663" s="1"/>
      <c r="R663" s="1"/>
      <c r="S663" s="1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</row>
    <row r="664" spans="1:32" ht="58.5" customHeight="1" x14ac:dyDescent="0.25">
      <c r="A664" s="56"/>
      <c r="B664" s="56"/>
      <c r="C664" s="56"/>
      <c r="D664" s="56"/>
      <c r="E664" s="57"/>
      <c r="F664" s="58"/>
      <c r="G664" s="56"/>
      <c r="H664" s="56"/>
      <c r="I664" s="59"/>
      <c r="J664" s="56"/>
      <c r="K664" s="56"/>
      <c r="L664" s="56"/>
      <c r="M664" s="1"/>
      <c r="N664" s="1"/>
      <c r="O664" s="1"/>
      <c r="P664" s="1"/>
      <c r="Q664" s="1"/>
      <c r="R664" s="1"/>
      <c r="S664" s="1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</row>
    <row r="665" spans="1:32" ht="58.5" customHeight="1" x14ac:dyDescent="0.25">
      <c r="A665" s="56"/>
      <c r="B665" s="56"/>
      <c r="C665" s="56"/>
      <c r="D665" s="56"/>
      <c r="E665" s="57"/>
      <c r="F665" s="58"/>
      <c r="G665" s="56"/>
      <c r="H665" s="56"/>
      <c r="I665" s="59"/>
      <c r="J665" s="56"/>
      <c r="K665" s="56"/>
      <c r="L665" s="56"/>
      <c r="M665" s="1"/>
      <c r="N665" s="1"/>
      <c r="O665" s="1"/>
      <c r="P665" s="1"/>
      <c r="Q665" s="1"/>
      <c r="R665" s="1"/>
      <c r="S665" s="1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</row>
    <row r="666" spans="1:32" ht="58.5" customHeight="1" x14ac:dyDescent="0.25">
      <c r="A666" s="56"/>
      <c r="B666" s="56"/>
      <c r="C666" s="56"/>
      <c r="D666" s="56"/>
      <c r="E666" s="57"/>
      <c r="F666" s="58"/>
      <c r="G666" s="56"/>
      <c r="H666" s="56"/>
      <c r="I666" s="59"/>
      <c r="J666" s="56"/>
      <c r="K666" s="56"/>
      <c r="L666" s="56"/>
      <c r="M666" s="1"/>
      <c r="N666" s="1"/>
      <c r="O666" s="1"/>
      <c r="P666" s="1"/>
      <c r="Q666" s="1"/>
      <c r="R666" s="1"/>
      <c r="S666" s="1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</row>
    <row r="667" spans="1:32" ht="58.5" customHeight="1" x14ac:dyDescent="0.25">
      <c r="A667" s="56"/>
      <c r="B667" s="56"/>
      <c r="C667" s="56"/>
      <c r="D667" s="56"/>
      <c r="E667" s="57"/>
      <c r="F667" s="58"/>
      <c r="G667" s="56"/>
      <c r="H667" s="56"/>
      <c r="I667" s="59"/>
      <c r="J667" s="56"/>
      <c r="K667" s="56"/>
      <c r="L667" s="56"/>
      <c r="M667" s="1"/>
      <c r="N667" s="1"/>
      <c r="O667" s="1"/>
      <c r="P667" s="1"/>
      <c r="Q667" s="1"/>
      <c r="R667" s="1"/>
      <c r="S667" s="1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</row>
    <row r="668" spans="1:32" ht="58.5" customHeight="1" x14ac:dyDescent="0.25">
      <c r="A668" s="56"/>
      <c r="B668" s="56"/>
      <c r="C668" s="56"/>
      <c r="D668" s="56"/>
      <c r="E668" s="57"/>
      <c r="F668" s="58"/>
      <c r="G668" s="56"/>
      <c r="H668" s="56"/>
      <c r="I668" s="59"/>
      <c r="J668" s="56"/>
      <c r="K668" s="56"/>
      <c r="L668" s="56"/>
      <c r="M668" s="1"/>
      <c r="N668" s="1"/>
      <c r="O668" s="1"/>
      <c r="P668" s="1"/>
      <c r="Q668" s="1"/>
      <c r="R668" s="1"/>
      <c r="S668" s="1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</row>
    <row r="669" spans="1:32" ht="58.5" customHeight="1" x14ac:dyDescent="0.25">
      <c r="A669" s="56"/>
      <c r="B669" s="56"/>
      <c r="C669" s="56"/>
      <c r="D669" s="56"/>
      <c r="E669" s="57"/>
      <c r="F669" s="58"/>
      <c r="G669" s="56"/>
      <c r="H669" s="56"/>
      <c r="I669" s="59"/>
      <c r="J669" s="56"/>
      <c r="K669" s="56"/>
      <c r="L669" s="56"/>
      <c r="M669" s="1"/>
      <c r="N669" s="1"/>
      <c r="O669" s="1"/>
      <c r="P669" s="1"/>
      <c r="Q669" s="1"/>
      <c r="R669" s="1"/>
      <c r="S669" s="1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</row>
    <row r="670" spans="1:32" ht="58.5" customHeight="1" x14ac:dyDescent="0.25">
      <c r="A670" s="56"/>
      <c r="B670" s="56"/>
      <c r="C670" s="56"/>
      <c r="D670" s="56"/>
      <c r="E670" s="57"/>
      <c r="F670" s="58"/>
      <c r="G670" s="56"/>
      <c r="H670" s="56"/>
      <c r="I670" s="59"/>
      <c r="J670" s="56"/>
      <c r="K670" s="56"/>
      <c r="L670" s="56"/>
      <c r="M670" s="1"/>
      <c r="N670" s="1"/>
      <c r="O670" s="1"/>
      <c r="P670" s="1"/>
      <c r="Q670" s="1"/>
      <c r="R670" s="1"/>
      <c r="S670" s="1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</row>
    <row r="671" spans="1:32" ht="58.5" customHeight="1" x14ac:dyDescent="0.25">
      <c r="A671" s="56"/>
      <c r="B671" s="56"/>
      <c r="C671" s="56"/>
      <c r="D671" s="56"/>
      <c r="E671" s="57"/>
      <c r="F671" s="58"/>
      <c r="G671" s="56"/>
      <c r="H671" s="56"/>
      <c r="I671" s="59"/>
      <c r="J671" s="56"/>
      <c r="K671" s="56"/>
      <c r="L671" s="56"/>
      <c r="M671" s="1"/>
      <c r="N671" s="1"/>
      <c r="O671" s="1"/>
      <c r="P671" s="1"/>
      <c r="Q671" s="1"/>
      <c r="R671" s="1"/>
      <c r="S671" s="1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</row>
    <row r="672" spans="1:32" ht="58.5" customHeight="1" x14ac:dyDescent="0.25">
      <c r="A672" s="56"/>
      <c r="B672" s="56"/>
      <c r="C672" s="56"/>
      <c r="D672" s="56"/>
      <c r="E672" s="57"/>
      <c r="F672" s="58"/>
      <c r="G672" s="56"/>
      <c r="H672" s="56"/>
      <c r="I672" s="59"/>
      <c r="J672" s="56"/>
      <c r="K672" s="56"/>
      <c r="L672" s="56"/>
      <c r="M672" s="1"/>
      <c r="N672" s="1"/>
      <c r="O672" s="1"/>
      <c r="P672" s="1"/>
      <c r="Q672" s="1"/>
      <c r="R672" s="1"/>
      <c r="S672" s="1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</row>
    <row r="673" spans="1:32" ht="58.5" customHeight="1" x14ac:dyDescent="0.25">
      <c r="A673" s="56"/>
      <c r="B673" s="56"/>
      <c r="C673" s="56"/>
      <c r="D673" s="56"/>
      <c r="E673" s="57"/>
      <c r="F673" s="58"/>
      <c r="G673" s="56"/>
      <c r="H673" s="56"/>
      <c r="I673" s="59"/>
      <c r="J673" s="56"/>
      <c r="K673" s="56"/>
      <c r="L673" s="56"/>
      <c r="M673" s="1"/>
      <c r="N673" s="1"/>
      <c r="O673" s="1"/>
      <c r="P673" s="1"/>
      <c r="Q673" s="1"/>
      <c r="R673" s="1"/>
      <c r="S673" s="1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</row>
    <row r="674" spans="1:32" ht="58.5" customHeight="1" x14ac:dyDescent="0.25">
      <c r="A674" s="56"/>
      <c r="B674" s="56"/>
      <c r="C674" s="56"/>
      <c r="D674" s="56"/>
      <c r="E674" s="57"/>
      <c r="F674" s="58"/>
      <c r="G674" s="56"/>
      <c r="H674" s="56"/>
      <c r="I674" s="59"/>
      <c r="J674" s="56"/>
      <c r="K674" s="56"/>
      <c r="L674" s="56"/>
      <c r="M674" s="1"/>
      <c r="N674" s="1"/>
      <c r="O674" s="1"/>
      <c r="P674" s="1"/>
      <c r="Q674" s="1"/>
      <c r="R674" s="1"/>
      <c r="S674" s="1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</row>
    <row r="675" spans="1:32" ht="58.5" customHeight="1" x14ac:dyDescent="0.25">
      <c r="A675" s="56"/>
      <c r="B675" s="56"/>
      <c r="C675" s="56"/>
      <c r="D675" s="56"/>
      <c r="E675" s="57"/>
      <c r="F675" s="58"/>
      <c r="G675" s="56"/>
      <c r="H675" s="56"/>
      <c r="I675" s="59"/>
      <c r="J675" s="56"/>
      <c r="K675" s="56"/>
      <c r="L675" s="56"/>
      <c r="M675" s="1"/>
      <c r="N675" s="1"/>
      <c r="O675" s="1"/>
      <c r="P675" s="1"/>
      <c r="Q675" s="1"/>
      <c r="R675" s="1"/>
      <c r="S675" s="1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</row>
    <row r="676" spans="1:32" ht="58.5" customHeight="1" x14ac:dyDescent="0.25">
      <c r="A676" s="56"/>
      <c r="B676" s="56"/>
      <c r="C676" s="56"/>
      <c r="D676" s="56"/>
      <c r="E676" s="57"/>
      <c r="F676" s="58"/>
      <c r="G676" s="56"/>
      <c r="H676" s="56"/>
      <c r="I676" s="59"/>
      <c r="J676" s="56"/>
      <c r="K676" s="56"/>
      <c r="L676" s="56"/>
      <c r="M676" s="1"/>
      <c r="N676" s="1"/>
      <c r="O676" s="1"/>
      <c r="P676" s="1"/>
      <c r="Q676" s="1"/>
      <c r="R676" s="1"/>
      <c r="S676" s="1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</row>
    <row r="677" spans="1:32" ht="58.5" customHeight="1" x14ac:dyDescent="0.25">
      <c r="A677" s="56"/>
      <c r="B677" s="56"/>
      <c r="C677" s="56"/>
      <c r="D677" s="56"/>
      <c r="E677" s="57"/>
      <c r="F677" s="58"/>
      <c r="G677" s="56"/>
      <c r="H677" s="56"/>
      <c r="I677" s="59"/>
      <c r="J677" s="56"/>
      <c r="K677" s="56"/>
      <c r="L677" s="56"/>
      <c r="M677" s="1"/>
      <c r="N677" s="1"/>
      <c r="O677" s="1"/>
      <c r="P677" s="1"/>
      <c r="Q677" s="1"/>
      <c r="R677" s="1"/>
      <c r="S677" s="1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</row>
    <row r="678" spans="1:32" ht="58.5" customHeight="1" x14ac:dyDescent="0.25">
      <c r="A678" s="56"/>
      <c r="B678" s="56"/>
      <c r="C678" s="56"/>
      <c r="D678" s="56"/>
      <c r="E678" s="57"/>
      <c r="F678" s="58"/>
      <c r="G678" s="56"/>
      <c r="H678" s="56"/>
      <c r="I678" s="59"/>
      <c r="J678" s="56"/>
      <c r="K678" s="56"/>
      <c r="L678" s="56"/>
      <c r="M678" s="1"/>
      <c r="N678" s="1"/>
      <c r="O678" s="1"/>
      <c r="P678" s="1"/>
      <c r="Q678" s="1"/>
      <c r="R678" s="1"/>
      <c r="S678" s="1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</row>
    <row r="679" spans="1:32" ht="58.5" customHeight="1" x14ac:dyDescent="0.25">
      <c r="A679" s="56"/>
      <c r="B679" s="56"/>
      <c r="C679" s="56"/>
      <c r="D679" s="56"/>
      <c r="E679" s="57"/>
      <c r="F679" s="58"/>
      <c r="G679" s="56"/>
      <c r="H679" s="56"/>
      <c r="I679" s="59"/>
      <c r="J679" s="56"/>
      <c r="K679" s="56"/>
      <c r="L679" s="56"/>
      <c r="M679" s="1"/>
      <c r="N679" s="1"/>
      <c r="O679" s="1"/>
      <c r="P679" s="1"/>
      <c r="Q679" s="1"/>
      <c r="R679" s="1"/>
      <c r="S679" s="1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</row>
    <row r="680" spans="1:32" ht="58.5" customHeight="1" x14ac:dyDescent="0.25">
      <c r="A680" s="56"/>
      <c r="B680" s="56"/>
      <c r="C680" s="56"/>
      <c r="D680" s="56"/>
      <c r="E680" s="57"/>
      <c r="F680" s="58"/>
      <c r="G680" s="56"/>
      <c r="H680" s="56"/>
      <c r="I680" s="59"/>
      <c r="J680" s="56"/>
      <c r="K680" s="56"/>
      <c r="L680" s="56"/>
      <c r="M680" s="1"/>
      <c r="N680" s="1"/>
      <c r="O680" s="1"/>
      <c r="P680" s="1"/>
      <c r="Q680" s="1"/>
      <c r="R680" s="1"/>
      <c r="S680" s="1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</row>
    <row r="681" spans="1:32" ht="58.5" customHeight="1" x14ac:dyDescent="0.25">
      <c r="A681" s="56"/>
      <c r="B681" s="56"/>
      <c r="C681" s="56"/>
      <c r="D681" s="56"/>
      <c r="E681" s="57"/>
      <c r="F681" s="58"/>
      <c r="G681" s="56"/>
      <c r="H681" s="56"/>
      <c r="I681" s="59"/>
      <c r="J681" s="56"/>
      <c r="K681" s="56"/>
      <c r="L681" s="56"/>
      <c r="M681" s="1"/>
      <c r="N681" s="1"/>
      <c r="O681" s="1"/>
      <c r="P681" s="1"/>
      <c r="Q681" s="1"/>
      <c r="R681" s="1"/>
      <c r="S681" s="1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</row>
    <row r="682" spans="1:32" ht="58.5" customHeight="1" x14ac:dyDescent="0.25">
      <c r="A682" s="56"/>
      <c r="B682" s="56"/>
      <c r="C682" s="56"/>
      <c r="D682" s="56"/>
      <c r="E682" s="57"/>
      <c r="F682" s="58"/>
      <c r="G682" s="56"/>
      <c r="H682" s="56"/>
      <c r="I682" s="59"/>
      <c r="J682" s="56"/>
      <c r="K682" s="56"/>
      <c r="L682" s="56"/>
      <c r="M682" s="1"/>
      <c r="N682" s="1"/>
      <c r="O682" s="1"/>
      <c r="P682" s="1"/>
      <c r="Q682" s="1"/>
      <c r="R682" s="1"/>
      <c r="S682" s="1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</row>
    <row r="683" spans="1:32" ht="58.5" customHeight="1" x14ac:dyDescent="0.25">
      <c r="A683" s="56"/>
      <c r="B683" s="56"/>
      <c r="C683" s="56"/>
      <c r="D683" s="56"/>
      <c r="E683" s="57"/>
      <c r="F683" s="58"/>
      <c r="G683" s="56"/>
      <c r="H683" s="56"/>
      <c r="I683" s="59"/>
      <c r="J683" s="56"/>
      <c r="K683" s="56"/>
      <c r="L683" s="56"/>
      <c r="M683" s="1"/>
      <c r="N683" s="1"/>
      <c r="O683" s="1"/>
      <c r="P683" s="1"/>
      <c r="Q683" s="1"/>
      <c r="R683" s="1"/>
      <c r="S683" s="1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</row>
    <row r="684" spans="1:32" ht="58.5" customHeight="1" x14ac:dyDescent="0.25">
      <c r="A684" s="56"/>
      <c r="B684" s="56"/>
      <c r="C684" s="56"/>
      <c r="D684" s="56"/>
      <c r="E684" s="57"/>
      <c r="F684" s="58"/>
      <c r="G684" s="56"/>
      <c r="H684" s="56"/>
      <c r="I684" s="59"/>
      <c r="J684" s="56"/>
      <c r="K684" s="56"/>
      <c r="L684" s="56"/>
      <c r="M684" s="1"/>
      <c r="N684" s="1"/>
      <c r="O684" s="1"/>
      <c r="P684" s="1"/>
      <c r="Q684" s="1"/>
      <c r="R684" s="1"/>
      <c r="S684" s="1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</row>
    <row r="685" spans="1:32" ht="58.5" customHeight="1" x14ac:dyDescent="0.25">
      <c r="A685" s="56"/>
      <c r="B685" s="56"/>
      <c r="C685" s="56"/>
      <c r="D685" s="56"/>
      <c r="E685" s="57"/>
      <c r="F685" s="58"/>
      <c r="G685" s="56"/>
      <c r="H685" s="56"/>
      <c r="I685" s="59"/>
      <c r="J685" s="56"/>
      <c r="K685" s="56"/>
      <c r="L685" s="56"/>
      <c r="M685" s="1"/>
      <c r="N685" s="1"/>
      <c r="O685" s="1"/>
      <c r="P685" s="1"/>
      <c r="Q685" s="1"/>
      <c r="R685" s="1"/>
      <c r="S685" s="1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</row>
    <row r="686" spans="1:32" ht="58.5" customHeight="1" x14ac:dyDescent="0.25">
      <c r="A686" s="56"/>
      <c r="B686" s="56"/>
      <c r="C686" s="56"/>
      <c r="D686" s="56"/>
      <c r="E686" s="57"/>
      <c r="F686" s="58"/>
      <c r="G686" s="56"/>
      <c r="H686" s="56"/>
      <c r="I686" s="59"/>
      <c r="J686" s="56"/>
      <c r="K686" s="56"/>
      <c r="L686" s="56"/>
      <c r="M686" s="1"/>
      <c r="N686" s="1"/>
      <c r="O686" s="1"/>
      <c r="P686" s="1"/>
      <c r="Q686" s="1"/>
      <c r="R686" s="1"/>
      <c r="S686" s="1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</row>
    <row r="687" spans="1:32" ht="58.5" customHeight="1" x14ac:dyDescent="0.25">
      <c r="A687" s="56"/>
      <c r="B687" s="56"/>
      <c r="C687" s="56"/>
      <c r="D687" s="56"/>
      <c r="E687" s="57"/>
      <c r="F687" s="58"/>
      <c r="G687" s="56"/>
      <c r="H687" s="56"/>
      <c r="I687" s="59"/>
      <c r="J687" s="56"/>
      <c r="K687" s="56"/>
      <c r="L687" s="56"/>
      <c r="M687" s="1"/>
      <c r="N687" s="1"/>
      <c r="O687" s="1"/>
      <c r="P687" s="1"/>
      <c r="Q687" s="1"/>
      <c r="R687" s="1"/>
      <c r="S687" s="1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</row>
    <row r="688" spans="1:32" ht="58.5" customHeight="1" x14ac:dyDescent="0.25">
      <c r="A688" s="56"/>
      <c r="B688" s="56"/>
      <c r="C688" s="56"/>
      <c r="D688" s="56"/>
      <c r="E688" s="57"/>
      <c r="F688" s="58"/>
      <c r="G688" s="56"/>
      <c r="H688" s="56"/>
      <c r="I688" s="59"/>
      <c r="J688" s="56"/>
      <c r="K688" s="56"/>
      <c r="L688" s="56"/>
      <c r="M688" s="1"/>
      <c r="N688" s="1"/>
      <c r="O688" s="1"/>
      <c r="P688" s="1"/>
      <c r="Q688" s="1"/>
      <c r="R688" s="1"/>
      <c r="S688" s="1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</row>
    <row r="689" spans="1:32" ht="58.5" customHeight="1" x14ac:dyDescent="0.25">
      <c r="A689" s="56"/>
      <c r="B689" s="56"/>
      <c r="C689" s="56"/>
      <c r="D689" s="56"/>
      <c r="E689" s="57"/>
      <c r="F689" s="58"/>
      <c r="G689" s="56"/>
      <c r="H689" s="56"/>
      <c r="I689" s="59"/>
      <c r="J689" s="56"/>
      <c r="K689" s="56"/>
      <c r="L689" s="56"/>
      <c r="M689" s="1"/>
      <c r="N689" s="1"/>
      <c r="O689" s="1"/>
      <c r="P689" s="1"/>
      <c r="Q689" s="1"/>
      <c r="R689" s="1"/>
      <c r="S689" s="1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</row>
    <row r="690" spans="1:32" ht="58.5" customHeight="1" x14ac:dyDescent="0.25">
      <c r="A690" s="56"/>
      <c r="B690" s="56"/>
      <c r="C690" s="56"/>
      <c r="D690" s="56"/>
      <c r="E690" s="57"/>
      <c r="F690" s="58"/>
      <c r="G690" s="56"/>
      <c r="H690" s="56"/>
      <c r="I690" s="59"/>
      <c r="J690" s="56"/>
      <c r="K690" s="56"/>
      <c r="L690" s="56"/>
      <c r="M690" s="1"/>
      <c r="N690" s="1"/>
      <c r="O690" s="1"/>
      <c r="P690" s="1"/>
      <c r="Q690" s="1"/>
      <c r="R690" s="1"/>
      <c r="S690" s="1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</row>
    <row r="691" spans="1:32" ht="58.5" customHeight="1" x14ac:dyDescent="0.25">
      <c r="A691" s="56"/>
      <c r="B691" s="56"/>
      <c r="C691" s="56"/>
      <c r="D691" s="56"/>
      <c r="E691" s="57"/>
      <c r="F691" s="58"/>
      <c r="G691" s="56"/>
      <c r="H691" s="56"/>
      <c r="I691" s="59"/>
      <c r="J691" s="56"/>
      <c r="K691" s="56"/>
      <c r="L691" s="56"/>
      <c r="M691" s="1"/>
      <c r="N691" s="1"/>
      <c r="O691" s="1"/>
      <c r="P691" s="1"/>
      <c r="Q691" s="1"/>
      <c r="R691" s="1"/>
      <c r="S691" s="1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</row>
    <row r="692" spans="1:32" ht="58.5" customHeight="1" x14ac:dyDescent="0.25">
      <c r="A692" s="56"/>
      <c r="B692" s="56"/>
      <c r="C692" s="56"/>
      <c r="D692" s="56"/>
      <c r="E692" s="57"/>
      <c r="F692" s="58"/>
      <c r="G692" s="56"/>
      <c r="H692" s="56"/>
      <c r="I692" s="59"/>
      <c r="J692" s="56"/>
      <c r="K692" s="56"/>
      <c r="L692" s="56"/>
      <c r="M692" s="1"/>
      <c r="N692" s="1"/>
      <c r="O692" s="1"/>
      <c r="P692" s="1"/>
      <c r="Q692" s="1"/>
      <c r="R692" s="1"/>
      <c r="S692" s="1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</row>
    <row r="693" spans="1:32" ht="58.5" customHeight="1" x14ac:dyDescent="0.25">
      <c r="A693" s="56"/>
      <c r="B693" s="56"/>
      <c r="C693" s="56"/>
      <c r="D693" s="56"/>
      <c r="E693" s="57"/>
      <c r="F693" s="58"/>
      <c r="G693" s="56"/>
      <c r="H693" s="56"/>
      <c r="I693" s="59"/>
      <c r="J693" s="56"/>
      <c r="K693" s="56"/>
      <c r="L693" s="56"/>
      <c r="M693" s="1"/>
      <c r="N693" s="1"/>
      <c r="O693" s="1"/>
      <c r="P693" s="1"/>
      <c r="Q693" s="1"/>
      <c r="R693" s="1"/>
      <c r="S693" s="1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</row>
    <row r="694" spans="1:32" ht="58.5" customHeight="1" x14ac:dyDescent="0.25">
      <c r="A694" s="56"/>
      <c r="B694" s="56"/>
      <c r="C694" s="56"/>
      <c r="D694" s="56"/>
      <c r="E694" s="57"/>
      <c r="F694" s="58"/>
      <c r="G694" s="56"/>
      <c r="H694" s="56"/>
      <c r="I694" s="59"/>
      <c r="J694" s="56"/>
      <c r="K694" s="56"/>
      <c r="L694" s="56"/>
      <c r="M694" s="1"/>
      <c r="N694" s="1"/>
      <c r="O694" s="1"/>
      <c r="P694" s="1"/>
      <c r="Q694" s="1"/>
      <c r="R694" s="1"/>
      <c r="S694" s="1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</row>
    <row r="695" spans="1:32" ht="58.5" customHeight="1" x14ac:dyDescent="0.25">
      <c r="A695" s="56"/>
      <c r="B695" s="56"/>
      <c r="C695" s="56"/>
      <c r="D695" s="56"/>
      <c r="E695" s="57"/>
      <c r="F695" s="58"/>
      <c r="G695" s="56"/>
      <c r="H695" s="56"/>
      <c r="I695" s="59"/>
      <c r="J695" s="56"/>
      <c r="K695" s="56"/>
      <c r="L695" s="56"/>
      <c r="M695" s="1"/>
      <c r="N695" s="1"/>
      <c r="O695" s="1"/>
      <c r="P695" s="1"/>
      <c r="Q695" s="1"/>
      <c r="R695" s="1"/>
      <c r="S695" s="1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</row>
    <row r="696" spans="1:32" ht="58.5" customHeight="1" x14ac:dyDescent="0.25">
      <c r="A696" s="56"/>
      <c r="B696" s="56"/>
      <c r="C696" s="56"/>
      <c r="D696" s="56"/>
      <c r="E696" s="57"/>
      <c r="F696" s="58"/>
      <c r="G696" s="56"/>
      <c r="H696" s="56"/>
      <c r="I696" s="59"/>
      <c r="J696" s="56"/>
      <c r="K696" s="56"/>
      <c r="L696" s="56"/>
      <c r="M696" s="1"/>
      <c r="N696" s="1"/>
      <c r="O696" s="1"/>
      <c r="P696" s="1"/>
      <c r="Q696" s="1"/>
      <c r="R696" s="1"/>
      <c r="S696" s="1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</row>
    <row r="697" spans="1:32" ht="58.5" customHeight="1" x14ac:dyDescent="0.25">
      <c r="A697" s="56"/>
      <c r="B697" s="56"/>
      <c r="C697" s="56"/>
      <c r="D697" s="56"/>
      <c r="E697" s="57"/>
      <c r="F697" s="58"/>
      <c r="G697" s="56"/>
      <c r="H697" s="56"/>
      <c r="I697" s="59"/>
      <c r="J697" s="56"/>
      <c r="K697" s="56"/>
      <c r="L697" s="56"/>
      <c r="M697" s="1"/>
      <c r="N697" s="1"/>
      <c r="O697" s="1"/>
      <c r="P697" s="1"/>
      <c r="Q697" s="1"/>
      <c r="R697" s="1"/>
      <c r="S697" s="1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</row>
    <row r="698" spans="1:32" ht="58.5" customHeight="1" x14ac:dyDescent="0.25">
      <c r="A698" s="56"/>
      <c r="B698" s="56"/>
      <c r="C698" s="56"/>
      <c r="D698" s="56"/>
      <c r="E698" s="57"/>
      <c r="F698" s="58"/>
      <c r="G698" s="56"/>
      <c r="H698" s="56"/>
      <c r="I698" s="59"/>
      <c r="J698" s="56"/>
      <c r="K698" s="56"/>
      <c r="L698" s="56"/>
      <c r="M698" s="1"/>
      <c r="N698" s="1"/>
      <c r="O698" s="1"/>
      <c r="P698" s="1"/>
      <c r="Q698" s="1"/>
      <c r="R698" s="1"/>
      <c r="S698" s="1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</row>
    <row r="699" spans="1:32" ht="58.5" customHeight="1" x14ac:dyDescent="0.25">
      <c r="A699" s="56"/>
      <c r="B699" s="56"/>
      <c r="C699" s="56"/>
      <c r="D699" s="56"/>
      <c r="E699" s="57"/>
      <c r="F699" s="58"/>
      <c r="G699" s="56"/>
      <c r="H699" s="56"/>
      <c r="I699" s="59"/>
      <c r="J699" s="56"/>
      <c r="K699" s="56"/>
      <c r="L699" s="56"/>
      <c r="M699" s="1"/>
      <c r="N699" s="1"/>
      <c r="O699" s="1"/>
      <c r="P699" s="1"/>
      <c r="Q699" s="1"/>
      <c r="R699" s="1"/>
      <c r="S699" s="1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</row>
    <row r="700" spans="1:32" ht="58.5" customHeight="1" x14ac:dyDescent="0.25">
      <c r="A700" s="56"/>
      <c r="B700" s="56"/>
      <c r="C700" s="56"/>
      <c r="D700" s="56"/>
      <c r="E700" s="57"/>
      <c r="F700" s="58"/>
      <c r="G700" s="56"/>
      <c r="H700" s="56"/>
      <c r="I700" s="59"/>
      <c r="J700" s="56"/>
      <c r="K700" s="56"/>
      <c r="L700" s="56"/>
      <c r="M700" s="1"/>
      <c r="N700" s="1"/>
      <c r="O700" s="1"/>
      <c r="P700" s="1"/>
      <c r="Q700" s="1"/>
      <c r="R700" s="1"/>
      <c r="S700" s="1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</row>
    <row r="701" spans="1:32" ht="58.5" customHeight="1" x14ac:dyDescent="0.25">
      <c r="A701" s="56"/>
      <c r="B701" s="56"/>
      <c r="C701" s="56"/>
      <c r="D701" s="56"/>
      <c r="E701" s="57"/>
      <c r="F701" s="58"/>
      <c r="G701" s="56"/>
      <c r="H701" s="56"/>
      <c r="I701" s="59"/>
      <c r="J701" s="56"/>
      <c r="K701" s="56"/>
      <c r="L701" s="56"/>
      <c r="M701" s="1"/>
      <c r="N701" s="1"/>
      <c r="O701" s="1"/>
      <c r="P701" s="1"/>
      <c r="Q701" s="1"/>
      <c r="R701" s="1"/>
      <c r="S701" s="1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</row>
    <row r="702" spans="1:32" ht="58.5" customHeight="1" x14ac:dyDescent="0.25">
      <c r="A702" s="56"/>
      <c r="B702" s="56"/>
      <c r="C702" s="56"/>
      <c r="D702" s="56"/>
      <c r="E702" s="57"/>
      <c r="F702" s="58"/>
      <c r="G702" s="56"/>
      <c r="H702" s="56"/>
      <c r="I702" s="59"/>
      <c r="J702" s="56"/>
      <c r="K702" s="56"/>
      <c r="L702" s="56"/>
      <c r="M702" s="1"/>
      <c r="N702" s="1"/>
      <c r="O702" s="1"/>
      <c r="P702" s="1"/>
      <c r="Q702" s="1"/>
      <c r="R702" s="1"/>
      <c r="S702" s="1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</row>
    <row r="703" spans="1:32" ht="58.5" customHeight="1" x14ac:dyDescent="0.25">
      <c r="A703" s="56"/>
      <c r="B703" s="56"/>
      <c r="C703" s="56"/>
      <c r="D703" s="56"/>
      <c r="E703" s="57"/>
      <c r="F703" s="58"/>
      <c r="G703" s="56"/>
      <c r="H703" s="56"/>
      <c r="I703" s="59"/>
      <c r="J703" s="56"/>
      <c r="K703" s="56"/>
      <c r="L703" s="56"/>
      <c r="M703" s="1"/>
      <c r="N703" s="1"/>
      <c r="O703" s="1"/>
      <c r="P703" s="1"/>
      <c r="Q703" s="1"/>
      <c r="R703" s="1"/>
      <c r="S703" s="1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</row>
    <row r="704" spans="1:32" ht="58.5" customHeight="1" x14ac:dyDescent="0.25">
      <c r="A704" s="56"/>
      <c r="B704" s="56"/>
      <c r="C704" s="56"/>
      <c r="D704" s="56"/>
      <c r="E704" s="57"/>
      <c r="F704" s="58"/>
      <c r="G704" s="56"/>
      <c r="H704" s="56"/>
      <c r="I704" s="59"/>
      <c r="J704" s="56"/>
      <c r="K704" s="56"/>
      <c r="L704" s="56"/>
      <c r="M704" s="1"/>
      <c r="N704" s="1"/>
      <c r="O704" s="1"/>
      <c r="P704" s="1"/>
      <c r="Q704" s="1"/>
      <c r="R704" s="1"/>
      <c r="S704" s="1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</row>
    <row r="705" spans="1:32" ht="58.5" customHeight="1" x14ac:dyDescent="0.25">
      <c r="A705" s="56"/>
      <c r="B705" s="56"/>
      <c r="C705" s="56"/>
      <c r="D705" s="56"/>
      <c r="E705" s="57"/>
      <c r="F705" s="58"/>
      <c r="G705" s="56"/>
      <c r="H705" s="56"/>
      <c r="I705" s="59"/>
      <c r="J705" s="56"/>
      <c r="K705" s="56"/>
      <c r="L705" s="56"/>
      <c r="M705" s="1"/>
      <c r="N705" s="1"/>
      <c r="O705" s="1"/>
      <c r="P705" s="1"/>
      <c r="Q705" s="1"/>
      <c r="R705" s="1"/>
      <c r="S705" s="1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</row>
    <row r="706" spans="1:32" ht="58.5" customHeight="1" x14ac:dyDescent="0.25">
      <c r="A706" s="56"/>
      <c r="B706" s="56"/>
      <c r="C706" s="56"/>
      <c r="D706" s="56"/>
      <c r="E706" s="57"/>
      <c r="F706" s="58"/>
      <c r="G706" s="56"/>
      <c r="H706" s="56"/>
      <c r="I706" s="59"/>
      <c r="J706" s="56"/>
      <c r="K706" s="56"/>
      <c r="L706" s="56"/>
      <c r="M706" s="1"/>
      <c r="N706" s="1"/>
      <c r="O706" s="1"/>
      <c r="P706" s="1"/>
      <c r="Q706" s="1"/>
      <c r="R706" s="1"/>
      <c r="S706" s="1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</row>
    <row r="707" spans="1:32" ht="58.5" customHeight="1" x14ac:dyDescent="0.25">
      <c r="A707" s="56"/>
      <c r="B707" s="56"/>
      <c r="C707" s="56"/>
      <c r="D707" s="56"/>
      <c r="E707" s="57"/>
      <c r="F707" s="58"/>
      <c r="G707" s="56"/>
      <c r="H707" s="56"/>
      <c r="I707" s="59"/>
      <c r="J707" s="56"/>
      <c r="K707" s="56"/>
      <c r="L707" s="56"/>
      <c r="M707" s="1"/>
      <c r="N707" s="1"/>
      <c r="O707" s="1"/>
      <c r="P707" s="1"/>
      <c r="Q707" s="1"/>
      <c r="R707" s="1"/>
      <c r="S707" s="1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</row>
    <row r="708" spans="1:32" ht="58.5" customHeight="1" x14ac:dyDescent="0.25">
      <c r="A708" s="56"/>
      <c r="B708" s="56"/>
      <c r="C708" s="56"/>
      <c r="D708" s="56"/>
      <c r="E708" s="57"/>
      <c r="F708" s="58"/>
      <c r="G708" s="56"/>
      <c r="H708" s="56"/>
      <c r="I708" s="59"/>
      <c r="J708" s="56"/>
      <c r="K708" s="56"/>
      <c r="L708" s="56"/>
      <c r="M708" s="1"/>
      <c r="N708" s="1"/>
      <c r="O708" s="1"/>
      <c r="P708" s="1"/>
      <c r="Q708" s="1"/>
      <c r="R708" s="1"/>
      <c r="S708" s="1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</row>
    <row r="709" spans="1:32" ht="58.5" customHeight="1" x14ac:dyDescent="0.25">
      <c r="A709" s="56"/>
      <c r="B709" s="56"/>
      <c r="C709" s="56"/>
      <c r="D709" s="56"/>
      <c r="E709" s="57"/>
      <c r="F709" s="58"/>
      <c r="G709" s="56"/>
      <c r="H709" s="56"/>
      <c r="I709" s="59"/>
      <c r="J709" s="56"/>
      <c r="K709" s="56"/>
      <c r="L709" s="56"/>
      <c r="M709" s="1"/>
      <c r="N709" s="1"/>
      <c r="O709" s="1"/>
      <c r="P709" s="1"/>
      <c r="Q709" s="1"/>
      <c r="R709" s="1"/>
      <c r="S709" s="1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</row>
    <row r="710" spans="1:32" ht="58.5" customHeight="1" x14ac:dyDescent="0.25">
      <c r="A710" s="56"/>
      <c r="B710" s="56"/>
      <c r="C710" s="56"/>
      <c r="D710" s="56"/>
      <c r="E710" s="57"/>
      <c r="F710" s="58"/>
      <c r="G710" s="56"/>
      <c r="H710" s="56"/>
      <c r="I710" s="59"/>
      <c r="J710" s="56"/>
      <c r="K710" s="56"/>
      <c r="L710" s="56"/>
      <c r="M710" s="1"/>
      <c r="N710" s="1"/>
      <c r="O710" s="1"/>
      <c r="P710" s="1"/>
      <c r="Q710" s="1"/>
      <c r="R710" s="1"/>
      <c r="S710" s="1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</row>
    <row r="711" spans="1:32" ht="58.5" customHeight="1" x14ac:dyDescent="0.25">
      <c r="A711" s="56"/>
      <c r="B711" s="56"/>
      <c r="C711" s="56"/>
      <c r="D711" s="56"/>
      <c r="E711" s="57"/>
      <c r="F711" s="58"/>
      <c r="G711" s="56"/>
      <c r="H711" s="56"/>
      <c r="I711" s="59"/>
      <c r="J711" s="56"/>
      <c r="K711" s="56"/>
      <c r="L711" s="56"/>
      <c r="M711" s="1"/>
      <c r="N711" s="1"/>
      <c r="O711" s="1"/>
      <c r="P711" s="1"/>
      <c r="Q711" s="1"/>
      <c r="R711" s="1"/>
      <c r="S711" s="1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</row>
    <row r="712" spans="1:32" ht="58.5" customHeight="1" x14ac:dyDescent="0.25">
      <c r="A712" s="56"/>
      <c r="B712" s="56"/>
      <c r="C712" s="56"/>
      <c r="D712" s="56"/>
      <c r="E712" s="57"/>
      <c r="F712" s="58"/>
      <c r="G712" s="56"/>
      <c r="H712" s="56"/>
      <c r="I712" s="59"/>
      <c r="J712" s="56"/>
      <c r="K712" s="56"/>
      <c r="L712" s="56"/>
      <c r="M712" s="1"/>
      <c r="N712" s="1"/>
      <c r="O712" s="1"/>
      <c r="P712" s="1"/>
      <c r="Q712" s="1"/>
      <c r="R712" s="1"/>
      <c r="S712" s="1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</row>
    <row r="713" spans="1:32" ht="58.5" customHeight="1" x14ac:dyDescent="0.25">
      <c r="A713" s="56"/>
      <c r="B713" s="56"/>
      <c r="C713" s="56"/>
      <c r="D713" s="56"/>
      <c r="E713" s="57"/>
      <c r="F713" s="58"/>
      <c r="G713" s="56"/>
      <c r="H713" s="56"/>
      <c r="I713" s="59"/>
      <c r="J713" s="56"/>
      <c r="K713" s="56"/>
      <c r="L713" s="56"/>
      <c r="M713" s="1"/>
      <c r="N713" s="1"/>
      <c r="O713" s="1"/>
      <c r="P713" s="1"/>
      <c r="Q713" s="1"/>
      <c r="R713" s="1"/>
      <c r="S713" s="1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</row>
    <row r="714" spans="1:32" ht="58.5" customHeight="1" x14ac:dyDescent="0.25">
      <c r="A714" s="56"/>
      <c r="B714" s="56"/>
      <c r="C714" s="56"/>
      <c r="D714" s="56"/>
      <c r="E714" s="57"/>
      <c r="F714" s="58"/>
      <c r="G714" s="56"/>
      <c r="H714" s="56"/>
      <c r="I714" s="59"/>
      <c r="J714" s="56"/>
      <c r="K714" s="56"/>
      <c r="L714" s="56"/>
      <c r="M714" s="1"/>
      <c r="N714" s="1"/>
      <c r="O714" s="1"/>
      <c r="P714" s="1"/>
      <c r="Q714" s="1"/>
      <c r="R714" s="1"/>
      <c r="S714" s="1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</row>
    <row r="715" spans="1:32" ht="58.5" customHeight="1" x14ac:dyDescent="0.25">
      <c r="A715" s="56"/>
      <c r="B715" s="56"/>
      <c r="C715" s="56"/>
      <c r="D715" s="56"/>
      <c r="E715" s="57"/>
      <c r="F715" s="58"/>
      <c r="G715" s="56"/>
      <c r="H715" s="56"/>
      <c r="I715" s="59"/>
      <c r="J715" s="56"/>
      <c r="K715" s="56"/>
      <c r="L715" s="56"/>
      <c r="M715" s="1"/>
      <c r="N715" s="1"/>
      <c r="O715" s="1"/>
      <c r="P715" s="1"/>
      <c r="Q715" s="1"/>
      <c r="R715" s="1"/>
      <c r="S715" s="1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</row>
    <row r="716" spans="1:32" ht="58.5" customHeight="1" x14ac:dyDescent="0.25">
      <c r="A716" s="56"/>
      <c r="B716" s="56"/>
      <c r="C716" s="56"/>
      <c r="D716" s="56"/>
      <c r="E716" s="57"/>
      <c r="F716" s="58"/>
      <c r="G716" s="56"/>
      <c r="H716" s="56"/>
      <c r="I716" s="59"/>
      <c r="J716" s="56"/>
      <c r="K716" s="56"/>
      <c r="L716" s="56"/>
      <c r="M716" s="1"/>
      <c r="N716" s="1"/>
      <c r="O716" s="1"/>
      <c r="P716" s="1"/>
      <c r="Q716" s="1"/>
      <c r="R716" s="1"/>
      <c r="S716" s="1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</row>
    <row r="717" spans="1:32" ht="58.5" customHeight="1" x14ac:dyDescent="0.25">
      <c r="A717" s="56"/>
      <c r="B717" s="56"/>
      <c r="C717" s="56"/>
      <c r="D717" s="56"/>
      <c r="E717" s="57"/>
      <c r="F717" s="58"/>
      <c r="G717" s="56"/>
      <c r="H717" s="56"/>
      <c r="I717" s="59"/>
      <c r="J717" s="56"/>
      <c r="K717" s="56"/>
      <c r="L717" s="56"/>
      <c r="M717" s="1"/>
      <c r="N717" s="1"/>
      <c r="O717" s="1"/>
      <c r="P717" s="1"/>
      <c r="Q717" s="1"/>
      <c r="R717" s="1"/>
      <c r="S717" s="1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</row>
    <row r="718" spans="1:32" ht="58.5" customHeight="1" x14ac:dyDescent="0.25">
      <c r="A718" s="56"/>
      <c r="B718" s="56"/>
      <c r="C718" s="56"/>
      <c r="D718" s="56"/>
      <c r="E718" s="57"/>
      <c r="F718" s="58"/>
      <c r="G718" s="56"/>
      <c r="H718" s="56"/>
      <c r="I718" s="59"/>
      <c r="J718" s="56"/>
      <c r="K718" s="56"/>
      <c r="L718" s="56"/>
      <c r="M718" s="1"/>
      <c r="N718" s="1"/>
      <c r="O718" s="1"/>
      <c r="P718" s="1"/>
      <c r="Q718" s="1"/>
      <c r="R718" s="1"/>
      <c r="S718" s="1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</row>
    <row r="719" spans="1:32" ht="58.5" customHeight="1" x14ac:dyDescent="0.25">
      <c r="A719" s="56"/>
      <c r="B719" s="56"/>
      <c r="C719" s="56"/>
      <c r="D719" s="56"/>
      <c r="E719" s="57"/>
      <c r="F719" s="58"/>
      <c r="G719" s="56"/>
      <c r="H719" s="56"/>
      <c r="I719" s="59"/>
      <c r="J719" s="56"/>
      <c r="K719" s="56"/>
      <c r="L719" s="56"/>
      <c r="M719" s="1"/>
      <c r="N719" s="1"/>
      <c r="O719" s="1"/>
      <c r="P719" s="1"/>
      <c r="Q719" s="1"/>
      <c r="R719" s="1"/>
      <c r="S719" s="1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</row>
    <row r="720" spans="1:32" ht="58.5" customHeight="1" x14ac:dyDescent="0.25">
      <c r="A720" s="56"/>
      <c r="B720" s="56"/>
      <c r="C720" s="56"/>
      <c r="D720" s="56"/>
      <c r="E720" s="57"/>
      <c r="F720" s="58"/>
      <c r="G720" s="56"/>
      <c r="H720" s="56"/>
      <c r="I720" s="59"/>
      <c r="J720" s="56"/>
      <c r="K720" s="56"/>
      <c r="L720" s="56"/>
      <c r="M720" s="1"/>
      <c r="N720" s="1"/>
      <c r="O720" s="1"/>
      <c r="P720" s="1"/>
      <c r="Q720" s="1"/>
      <c r="R720" s="1"/>
      <c r="S720" s="1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</row>
    <row r="721" spans="1:32" ht="58.5" customHeight="1" x14ac:dyDescent="0.25">
      <c r="A721" s="56"/>
      <c r="B721" s="56"/>
      <c r="C721" s="56"/>
      <c r="D721" s="56"/>
      <c r="E721" s="57"/>
      <c r="F721" s="58"/>
      <c r="G721" s="56"/>
      <c r="H721" s="56"/>
      <c r="I721" s="59"/>
      <c r="J721" s="56"/>
      <c r="K721" s="56"/>
      <c r="L721" s="56"/>
      <c r="M721" s="1"/>
      <c r="N721" s="1"/>
      <c r="O721" s="1"/>
      <c r="P721" s="1"/>
      <c r="Q721" s="1"/>
      <c r="R721" s="1"/>
      <c r="S721" s="1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</row>
    <row r="722" spans="1:32" ht="58.5" customHeight="1" x14ac:dyDescent="0.25">
      <c r="A722" s="56"/>
      <c r="B722" s="56"/>
      <c r="C722" s="56"/>
      <c r="D722" s="56"/>
      <c r="E722" s="57"/>
      <c r="F722" s="58"/>
      <c r="G722" s="56"/>
      <c r="H722" s="56"/>
      <c r="I722" s="59"/>
      <c r="J722" s="56"/>
      <c r="K722" s="56"/>
      <c r="L722" s="56"/>
      <c r="M722" s="1"/>
      <c r="N722" s="1"/>
      <c r="O722" s="1"/>
      <c r="P722" s="1"/>
      <c r="Q722" s="1"/>
      <c r="R722" s="1"/>
      <c r="S722" s="1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</row>
    <row r="723" spans="1:32" ht="58.5" customHeight="1" x14ac:dyDescent="0.25">
      <c r="A723" s="56"/>
      <c r="B723" s="56"/>
      <c r="C723" s="56"/>
      <c r="D723" s="56"/>
      <c r="E723" s="57"/>
      <c r="F723" s="58"/>
      <c r="G723" s="56"/>
      <c r="H723" s="56"/>
      <c r="I723" s="59"/>
      <c r="J723" s="56"/>
      <c r="K723" s="56"/>
      <c r="L723" s="56"/>
      <c r="M723" s="1"/>
      <c r="N723" s="1"/>
      <c r="O723" s="1"/>
      <c r="P723" s="1"/>
      <c r="Q723" s="1"/>
      <c r="R723" s="1"/>
      <c r="S723" s="1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</row>
    <row r="724" spans="1:32" ht="58.5" customHeight="1" x14ac:dyDescent="0.25">
      <c r="A724" s="56"/>
      <c r="B724" s="56"/>
      <c r="C724" s="56"/>
      <c r="D724" s="56"/>
      <c r="E724" s="57"/>
      <c r="F724" s="58"/>
      <c r="G724" s="56"/>
      <c r="H724" s="56"/>
      <c r="I724" s="59"/>
      <c r="J724" s="56"/>
      <c r="K724" s="56"/>
      <c r="L724" s="56"/>
      <c r="M724" s="1"/>
      <c r="N724" s="1"/>
      <c r="O724" s="1"/>
      <c r="P724" s="1"/>
      <c r="Q724" s="1"/>
      <c r="R724" s="1"/>
      <c r="S724" s="1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</row>
    <row r="725" spans="1:32" ht="58.5" customHeight="1" x14ac:dyDescent="0.25">
      <c r="A725" s="56"/>
      <c r="B725" s="56"/>
      <c r="C725" s="56"/>
      <c r="D725" s="56"/>
      <c r="E725" s="57"/>
      <c r="F725" s="58"/>
      <c r="G725" s="56"/>
      <c r="H725" s="56"/>
      <c r="I725" s="59"/>
      <c r="J725" s="56"/>
      <c r="K725" s="56"/>
      <c r="L725" s="56"/>
      <c r="M725" s="1"/>
      <c r="N725" s="1"/>
      <c r="O725" s="1"/>
      <c r="P725" s="1"/>
      <c r="Q725" s="1"/>
      <c r="R725" s="1"/>
      <c r="S725" s="1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</row>
    <row r="726" spans="1:32" ht="58.5" customHeight="1" x14ac:dyDescent="0.25">
      <c r="A726" s="56"/>
      <c r="B726" s="56"/>
      <c r="C726" s="56"/>
      <c r="D726" s="56"/>
      <c r="E726" s="57"/>
      <c r="F726" s="58"/>
      <c r="G726" s="56"/>
      <c r="H726" s="56"/>
      <c r="I726" s="59"/>
      <c r="J726" s="56"/>
      <c r="K726" s="56"/>
      <c r="L726" s="56"/>
      <c r="M726" s="1"/>
      <c r="N726" s="1"/>
      <c r="O726" s="1"/>
      <c r="P726" s="1"/>
      <c r="Q726" s="1"/>
      <c r="R726" s="1"/>
      <c r="S726" s="1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</row>
    <row r="727" spans="1:32" ht="58.5" customHeight="1" x14ac:dyDescent="0.25">
      <c r="A727" s="56"/>
      <c r="B727" s="56"/>
      <c r="C727" s="56"/>
      <c r="D727" s="56"/>
      <c r="E727" s="57"/>
      <c r="F727" s="58"/>
      <c r="G727" s="56"/>
      <c r="H727" s="56"/>
      <c r="I727" s="59"/>
      <c r="J727" s="56"/>
      <c r="K727" s="56"/>
      <c r="L727" s="56"/>
      <c r="M727" s="1"/>
      <c r="N727" s="1"/>
      <c r="O727" s="1"/>
      <c r="P727" s="1"/>
      <c r="Q727" s="1"/>
      <c r="R727" s="1"/>
      <c r="S727" s="1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</row>
    <row r="728" spans="1:32" ht="58.5" customHeight="1" x14ac:dyDescent="0.25">
      <c r="A728" s="56"/>
      <c r="B728" s="56"/>
      <c r="C728" s="56"/>
      <c r="D728" s="56"/>
      <c r="E728" s="57"/>
      <c r="F728" s="58"/>
      <c r="G728" s="56"/>
      <c r="H728" s="56"/>
      <c r="I728" s="59"/>
      <c r="J728" s="56"/>
      <c r="K728" s="56"/>
      <c r="L728" s="56"/>
      <c r="M728" s="1"/>
      <c r="N728" s="1"/>
      <c r="O728" s="1"/>
      <c r="P728" s="1"/>
      <c r="Q728" s="1"/>
      <c r="R728" s="1"/>
      <c r="S728" s="1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</row>
    <row r="729" spans="1:32" ht="58.5" customHeight="1" x14ac:dyDescent="0.25">
      <c r="A729" s="56"/>
      <c r="B729" s="56"/>
      <c r="C729" s="56"/>
      <c r="D729" s="56"/>
      <c r="E729" s="57"/>
      <c r="F729" s="58"/>
      <c r="G729" s="56"/>
      <c r="H729" s="56"/>
      <c r="I729" s="59"/>
      <c r="J729" s="56"/>
      <c r="K729" s="56"/>
      <c r="L729" s="56"/>
      <c r="M729" s="1"/>
      <c r="N729" s="1"/>
      <c r="O729" s="1"/>
      <c r="P729" s="1"/>
      <c r="Q729" s="1"/>
      <c r="R729" s="1"/>
      <c r="S729" s="1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</row>
    <row r="730" spans="1:32" ht="58.5" customHeight="1" x14ac:dyDescent="0.25">
      <c r="A730" s="56"/>
      <c r="B730" s="56"/>
      <c r="C730" s="56"/>
      <c r="D730" s="56"/>
      <c r="E730" s="57"/>
      <c r="F730" s="58"/>
      <c r="G730" s="56"/>
      <c r="H730" s="56"/>
      <c r="I730" s="59"/>
      <c r="J730" s="56"/>
      <c r="K730" s="56"/>
      <c r="L730" s="56"/>
      <c r="M730" s="1"/>
      <c r="N730" s="1"/>
      <c r="O730" s="1"/>
      <c r="P730" s="1"/>
      <c r="Q730" s="1"/>
      <c r="R730" s="1"/>
      <c r="S730" s="1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</row>
    <row r="731" spans="1:32" ht="58.5" customHeight="1" x14ac:dyDescent="0.25">
      <c r="A731" s="56"/>
      <c r="B731" s="56"/>
      <c r="C731" s="56"/>
      <c r="D731" s="56"/>
      <c r="E731" s="57"/>
      <c r="F731" s="58"/>
      <c r="G731" s="56"/>
      <c r="H731" s="56"/>
      <c r="I731" s="59"/>
      <c r="J731" s="56"/>
      <c r="K731" s="56"/>
      <c r="L731" s="56"/>
      <c r="M731" s="1"/>
      <c r="N731" s="1"/>
      <c r="O731" s="1"/>
      <c r="P731" s="1"/>
      <c r="Q731" s="1"/>
      <c r="R731" s="1"/>
      <c r="S731" s="1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</row>
    <row r="732" spans="1:32" ht="58.5" customHeight="1" x14ac:dyDescent="0.25">
      <c r="A732" s="56"/>
      <c r="B732" s="56"/>
      <c r="C732" s="56"/>
      <c r="D732" s="56"/>
      <c r="E732" s="57"/>
      <c r="F732" s="58"/>
      <c r="G732" s="56"/>
      <c r="H732" s="56"/>
      <c r="I732" s="59"/>
      <c r="J732" s="56"/>
      <c r="K732" s="56"/>
      <c r="L732" s="56"/>
      <c r="M732" s="1"/>
      <c r="N732" s="1"/>
      <c r="O732" s="1"/>
      <c r="P732" s="1"/>
      <c r="Q732" s="1"/>
      <c r="R732" s="1"/>
      <c r="S732" s="1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</row>
    <row r="733" spans="1:32" ht="58.5" customHeight="1" x14ac:dyDescent="0.25">
      <c r="A733" s="56"/>
      <c r="B733" s="56"/>
      <c r="C733" s="56"/>
      <c r="D733" s="56"/>
      <c r="E733" s="57"/>
      <c r="F733" s="58"/>
      <c r="G733" s="56"/>
      <c r="H733" s="56"/>
      <c r="I733" s="59"/>
      <c r="J733" s="56"/>
      <c r="K733" s="56"/>
      <c r="L733" s="56"/>
      <c r="M733" s="1"/>
      <c r="N733" s="1"/>
      <c r="O733" s="1"/>
      <c r="P733" s="1"/>
      <c r="Q733" s="1"/>
      <c r="R733" s="1"/>
      <c r="S733" s="1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</row>
    <row r="734" spans="1:32" ht="58.5" customHeight="1" x14ac:dyDescent="0.25">
      <c r="A734" s="56"/>
      <c r="B734" s="56"/>
      <c r="C734" s="56"/>
      <c r="D734" s="56"/>
      <c r="E734" s="57"/>
      <c r="F734" s="58"/>
      <c r="G734" s="56"/>
      <c r="H734" s="56"/>
      <c r="I734" s="59"/>
      <c r="J734" s="56"/>
      <c r="K734" s="56"/>
      <c r="L734" s="56"/>
      <c r="M734" s="1"/>
      <c r="N734" s="1"/>
      <c r="O734" s="1"/>
      <c r="P734" s="1"/>
      <c r="Q734" s="1"/>
      <c r="R734" s="1"/>
      <c r="S734" s="1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</row>
    <row r="735" spans="1:32" ht="58.5" customHeight="1" x14ac:dyDescent="0.25">
      <c r="A735" s="56"/>
      <c r="B735" s="56"/>
      <c r="C735" s="56"/>
      <c r="D735" s="56"/>
      <c r="E735" s="57"/>
      <c r="F735" s="58"/>
      <c r="G735" s="56"/>
      <c r="H735" s="56"/>
      <c r="I735" s="59"/>
      <c r="J735" s="56"/>
      <c r="K735" s="56"/>
      <c r="L735" s="56"/>
      <c r="M735" s="1"/>
      <c r="N735" s="1"/>
      <c r="O735" s="1"/>
      <c r="P735" s="1"/>
      <c r="Q735" s="1"/>
      <c r="R735" s="1"/>
      <c r="S735" s="1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</row>
    <row r="736" spans="1:32" ht="58.5" customHeight="1" x14ac:dyDescent="0.25">
      <c r="A736" s="56"/>
      <c r="B736" s="56"/>
      <c r="C736" s="56"/>
      <c r="D736" s="56"/>
      <c r="E736" s="57"/>
      <c r="F736" s="58"/>
      <c r="G736" s="56"/>
      <c r="H736" s="56"/>
      <c r="I736" s="59"/>
      <c r="J736" s="56"/>
      <c r="K736" s="56"/>
      <c r="L736" s="56"/>
      <c r="M736" s="1"/>
      <c r="N736" s="1"/>
      <c r="O736" s="1"/>
      <c r="P736" s="1"/>
      <c r="Q736" s="1"/>
      <c r="R736" s="1"/>
      <c r="S736" s="1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</row>
    <row r="737" spans="1:32" ht="58.5" customHeight="1" x14ac:dyDescent="0.25">
      <c r="A737" s="56"/>
      <c r="B737" s="56"/>
      <c r="C737" s="56"/>
      <c r="D737" s="56"/>
      <c r="E737" s="57"/>
      <c r="F737" s="58"/>
      <c r="G737" s="56"/>
      <c r="H737" s="56"/>
      <c r="I737" s="59"/>
      <c r="J737" s="56"/>
      <c r="K737" s="56"/>
      <c r="L737" s="56"/>
      <c r="M737" s="1"/>
      <c r="N737" s="1"/>
      <c r="O737" s="1"/>
      <c r="P737" s="1"/>
      <c r="Q737" s="1"/>
      <c r="R737" s="1"/>
      <c r="S737" s="1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</row>
    <row r="738" spans="1:32" ht="58.5" customHeight="1" x14ac:dyDescent="0.25">
      <c r="A738" s="56"/>
      <c r="B738" s="56"/>
      <c r="C738" s="56"/>
      <c r="D738" s="56"/>
      <c r="E738" s="57"/>
      <c r="F738" s="58"/>
      <c r="G738" s="56"/>
      <c r="H738" s="56"/>
      <c r="I738" s="59"/>
      <c r="J738" s="56"/>
      <c r="K738" s="56"/>
      <c r="L738" s="56"/>
      <c r="M738" s="1"/>
      <c r="N738" s="1"/>
      <c r="O738" s="1"/>
      <c r="P738" s="1"/>
      <c r="Q738" s="1"/>
      <c r="R738" s="1"/>
      <c r="S738" s="1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</row>
    <row r="739" spans="1:32" ht="58.5" customHeight="1" x14ac:dyDescent="0.25">
      <c r="A739" s="56"/>
      <c r="B739" s="56"/>
      <c r="C739" s="56"/>
      <c r="D739" s="56"/>
      <c r="E739" s="57"/>
      <c r="F739" s="58"/>
      <c r="G739" s="56"/>
      <c r="H739" s="56"/>
      <c r="I739" s="59"/>
      <c r="J739" s="56"/>
      <c r="K739" s="56"/>
      <c r="L739" s="56"/>
      <c r="M739" s="1"/>
      <c r="N739" s="1"/>
      <c r="O739" s="1"/>
      <c r="P739" s="1"/>
      <c r="Q739" s="1"/>
      <c r="R739" s="1"/>
      <c r="S739" s="1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</row>
    <row r="740" spans="1:32" ht="58.5" customHeight="1" x14ac:dyDescent="0.25">
      <c r="A740" s="56"/>
      <c r="B740" s="56"/>
      <c r="C740" s="56"/>
      <c r="D740" s="56"/>
      <c r="E740" s="57"/>
      <c r="F740" s="58"/>
      <c r="G740" s="56"/>
      <c r="H740" s="56"/>
      <c r="I740" s="59"/>
      <c r="J740" s="56"/>
      <c r="K740" s="56"/>
      <c r="L740" s="56"/>
      <c r="M740" s="1"/>
      <c r="N740" s="1"/>
      <c r="O740" s="1"/>
      <c r="P740" s="1"/>
      <c r="Q740" s="1"/>
      <c r="R740" s="1"/>
      <c r="S740" s="1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</row>
    <row r="741" spans="1:32" ht="58.5" customHeight="1" x14ac:dyDescent="0.25">
      <c r="A741" s="56"/>
      <c r="B741" s="56"/>
      <c r="C741" s="56"/>
      <c r="D741" s="56"/>
      <c r="E741" s="57"/>
      <c r="F741" s="58"/>
      <c r="G741" s="56"/>
      <c r="H741" s="56"/>
      <c r="I741" s="59"/>
      <c r="J741" s="56"/>
      <c r="K741" s="56"/>
      <c r="L741" s="56"/>
      <c r="M741" s="1"/>
      <c r="N741" s="1"/>
      <c r="O741" s="1"/>
      <c r="P741" s="1"/>
      <c r="Q741" s="1"/>
      <c r="R741" s="1"/>
      <c r="S741" s="1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</row>
    <row r="742" spans="1:32" ht="58.5" customHeight="1" x14ac:dyDescent="0.25">
      <c r="A742" s="56"/>
      <c r="B742" s="56"/>
      <c r="C742" s="56"/>
      <c r="D742" s="56"/>
      <c r="E742" s="57"/>
      <c r="F742" s="58"/>
      <c r="G742" s="56"/>
      <c r="H742" s="56"/>
      <c r="I742" s="59"/>
      <c r="J742" s="56"/>
      <c r="K742" s="56"/>
      <c r="L742" s="56"/>
      <c r="M742" s="1"/>
      <c r="N742" s="1"/>
      <c r="O742" s="1"/>
      <c r="P742" s="1"/>
      <c r="Q742" s="1"/>
      <c r="R742" s="1"/>
      <c r="S742" s="1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</row>
    <row r="743" spans="1:32" ht="58.5" customHeight="1" x14ac:dyDescent="0.25">
      <c r="A743" s="56"/>
      <c r="B743" s="56"/>
      <c r="C743" s="56"/>
      <c r="D743" s="56"/>
      <c r="E743" s="57"/>
      <c r="F743" s="58"/>
      <c r="G743" s="56"/>
      <c r="H743" s="56"/>
      <c r="I743" s="59"/>
      <c r="J743" s="56"/>
      <c r="K743" s="56"/>
      <c r="L743" s="56"/>
      <c r="M743" s="1"/>
      <c r="N743" s="1"/>
      <c r="O743" s="1"/>
      <c r="P743" s="1"/>
      <c r="Q743" s="1"/>
      <c r="R743" s="1"/>
      <c r="S743" s="1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</row>
    <row r="744" spans="1:32" ht="58.5" customHeight="1" x14ac:dyDescent="0.25">
      <c r="A744" s="56"/>
      <c r="B744" s="56"/>
      <c r="C744" s="56"/>
      <c r="D744" s="56"/>
      <c r="E744" s="57"/>
      <c r="F744" s="58"/>
      <c r="G744" s="56"/>
      <c r="H744" s="56"/>
      <c r="I744" s="59"/>
      <c r="J744" s="56"/>
      <c r="K744" s="56"/>
      <c r="L744" s="56"/>
      <c r="M744" s="1"/>
      <c r="N744" s="1"/>
      <c r="O744" s="1"/>
      <c r="P744" s="1"/>
      <c r="Q744" s="1"/>
      <c r="R744" s="1"/>
      <c r="S744" s="1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</row>
    <row r="745" spans="1:32" ht="58.5" customHeight="1" x14ac:dyDescent="0.25">
      <c r="A745" s="56"/>
      <c r="B745" s="56"/>
      <c r="C745" s="56"/>
      <c r="D745" s="56"/>
      <c r="E745" s="57"/>
      <c r="F745" s="58"/>
      <c r="G745" s="56"/>
      <c r="H745" s="56"/>
      <c r="I745" s="59"/>
      <c r="J745" s="56"/>
      <c r="K745" s="56"/>
      <c r="L745" s="56"/>
      <c r="M745" s="1"/>
      <c r="N745" s="1"/>
      <c r="O745" s="1"/>
      <c r="P745" s="1"/>
      <c r="Q745" s="1"/>
      <c r="R745" s="1"/>
      <c r="S745" s="1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</row>
    <row r="746" spans="1:32" ht="58.5" customHeight="1" x14ac:dyDescent="0.25">
      <c r="A746" s="56"/>
      <c r="B746" s="56"/>
      <c r="C746" s="56"/>
      <c r="D746" s="56"/>
      <c r="E746" s="57"/>
      <c r="F746" s="58"/>
      <c r="G746" s="56"/>
      <c r="H746" s="56"/>
      <c r="I746" s="59"/>
      <c r="J746" s="56"/>
      <c r="K746" s="56"/>
      <c r="L746" s="56"/>
      <c r="M746" s="1"/>
      <c r="N746" s="1"/>
      <c r="O746" s="1"/>
      <c r="P746" s="1"/>
      <c r="Q746" s="1"/>
      <c r="R746" s="1"/>
      <c r="S746" s="1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</row>
    <row r="747" spans="1:32" ht="58.5" customHeight="1" x14ac:dyDescent="0.25">
      <c r="A747" s="56"/>
      <c r="B747" s="56"/>
      <c r="C747" s="56"/>
      <c r="D747" s="56"/>
      <c r="E747" s="57"/>
      <c r="F747" s="58"/>
      <c r="G747" s="56"/>
      <c r="H747" s="56"/>
      <c r="I747" s="59"/>
      <c r="J747" s="56"/>
      <c r="K747" s="56"/>
      <c r="L747" s="56"/>
      <c r="M747" s="1"/>
      <c r="N747" s="1"/>
      <c r="O747" s="1"/>
      <c r="P747" s="1"/>
      <c r="Q747" s="1"/>
      <c r="R747" s="1"/>
      <c r="S747" s="1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</row>
    <row r="748" spans="1:32" ht="58.5" customHeight="1" x14ac:dyDescent="0.25">
      <c r="A748" s="56"/>
      <c r="B748" s="56"/>
      <c r="C748" s="56"/>
      <c r="D748" s="56"/>
      <c r="E748" s="57"/>
      <c r="F748" s="58"/>
      <c r="G748" s="56"/>
      <c r="H748" s="56"/>
      <c r="I748" s="59"/>
      <c r="J748" s="56"/>
      <c r="K748" s="56"/>
      <c r="L748" s="56"/>
      <c r="M748" s="1"/>
      <c r="N748" s="1"/>
      <c r="O748" s="1"/>
      <c r="P748" s="1"/>
      <c r="Q748" s="1"/>
      <c r="R748" s="1"/>
      <c r="S748" s="1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</row>
    <row r="749" spans="1:32" ht="58.5" customHeight="1" x14ac:dyDescent="0.25">
      <c r="A749" s="56"/>
      <c r="B749" s="56"/>
      <c r="C749" s="56"/>
      <c r="D749" s="56"/>
      <c r="E749" s="57"/>
      <c r="F749" s="58"/>
      <c r="G749" s="56"/>
      <c r="H749" s="56"/>
      <c r="I749" s="59"/>
      <c r="J749" s="56"/>
      <c r="K749" s="56"/>
      <c r="L749" s="56"/>
      <c r="M749" s="1"/>
      <c r="N749" s="1"/>
      <c r="O749" s="1"/>
      <c r="P749" s="1"/>
      <c r="Q749" s="1"/>
      <c r="R749" s="1"/>
      <c r="S749" s="1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</row>
    <row r="750" spans="1:32" ht="58.5" customHeight="1" x14ac:dyDescent="0.25">
      <c r="A750" s="56"/>
      <c r="B750" s="56"/>
      <c r="C750" s="56"/>
      <c r="D750" s="56"/>
      <c r="E750" s="57"/>
      <c r="F750" s="58"/>
      <c r="G750" s="56"/>
      <c r="H750" s="56"/>
      <c r="I750" s="59"/>
      <c r="J750" s="56"/>
      <c r="K750" s="56"/>
      <c r="L750" s="56"/>
      <c r="M750" s="1"/>
      <c r="N750" s="1"/>
      <c r="O750" s="1"/>
      <c r="P750" s="1"/>
      <c r="Q750" s="1"/>
      <c r="R750" s="1"/>
      <c r="S750" s="1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</row>
    <row r="751" spans="1:32" ht="58.5" customHeight="1" x14ac:dyDescent="0.25">
      <c r="A751" s="56"/>
      <c r="B751" s="56"/>
      <c r="C751" s="56"/>
      <c r="D751" s="56"/>
      <c r="E751" s="57"/>
      <c r="F751" s="58"/>
      <c r="G751" s="56"/>
      <c r="H751" s="56"/>
      <c r="I751" s="59"/>
      <c r="J751" s="56"/>
      <c r="K751" s="56"/>
      <c r="L751" s="56"/>
      <c r="M751" s="1"/>
      <c r="N751" s="1"/>
      <c r="O751" s="1"/>
      <c r="P751" s="1"/>
      <c r="Q751" s="1"/>
      <c r="R751" s="1"/>
      <c r="S751" s="1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</row>
    <row r="752" spans="1:32" ht="58.5" customHeight="1" x14ac:dyDescent="0.25">
      <c r="A752" s="56"/>
      <c r="B752" s="56"/>
      <c r="C752" s="56"/>
      <c r="D752" s="56"/>
      <c r="E752" s="57"/>
      <c r="F752" s="58"/>
      <c r="G752" s="56"/>
      <c r="H752" s="56"/>
      <c r="I752" s="59"/>
      <c r="J752" s="56"/>
      <c r="K752" s="56"/>
      <c r="L752" s="56"/>
      <c r="M752" s="1"/>
      <c r="N752" s="1"/>
      <c r="O752" s="1"/>
      <c r="P752" s="1"/>
      <c r="Q752" s="1"/>
      <c r="R752" s="1"/>
      <c r="S752" s="1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</row>
    <row r="753" spans="1:32" ht="58.5" customHeight="1" x14ac:dyDescent="0.25">
      <c r="A753" s="56"/>
      <c r="B753" s="56"/>
      <c r="C753" s="56"/>
      <c r="D753" s="56"/>
      <c r="E753" s="57"/>
      <c r="F753" s="58"/>
      <c r="G753" s="56"/>
      <c r="H753" s="56"/>
      <c r="I753" s="59"/>
      <c r="J753" s="56"/>
      <c r="K753" s="56"/>
      <c r="L753" s="56"/>
      <c r="M753" s="1"/>
      <c r="N753" s="1"/>
      <c r="O753" s="1"/>
      <c r="P753" s="1"/>
      <c r="Q753" s="1"/>
      <c r="R753" s="1"/>
      <c r="S753" s="1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</row>
    <row r="754" spans="1:32" ht="58.5" customHeight="1" x14ac:dyDescent="0.25">
      <c r="A754" s="56"/>
      <c r="B754" s="56"/>
      <c r="C754" s="56"/>
      <c r="D754" s="56"/>
      <c r="E754" s="57"/>
      <c r="F754" s="58"/>
      <c r="G754" s="56"/>
      <c r="H754" s="56"/>
      <c r="I754" s="59"/>
      <c r="J754" s="56"/>
      <c r="K754" s="56"/>
      <c r="L754" s="56"/>
      <c r="M754" s="1"/>
      <c r="N754" s="1"/>
      <c r="O754" s="1"/>
      <c r="P754" s="1"/>
      <c r="Q754" s="1"/>
      <c r="R754" s="1"/>
      <c r="S754" s="1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</row>
    <row r="755" spans="1:32" ht="58.5" customHeight="1" x14ac:dyDescent="0.25">
      <c r="A755" s="56"/>
      <c r="B755" s="56"/>
      <c r="C755" s="56"/>
      <c r="D755" s="56"/>
      <c r="E755" s="57"/>
      <c r="F755" s="58"/>
      <c r="G755" s="56"/>
      <c r="H755" s="56"/>
      <c r="I755" s="59"/>
      <c r="J755" s="56"/>
      <c r="K755" s="56"/>
      <c r="L755" s="56"/>
      <c r="M755" s="1"/>
      <c r="N755" s="1"/>
      <c r="O755" s="1"/>
      <c r="P755" s="1"/>
      <c r="Q755" s="1"/>
      <c r="R755" s="1"/>
      <c r="S755" s="1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</row>
    <row r="756" spans="1:32" ht="58.5" customHeight="1" x14ac:dyDescent="0.25">
      <c r="A756" s="56"/>
      <c r="B756" s="56"/>
      <c r="C756" s="56"/>
      <c r="D756" s="56"/>
      <c r="E756" s="57"/>
      <c r="F756" s="58"/>
      <c r="G756" s="56"/>
      <c r="H756" s="56"/>
      <c r="I756" s="59"/>
      <c r="J756" s="56"/>
      <c r="K756" s="56"/>
      <c r="L756" s="56"/>
      <c r="M756" s="1"/>
      <c r="N756" s="1"/>
      <c r="O756" s="1"/>
      <c r="P756" s="1"/>
      <c r="Q756" s="1"/>
      <c r="R756" s="1"/>
      <c r="S756" s="1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</row>
    <row r="757" spans="1:32" ht="58.5" customHeight="1" x14ac:dyDescent="0.25">
      <c r="A757" s="56"/>
      <c r="B757" s="56"/>
      <c r="C757" s="56"/>
      <c r="D757" s="56"/>
      <c r="E757" s="57"/>
      <c r="F757" s="58"/>
      <c r="G757" s="56"/>
      <c r="H757" s="56"/>
      <c r="I757" s="59"/>
      <c r="J757" s="56"/>
      <c r="K757" s="56"/>
      <c r="L757" s="56"/>
      <c r="M757" s="1"/>
      <c r="N757" s="1"/>
      <c r="O757" s="1"/>
      <c r="P757" s="1"/>
      <c r="Q757" s="1"/>
      <c r="R757" s="1"/>
      <c r="S757" s="1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</row>
    <row r="758" spans="1:32" ht="58.5" customHeight="1" x14ac:dyDescent="0.25">
      <c r="A758" s="56"/>
      <c r="B758" s="56"/>
      <c r="C758" s="56"/>
      <c r="D758" s="56"/>
      <c r="E758" s="57"/>
      <c r="F758" s="58"/>
      <c r="G758" s="56"/>
      <c r="H758" s="56"/>
      <c r="I758" s="59"/>
      <c r="J758" s="56"/>
      <c r="K758" s="56"/>
      <c r="L758" s="56"/>
      <c r="M758" s="1"/>
      <c r="N758" s="1"/>
      <c r="O758" s="1"/>
      <c r="P758" s="1"/>
      <c r="Q758" s="1"/>
      <c r="R758" s="1"/>
      <c r="S758" s="1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</row>
    <row r="759" spans="1:32" ht="58.5" customHeight="1" x14ac:dyDescent="0.25">
      <c r="A759" s="56"/>
      <c r="B759" s="56"/>
      <c r="C759" s="56"/>
      <c r="D759" s="56"/>
      <c r="E759" s="57"/>
      <c r="F759" s="58"/>
      <c r="G759" s="56"/>
      <c r="H759" s="56"/>
      <c r="I759" s="59"/>
      <c r="J759" s="56"/>
      <c r="K759" s="56"/>
      <c r="L759" s="56"/>
      <c r="M759" s="1"/>
      <c r="N759" s="1"/>
      <c r="O759" s="1"/>
      <c r="P759" s="1"/>
      <c r="Q759" s="1"/>
      <c r="R759" s="1"/>
      <c r="S759" s="1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</row>
    <row r="760" spans="1:32" ht="58.5" customHeight="1" x14ac:dyDescent="0.25">
      <c r="A760" s="56"/>
      <c r="B760" s="56"/>
      <c r="C760" s="56"/>
      <c r="D760" s="56"/>
      <c r="E760" s="57"/>
      <c r="F760" s="58"/>
      <c r="G760" s="56"/>
      <c r="H760" s="56"/>
      <c r="I760" s="59"/>
      <c r="J760" s="56"/>
      <c r="K760" s="56"/>
      <c r="L760" s="56"/>
      <c r="M760" s="1"/>
      <c r="N760" s="1"/>
      <c r="O760" s="1"/>
      <c r="P760" s="1"/>
      <c r="Q760" s="1"/>
      <c r="R760" s="1"/>
      <c r="S760" s="1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</row>
    <row r="761" spans="1:32" ht="58.5" customHeight="1" x14ac:dyDescent="0.25">
      <c r="A761" s="56"/>
      <c r="B761" s="56"/>
      <c r="C761" s="56"/>
      <c r="D761" s="56"/>
      <c r="E761" s="57"/>
      <c r="F761" s="58"/>
      <c r="G761" s="56"/>
      <c r="H761" s="56"/>
      <c r="I761" s="59"/>
      <c r="J761" s="56"/>
      <c r="K761" s="56"/>
      <c r="L761" s="56"/>
      <c r="M761" s="1"/>
      <c r="N761" s="1"/>
      <c r="O761" s="1"/>
      <c r="P761" s="1"/>
      <c r="Q761" s="1"/>
      <c r="R761" s="1"/>
      <c r="S761" s="1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</row>
    <row r="762" spans="1:32" ht="58.5" customHeight="1" x14ac:dyDescent="0.25">
      <c r="A762" s="56"/>
      <c r="B762" s="56"/>
      <c r="C762" s="56"/>
      <c r="D762" s="56"/>
      <c r="E762" s="57"/>
      <c r="F762" s="58"/>
      <c r="G762" s="56"/>
      <c r="H762" s="56"/>
      <c r="I762" s="59"/>
      <c r="J762" s="56"/>
      <c r="K762" s="56"/>
      <c r="L762" s="56"/>
      <c r="M762" s="1"/>
      <c r="N762" s="1"/>
      <c r="O762" s="1"/>
      <c r="P762" s="1"/>
      <c r="Q762" s="1"/>
      <c r="R762" s="1"/>
      <c r="S762" s="1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</row>
    <row r="763" spans="1:32" ht="58.5" customHeight="1" x14ac:dyDescent="0.25">
      <c r="A763" s="56"/>
      <c r="B763" s="56"/>
      <c r="C763" s="56"/>
      <c r="D763" s="56"/>
      <c r="E763" s="57"/>
      <c r="F763" s="58"/>
      <c r="G763" s="56"/>
      <c r="H763" s="56"/>
      <c r="I763" s="59"/>
      <c r="J763" s="56"/>
      <c r="K763" s="56"/>
      <c r="L763" s="56"/>
      <c r="M763" s="1"/>
      <c r="N763" s="1"/>
      <c r="O763" s="1"/>
      <c r="P763" s="1"/>
      <c r="Q763" s="1"/>
      <c r="R763" s="1"/>
      <c r="S763" s="1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</row>
    <row r="764" spans="1:32" ht="58.5" customHeight="1" x14ac:dyDescent="0.25">
      <c r="A764" s="56"/>
      <c r="B764" s="56"/>
      <c r="C764" s="56"/>
      <c r="D764" s="56"/>
      <c r="E764" s="57"/>
      <c r="F764" s="58"/>
      <c r="G764" s="56"/>
      <c r="H764" s="56"/>
      <c r="I764" s="59"/>
      <c r="J764" s="56"/>
      <c r="K764" s="56"/>
      <c r="L764" s="56"/>
      <c r="M764" s="1"/>
      <c r="N764" s="1"/>
      <c r="O764" s="1"/>
      <c r="P764" s="1"/>
      <c r="Q764" s="1"/>
      <c r="R764" s="1"/>
      <c r="S764" s="1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</row>
    <row r="765" spans="1:32" ht="58.5" customHeight="1" x14ac:dyDescent="0.25">
      <c r="A765" s="56"/>
      <c r="B765" s="56"/>
      <c r="C765" s="56"/>
      <c r="D765" s="56"/>
      <c r="E765" s="57"/>
      <c r="F765" s="58"/>
      <c r="G765" s="56"/>
      <c r="H765" s="56"/>
      <c r="I765" s="59"/>
      <c r="J765" s="56"/>
      <c r="K765" s="56"/>
      <c r="L765" s="56"/>
      <c r="M765" s="1"/>
      <c r="N765" s="1"/>
      <c r="O765" s="1"/>
      <c r="P765" s="1"/>
      <c r="Q765" s="1"/>
      <c r="R765" s="1"/>
      <c r="S765" s="1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</row>
    <row r="766" spans="1:32" ht="58.5" customHeight="1" x14ac:dyDescent="0.25">
      <c r="A766" s="56"/>
      <c r="B766" s="56"/>
      <c r="C766" s="56"/>
      <c r="D766" s="56"/>
      <c r="E766" s="57"/>
      <c r="F766" s="58"/>
      <c r="G766" s="56"/>
      <c r="H766" s="56"/>
      <c r="I766" s="59"/>
      <c r="J766" s="56"/>
      <c r="K766" s="56"/>
      <c r="L766" s="56"/>
      <c r="M766" s="1"/>
      <c r="N766" s="1"/>
      <c r="O766" s="1"/>
      <c r="P766" s="1"/>
      <c r="Q766" s="1"/>
      <c r="R766" s="1"/>
      <c r="S766" s="1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</row>
    <row r="767" spans="1:32" ht="58.5" customHeight="1" x14ac:dyDescent="0.25">
      <c r="A767" s="56"/>
      <c r="B767" s="56"/>
      <c r="C767" s="56"/>
      <c r="D767" s="56"/>
      <c r="E767" s="57"/>
      <c r="F767" s="58"/>
      <c r="G767" s="56"/>
      <c r="H767" s="56"/>
      <c r="I767" s="59"/>
      <c r="J767" s="56"/>
      <c r="K767" s="56"/>
      <c r="L767" s="56"/>
      <c r="M767" s="1"/>
      <c r="N767" s="1"/>
      <c r="O767" s="1"/>
      <c r="P767" s="1"/>
      <c r="Q767" s="1"/>
      <c r="R767" s="1"/>
      <c r="S767" s="1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</row>
    <row r="768" spans="1:32" ht="58.5" customHeight="1" x14ac:dyDescent="0.25">
      <c r="A768" s="56"/>
      <c r="B768" s="56"/>
      <c r="C768" s="56"/>
      <c r="D768" s="56"/>
      <c r="E768" s="57"/>
      <c r="F768" s="58"/>
      <c r="G768" s="56"/>
      <c r="H768" s="56"/>
      <c r="I768" s="59"/>
      <c r="J768" s="56"/>
      <c r="K768" s="56"/>
      <c r="L768" s="56"/>
      <c r="M768" s="1"/>
      <c r="N768" s="1"/>
      <c r="O768" s="1"/>
      <c r="P768" s="1"/>
      <c r="Q768" s="1"/>
      <c r="R768" s="1"/>
      <c r="S768" s="1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</row>
    <row r="769" spans="1:32" ht="58.5" customHeight="1" x14ac:dyDescent="0.25">
      <c r="A769" s="56"/>
      <c r="B769" s="56"/>
      <c r="C769" s="56"/>
      <c r="D769" s="56"/>
      <c r="E769" s="57"/>
      <c r="F769" s="58"/>
      <c r="G769" s="56"/>
      <c r="H769" s="56"/>
      <c r="I769" s="59"/>
      <c r="J769" s="56"/>
      <c r="K769" s="56"/>
      <c r="L769" s="56"/>
      <c r="M769" s="1"/>
      <c r="N769" s="1"/>
      <c r="O769" s="1"/>
      <c r="P769" s="1"/>
      <c r="Q769" s="1"/>
      <c r="R769" s="1"/>
      <c r="S769" s="1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</row>
    <row r="770" spans="1:32" ht="58.5" customHeight="1" x14ac:dyDescent="0.25">
      <c r="A770" s="56"/>
      <c r="B770" s="56"/>
      <c r="C770" s="56"/>
      <c r="D770" s="56"/>
      <c r="E770" s="57"/>
      <c r="F770" s="58"/>
      <c r="G770" s="56"/>
      <c r="H770" s="56"/>
      <c r="I770" s="59"/>
      <c r="J770" s="56"/>
      <c r="K770" s="56"/>
      <c r="L770" s="56"/>
      <c r="M770" s="1"/>
      <c r="N770" s="1"/>
      <c r="O770" s="1"/>
      <c r="P770" s="1"/>
      <c r="Q770" s="1"/>
      <c r="R770" s="1"/>
      <c r="S770" s="1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</row>
    <row r="771" spans="1:32" ht="58.5" customHeight="1" x14ac:dyDescent="0.25">
      <c r="A771" s="56"/>
      <c r="B771" s="56"/>
      <c r="C771" s="56"/>
      <c r="D771" s="56"/>
      <c r="E771" s="57"/>
      <c r="F771" s="58"/>
      <c r="G771" s="56"/>
      <c r="H771" s="56"/>
      <c r="I771" s="59"/>
      <c r="J771" s="56"/>
      <c r="K771" s="56"/>
      <c r="L771" s="56"/>
      <c r="M771" s="1"/>
      <c r="N771" s="1"/>
      <c r="O771" s="1"/>
      <c r="P771" s="1"/>
      <c r="Q771" s="1"/>
      <c r="R771" s="1"/>
      <c r="S771" s="1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</row>
    <row r="772" spans="1:32" ht="58.5" customHeight="1" x14ac:dyDescent="0.25">
      <c r="A772" s="56"/>
      <c r="B772" s="56"/>
      <c r="C772" s="56"/>
      <c r="D772" s="56"/>
      <c r="E772" s="57"/>
      <c r="F772" s="58"/>
      <c r="G772" s="56"/>
      <c r="H772" s="56"/>
      <c r="I772" s="59"/>
      <c r="J772" s="56"/>
      <c r="K772" s="56"/>
      <c r="L772" s="56"/>
      <c r="M772" s="1"/>
      <c r="N772" s="1"/>
      <c r="O772" s="1"/>
      <c r="P772" s="1"/>
      <c r="Q772" s="1"/>
      <c r="R772" s="1"/>
      <c r="S772" s="1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</row>
    <row r="773" spans="1:32" ht="58.5" customHeight="1" x14ac:dyDescent="0.25">
      <c r="A773" s="56"/>
      <c r="B773" s="56"/>
      <c r="C773" s="56"/>
      <c r="D773" s="56"/>
      <c r="E773" s="57"/>
      <c r="F773" s="58"/>
      <c r="G773" s="56"/>
      <c r="H773" s="56"/>
      <c r="I773" s="59"/>
      <c r="J773" s="56"/>
      <c r="K773" s="56"/>
      <c r="L773" s="56"/>
      <c r="M773" s="1"/>
      <c r="N773" s="1"/>
      <c r="O773" s="1"/>
      <c r="P773" s="1"/>
      <c r="Q773" s="1"/>
      <c r="R773" s="1"/>
      <c r="S773" s="1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</row>
    <row r="774" spans="1:32" ht="58.5" customHeight="1" x14ac:dyDescent="0.25">
      <c r="A774" s="56"/>
      <c r="B774" s="56"/>
      <c r="C774" s="56"/>
      <c r="D774" s="56"/>
      <c r="E774" s="57"/>
      <c r="F774" s="58"/>
      <c r="G774" s="56"/>
      <c r="H774" s="56"/>
      <c r="I774" s="59"/>
      <c r="J774" s="56"/>
      <c r="K774" s="56"/>
      <c r="L774" s="56"/>
      <c r="M774" s="1"/>
      <c r="N774" s="1"/>
      <c r="O774" s="1"/>
      <c r="P774" s="1"/>
      <c r="Q774" s="1"/>
      <c r="R774" s="1"/>
      <c r="S774" s="1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</row>
    <row r="775" spans="1:32" ht="58.5" customHeight="1" x14ac:dyDescent="0.25">
      <c r="A775" s="56"/>
      <c r="B775" s="56"/>
      <c r="C775" s="56"/>
      <c r="D775" s="56"/>
      <c r="E775" s="57"/>
      <c r="F775" s="58"/>
      <c r="G775" s="56"/>
      <c r="H775" s="56"/>
      <c r="I775" s="59"/>
      <c r="J775" s="56"/>
      <c r="K775" s="56"/>
      <c r="L775" s="56"/>
      <c r="M775" s="1"/>
      <c r="N775" s="1"/>
      <c r="O775" s="1"/>
      <c r="P775" s="1"/>
      <c r="Q775" s="1"/>
      <c r="R775" s="1"/>
      <c r="S775" s="1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</row>
    <row r="776" spans="1:32" ht="58.5" customHeight="1" x14ac:dyDescent="0.25">
      <c r="A776" s="56"/>
      <c r="B776" s="56"/>
      <c r="C776" s="56"/>
      <c r="D776" s="56"/>
      <c r="E776" s="57"/>
      <c r="F776" s="58"/>
      <c r="G776" s="56"/>
      <c r="H776" s="56"/>
      <c r="I776" s="59"/>
      <c r="J776" s="56"/>
      <c r="K776" s="56"/>
      <c r="L776" s="56"/>
      <c r="M776" s="1"/>
      <c r="N776" s="1"/>
      <c r="O776" s="1"/>
      <c r="P776" s="1"/>
      <c r="Q776" s="1"/>
      <c r="R776" s="1"/>
      <c r="S776" s="1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</row>
    <row r="777" spans="1:32" ht="58.5" customHeight="1" x14ac:dyDescent="0.25">
      <c r="A777" s="56"/>
      <c r="B777" s="56"/>
      <c r="C777" s="56"/>
      <c r="D777" s="56"/>
      <c r="E777" s="57"/>
      <c r="F777" s="58"/>
      <c r="G777" s="56"/>
      <c r="H777" s="56"/>
      <c r="I777" s="59"/>
      <c r="J777" s="56"/>
      <c r="K777" s="56"/>
      <c r="L777" s="56"/>
      <c r="M777" s="1"/>
      <c r="N777" s="1"/>
      <c r="O777" s="1"/>
      <c r="P777" s="1"/>
      <c r="Q777" s="1"/>
      <c r="R777" s="1"/>
      <c r="S777" s="1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</row>
    <row r="778" spans="1:32" ht="58.5" customHeight="1" x14ac:dyDescent="0.25">
      <c r="A778" s="56"/>
      <c r="B778" s="56"/>
      <c r="C778" s="56"/>
      <c r="D778" s="56"/>
      <c r="E778" s="57"/>
      <c r="F778" s="58"/>
      <c r="G778" s="56"/>
      <c r="H778" s="56"/>
      <c r="I778" s="59"/>
      <c r="J778" s="56"/>
      <c r="K778" s="56"/>
      <c r="L778" s="56"/>
      <c r="M778" s="1"/>
      <c r="N778" s="1"/>
      <c r="O778" s="1"/>
      <c r="P778" s="1"/>
      <c r="Q778" s="1"/>
      <c r="R778" s="1"/>
      <c r="S778" s="1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</row>
    <row r="779" spans="1:32" ht="58.5" customHeight="1" x14ac:dyDescent="0.25">
      <c r="A779" s="56"/>
      <c r="B779" s="56"/>
      <c r="C779" s="56"/>
      <c r="D779" s="56"/>
      <c r="E779" s="57"/>
      <c r="F779" s="58"/>
      <c r="G779" s="56"/>
      <c r="H779" s="56"/>
      <c r="I779" s="59"/>
      <c r="J779" s="56"/>
      <c r="K779" s="56"/>
      <c r="L779" s="56"/>
      <c r="M779" s="1"/>
      <c r="N779" s="1"/>
      <c r="O779" s="1"/>
      <c r="P779" s="1"/>
      <c r="Q779" s="1"/>
      <c r="R779" s="1"/>
      <c r="S779" s="1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</row>
    <row r="780" spans="1:32" ht="58.5" customHeight="1" x14ac:dyDescent="0.25">
      <c r="A780" s="56"/>
      <c r="B780" s="56"/>
      <c r="C780" s="56"/>
      <c r="D780" s="56"/>
      <c r="E780" s="57"/>
      <c r="F780" s="58"/>
      <c r="G780" s="56"/>
      <c r="H780" s="56"/>
      <c r="I780" s="59"/>
      <c r="J780" s="56"/>
      <c r="K780" s="56"/>
      <c r="L780" s="56"/>
      <c r="M780" s="1"/>
      <c r="N780" s="1"/>
      <c r="O780" s="1"/>
      <c r="P780" s="1"/>
      <c r="Q780" s="1"/>
      <c r="R780" s="1"/>
      <c r="S780" s="1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</row>
    <row r="781" spans="1:32" ht="58.5" customHeight="1" x14ac:dyDescent="0.25">
      <c r="A781" s="56"/>
      <c r="B781" s="56"/>
      <c r="C781" s="56"/>
      <c r="D781" s="56"/>
      <c r="E781" s="57"/>
      <c r="F781" s="58"/>
      <c r="G781" s="56"/>
      <c r="H781" s="56"/>
      <c r="I781" s="59"/>
      <c r="J781" s="56"/>
      <c r="K781" s="56"/>
      <c r="L781" s="56"/>
      <c r="M781" s="1"/>
      <c r="N781" s="1"/>
      <c r="O781" s="1"/>
      <c r="P781" s="1"/>
      <c r="Q781" s="1"/>
      <c r="R781" s="1"/>
      <c r="S781" s="1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</row>
    <row r="782" spans="1:32" ht="58.5" customHeight="1" x14ac:dyDescent="0.25">
      <c r="A782" s="56"/>
      <c r="B782" s="56"/>
      <c r="C782" s="56"/>
      <c r="D782" s="56"/>
      <c r="E782" s="57"/>
      <c r="F782" s="58"/>
      <c r="G782" s="56"/>
      <c r="H782" s="56"/>
      <c r="I782" s="59"/>
      <c r="J782" s="56"/>
      <c r="K782" s="56"/>
      <c r="L782" s="56"/>
      <c r="M782" s="1"/>
      <c r="N782" s="1"/>
      <c r="O782" s="1"/>
      <c r="P782" s="1"/>
      <c r="Q782" s="1"/>
      <c r="R782" s="1"/>
      <c r="S782" s="1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</row>
    <row r="783" spans="1:32" ht="58.5" customHeight="1" x14ac:dyDescent="0.25">
      <c r="A783" s="56"/>
      <c r="B783" s="56"/>
      <c r="C783" s="56"/>
      <c r="D783" s="56"/>
      <c r="E783" s="57"/>
      <c r="F783" s="58"/>
      <c r="G783" s="56"/>
      <c r="H783" s="56"/>
      <c r="I783" s="59"/>
      <c r="J783" s="56"/>
      <c r="K783" s="56"/>
      <c r="L783" s="56"/>
      <c r="M783" s="1"/>
      <c r="N783" s="1"/>
      <c r="O783" s="1"/>
      <c r="P783" s="1"/>
      <c r="Q783" s="1"/>
      <c r="R783" s="1"/>
      <c r="S783" s="1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</row>
    <row r="784" spans="1:32" ht="58.5" customHeight="1" x14ac:dyDescent="0.25">
      <c r="A784" s="56"/>
      <c r="B784" s="56"/>
      <c r="C784" s="56"/>
      <c r="D784" s="56"/>
      <c r="E784" s="57"/>
      <c r="F784" s="58"/>
      <c r="G784" s="56"/>
      <c r="H784" s="56"/>
      <c r="I784" s="59"/>
      <c r="J784" s="56"/>
      <c r="K784" s="56"/>
      <c r="L784" s="56"/>
      <c r="M784" s="1"/>
      <c r="N784" s="1"/>
      <c r="O784" s="1"/>
      <c r="P784" s="1"/>
      <c r="Q784" s="1"/>
      <c r="R784" s="1"/>
      <c r="S784" s="1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</row>
    <row r="785" spans="1:32" ht="58.5" customHeight="1" x14ac:dyDescent="0.25">
      <c r="A785" s="56"/>
      <c r="B785" s="56"/>
      <c r="C785" s="56"/>
      <c r="D785" s="56"/>
      <c r="E785" s="57"/>
      <c r="F785" s="58"/>
      <c r="G785" s="56"/>
      <c r="H785" s="56"/>
      <c r="I785" s="59"/>
      <c r="J785" s="56"/>
      <c r="K785" s="56"/>
      <c r="L785" s="56"/>
      <c r="M785" s="1"/>
      <c r="N785" s="1"/>
      <c r="O785" s="1"/>
      <c r="P785" s="1"/>
      <c r="Q785" s="1"/>
      <c r="R785" s="1"/>
      <c r="S785" s="1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</row>
    <row r="786" spans="1:32" ht="58.5" customHeight="1" x14ac:dyDescent="0.25">
      <c r="A786" s="56"/>
      <c r="B786" s="56"/>
      <c r="C786" s="56"/>
      <c r="D786" s="56"/>
      <c r="E786" s="57"/>
      <c r="F786" s="58"/>
      <c r="G786" s="56"/>
      <c r="H786" s="56"/>
      <c r="I786" s="59"/>
      <c r="J786" s="56"/>
      <c r="K786" s="56"/>
      <c r="L786" s="56"/>
      <c r="M786" s="1"/>
      <c r="N786" s="1"/>
      <c r="O786" s="1"/>
      <c r="P786" s="1"/>
      <c r="Q786" s="1"/>
      <c r="R786" s="1"/>
      <c r="S786" s="1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</row>
    <row r="787" spans="1:32" ht="58.5" customHeight="1" x14ac:dyDescent="0.25">
      <c r="A787" s="56"/>
      <c r="B787" s="56"/>
      <c r="C787" s="56"/>
      <c r="D787" s="56"/>
      <c r="E787" s="57"/>
      <c r="F787" s="58"/>
      <c r="G787" s="56"/>
      <c r="H787" s="56"/>
      <c r="I787" s="59"/>
      <c r="J787" s="56"/>
      <c r="K787" s="56"/>
      <c r="L787" s="56"/>
      <c r="M787" s="1"/>
      <c r="N787" s="1"/>
      <c r="O787" s="1"/>
      <c r="P787" s="1"/>
      <c r="Q787" s="1"/>
      <c r="R787" s="1"/>
      <c r="S787" s="1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</row>
    <row r="788" spans="1:32" ht="58.5" customHeight="1" x14ac:dyDescent="0.25">
      <c r="A788" s="56"/>
      <c r="B788" s="56"/>
      <c r="C788" s="56"/>
      <c r="D788" s="56"/>
      <c r="E788" s="57"/>
      <c r="F788" s="58"/>
      <c r="G788" s="56"/>
      <c r="H788" s="56"/>
      <c r="I788" s="59"/>
      <c r="J788" s="56"/>
      <c r="K788" s="56"/>
      <c r="L788" s="56"/>
      <c r="M788" s="1"/>
      <c r="N788" s="1"/>
      <c r="O788" s="1"/>
      <c r="P788" s="1"/>
      <c r="Q788" s="1"/>
      <c r="R788" s="1"/>
      <c r="S788" s="1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</row>
    <row r="789" spans="1:32" ht="58.5" customHeight="1" x14ac:dyDescent="0.25">
      <c r="A789" s="56"/>
      <c r="B789" s="56"/>
      <c r="C789" s="56"/>
      <c r="D789" s="56"/>
      <c r="E789" s="57"/>
      <c r="F789" s="58"/>
      <c r="G789" s="56"/>
      <c r="H789" s="56"/>
      <c r="I789" s="59"/>
      <c r="J789" s="56"/>
      <c r="K789" s="56"/>
      <c r="L789" s="56"/>
      <c r="M789" s="1"/>
      <c r="N789" s="1"/>
      <c r="O789" s="1"/>
      <c r="P789" s="1"/>
      <c r="Q789" s="1"/>
      <c r="R789" s="1"/>
      <c r="S789" s="1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</row>
    <row r="790" spans="1:32" ht="58.5" customHeight="1" x14ac:dyDescent="0.25">
      <c r="A790" s="56"/>
      <c r="B790" s="56"/>
      <c r="C790" s="56"/>
      <c r="D790" s="56"/>
      <c r="E790" s="57"/>
      <c r="F790" s="58"/>
      <c r="G790" s="56"/>
      <c r="H790" s="56"/>
      <c r="I790" s="59"/>
      <c r="J790" s="56"/>
      <c r="K790" s="56"/>
      <c r="L790" s="56"/>
      <c r="M790" s="1"/>
      <c r="N790" s="1"/>
      <c r="O790" s="1"/>
      <c r="P790" s="1"/>
      <c r="Q790" s="1"/>
      <c r="R790" s="1"/>
      <c r="S790" s="1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</row>
    <row r="791" spans="1:32" ht="58.5" customHeight="1" x14ac:dyDescent="0.25">
      <c r="A791" s="56"/>
      <c r="B791" s="56"/>
      <c r="C791" s="56"/>
      <c r="D791" s="56"/>
      <c r="E791" s="57"/>
      <c r="F791" s="58"/>
      <c r="G791" s="56"/>
      <c r="H791" s="56"/>
      <c r="I791" s="59"/>
      <c r="J791" s="56"/>
      <c r="K791" s="56"/>
      <c r="L791" s="56"/>
      <c r="M791" s="1"/>
      <c r="N791" s="1"/>
      <c r="O791" s="1"/>
      <c r="P791" s="1"/>
      <c r="Q791" s="1"/>
      <c r="R791" s="1"/>
      <c r="S791" s="1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</row>
    <row r="792" spans="1:32" ht="58.5" customHeight="1" x14ac:dyDescent="0.25">
      <c r="A792" s="56"/>
      <c r="B792" s="56"/>
      <c r="C792" s="56"/>
      <c r="D792" s="56"/>
      <c r="E792" s="57"/>
      <c r="F792" s="58"/>
      <c r="G792" s="56"/>
      <c r="H792" s="56"/>
      <c r="I792" s="59"/>
      <c r="J792" s="56"/>
      <c r="K792" s="56"/>
      <c r="L792" s="56"/>
      <c r="M792" s="1"/>
      <c r="N792" s="1"/>
      <c r="O792" s="1"/>
      <c r="P792" s="1"/>
      <c r="Q792" s="1"/>
      <c r="R792" s="1"/>
      <c r="S792" s="1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</row>
    <row r="793" spans="1:32" ht="58.5" customHeight="1" x14ac:dyDescent="0.25">
      <c r="A793" s="56"/>
      <c r="B793" s="56"/>
      <c r="C793" s="56"/>
      <c r="D793" s="56"/>
      <c r="E793" s="57"/>
      <c r="F793" s="58"/>
      <c r="G793" s="56"/>
      <c r="H793" s="56"/>
      <c r="I793" s="59"/>
      <c r="J793" s="56"/>
      <c r="K793" s="56"/>
      <c r="L793" s="56"/>
      <c r="M793" s="1"/>
      <c r="N793" s="1"/>
      <c r="O793" s="1"/>
      <c r="P793" s="1"/>
      <c r="Q793" s="1"/>
      <c r="R793" s="1"/>
      <c r="S793" s="1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</row>
    <row r="794" spans="1:32" ht="58.5" customHeight="1" x14ac:dyDescent="0.25">
      <c r="A794" s="56"/>
      <c r="B794" s="56"/>
      <c r="C794" s="56"/>
      <c r="D794" s="56"/>
      <c r="E794" s="57"/>
      <c r="F794" s="58"/>
      <c r="G794" s="56"/>
      <c r="H794" s="56"/>
      <c r="I794" s="59"/>
      <c r="J794" s="56"/>
      <c r="K794" s="56"/>
      <c r="L794" s="56"/>
      <c r="M794" s="1"/>
      <c r="N794" s="1"/>
      <c r="O794" s="1"/>
      <c r="P794" s="1"/>
      <c r="Q794" s="1"/>
      <c r="R794" s="1"/>
      <c r="S794" s="1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</row>
    <row r="795" spans="1:32" ht="58.5" customHeight="1" x14ac:dyDescent="0.25">
      <c r="A795" s="56"/>
      <c r="B795" s="56"/>
      <c r="C795" s="56"/>
      <c r="D795" s="56"/>
      <c r="E795" s="57"/>
      <c r="F795" s="58"/>
      <c r="G795" s="56"/>
      <c r="H795" s="56"/>
      <c r="I795" s="59"/>
      <c r="J795" s="56"/>
      <c r="K795" s="56"/>
      <c r="L795" s="56"/>
      <c r="M795" s="1"/>
      <c r="N795" s="1"/>
      <c r="O795" s="1"/>
      <c r="P795" s="1"/>
      <c r="Q795" s="1"/>
      <c r="R795" s="1"/>
      <c r="S795" s="1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</row>
    <row r="796" spans="1:32" ht="58.5" customHeight="1" x14ac:dyDescent="0.25">
      <c r="A796" s="56"/>
      <c r="B796" s="56"/>
      <c r="C796" s="56"/>
      <c r="D796" s="56"/>
      <c r="E796" s="57"/>
      <c r="F796" s="58"/>
      <c r="G796" s="56"/>
      <c r="H796" s="56"/>
      <c r="I796" s="59"/>
      <c r="J796" s="56"/>
      <c r="K796" s="56"/>
      <c r="L796" s="56"/>
      <c r="M796" s="1"/>
      <c r="N796" s="1"/>
      <c r="O796" s="1"/>
      <c r="P796" s="1"/>
      <c r="Q796" s="1"/>
      <c r="R796" s="1"/>
      <c r="S796" s="1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</row>
    <row r="797" spans="1:32" ht="58.5" customHeight="1" x14ac:dyDescent="0.25">
      <c r="A797" s="56"/>
      <c r="B797" s="56"/>
      <c r="C797" s="56"/>
      <c r="D797" s="56"/>
      <c r="E797" s="57"/>
      <c r="F797" s="58"/>
      <c r="G797" s="56"/>
      <c r="H797" s="56"/>
      <c r="I797" s="59"/>
      <c r="J797" s="56"/>
      <c r="K797" s="56"/>
      <c r="L797" s="56"/>
      <c r="M797" s="1"/>
      <c r="N797" s="1"/>
      <c r="O797" s="1"/>
      <c r="P797" s="1"/>
      <c r="Q797" s="1"/>
      <c r="R797" s="1"/>
      <c r="S797" s="1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</row>
    <row r="798" spans="1:32" ht="58.5" customHeight="1" x14ac:dyDescent="0.25">
      <c r="A798" s="56"/>
      <c r="B798" s="56"/>
      <c r="C798" s="56"/>
      <c r="D798" s="56"/>
      <c r="E798" s="57"/>
      <c r="F798" s="58"/>
      <c r="G798" s="56"/>
      <c r="H798" s="56"/>
      <c r="I798" s="59"/>
      <c r="J798" s="56"/>
      <c r="K798" s="56"/>
      <c r="L798" s="56"/>
      <c r="M798" s="1"/>
      <c r="N798" s="1"/>
      <c r="O798" s="1"/>
      <c r="P798" s="1"/>
      <c r="Q798" s="1"/>
      <c r="R798" s="1"/>
      <c r="S798" s="1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</row>
    <row r="799" spans="1:32" ht="58.5" customHeight="1" x14ac:dyDescent="0.25">
      <c r="A799" s="56"/>
      <c r="B799" s="56"/>
      <c r="C799" s="56"/>
      <c r="D799" s="56"/>
      <c r="E799" s="57"/>
      <c r="F799" s="58"/>
      <c r="G799" s="56"/>
      <c r="H799" s="56"/>
      <c r="I799" s="59"/>
      <c r="J799" s="56"/>
      <c r="K799" s="56"/>
      <c r="L799" s="56"/>
      <c r="M799" s="1"/>
      <c r="N799" s="1"/>
      <c r="O799" s="1"/>
      <c r="P799" s="1"/>
      <c r="Q799" s="1"/>
      <c r="R799" s="1"/>
      <c r="S799" s="1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</row>
    <row r="800" spans="1:32" ht="58.5" customHeight="1" x14ac:dyDescent="0.25">
      <c r="A800" s="56"/>
      <c r="B800" s="56"/>
      <c r="C800" s="56"/>
      <c r="D800" s="56"/>
      <c r="E800" s="57"/>
      <c r="F800" s="58"/>
      <c r="G800" s="56"/>
      <c r="H800" s="56"/>
      <c r="I800" s="59"/>
      <c r="J800" s="56"/>
      <c r="K800" s="56"/>
      <c r="L800" s="56"/>
      <c r="M800" s="1"/>
      <c r="N800" s="1"/>
      <c r="O800" s="1"/>
      <c r="P800" s="1"/>
      <c r="Q800" s="1"/>
      <c r="R800" s="1"/>
      <c r="S800" s="1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</row>
    <row r="801" spans="1:32" ht="58.5" customHeight="1" x14ac:dyDescent="0.25">
      <c r="A801" s="56"/>
      <c r="B801" s="56"/>
      <c r="C801" s="56"/>
      <c r="D801" s="56"/>
      <c r="E801" s="57"/>
      <c r="F801" s="58"/>
      <c r="G801" s="56"/>
      <c r="H801" s="56"/>
      <c r="I801" s="59"/>
      <c r="J801" s="56"/>
      <c r="K801" s="56"/>
      <c r="L801" s="56"/>
      <c r="M801" s="1"/>
      <c r="N801" s="1"/>
      <c r="O801" s="1"/>
      <c r="P801" s="1"/>
      <c r="Q801" s="1"/>
      <c r="R801" s="1"/>
      <c r="S801" s="1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</row>
    <row r="802" spans="1:32" ht="58.5" customHeight="1" x14ac:dyDescent="0.25">
      <c r="A802" s="56"/>
      <c r="B802" s="56"/>
      <c r="C802" s="56"/>
      <c r="D802" s="56"/>
      <c r="E802" s="57"/>
      <c r="F802" s="58"/>
      <c r="G802" s="56"/>
      <c r="H802" s="56"/>
      <c r="I802" s="59"/>
      <c r="J802" s="56"/>
      <c r="K802" s="56"/>
      <c r="L802" s="56"/>
      <c r="M802" s="1"/>
      <c r="N802" s="1"/>
      <c r="O802" s="1"/>
      <c r="P802" s="1"/>
      <c r="Q802" s="1"/>
      <c r="R802" s="1"/>
      <c r="S802" s="1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</row>
    <row r="803" spans="1:32" ht="58.5" customHeight="1" x14ac:dyDescent="0.25">
      <c r="A803" s="56"/>
      <c r="B803" s="56"/>
      <c r="C803" s="56"/>
      <c r="D803" s="56"/>
      <c r="E803" s="57"/>
      <c r="F803" s="58"/>
      <c r="G803" s="56"/>
      <c r="H803" s="56"/>
      <c r="I803" s="59"/>
      <c r="J803" s="56"/>
      <c r="K803" s="56"/>
      <c r="L803" s="56"/>
      <c r="M803" s="1"/>
      <c r="N803" s="1"/>
      <c r="O803" s="1"/>
      <c r="P803" s="1"/>
      <c r="Q803" s="1"/>
      <c r="R803" s="1"/>
      <c r="S803" s="1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</row>
    <row r="804" spans="1:32" ht="58.5" customHeight="1" x14ac:dyDescent="0.25">
      <c r="A804" s="56"/>
      <c r="B804" s="56"/>
      <c r="C804" s="56"/>
      <c r="D804" s="56"/>
      <c r="E804" s="57"/>
      <c r="F804" s="58"/>
      <c r="G804" s="56"/>
      <c r="H804" s="56"/>
      <c r="I804" s="59"/>
      <c r="J804" s="56"/>
      <c r="K804" s="56"/>
      <c r="L804" s="56"/>
      <c r="M804" s="1"/>
      <c r="N804" s="1"/>
      <c r="O804" s="1"/>
      <c r="P804" s="1"/>
      <c r="Q804" s="1"/>
      <c r="R804" s="1"/>
      <c r="S804" s="1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</row>
    <row r="805" spans="1:32" ht="58.5" customHeight="1" x14ac:dyDescent="0.25">
      <c r="A805" s="56"/>
      <c r="B805" s="56"/>
      <c r="C805" s="56"/>
      <c r="D805" s="56"/>
      <c r="E805" s="57"/>
      <c r="F805" s="58"/>
      <c r="G805" s="56"/>
      <c r="H805" s="56"/>
      <c r="I805" s="59"/>
      <c r="J805" s="56"/>
      <c r="K805" s="56"/>
      <c r="L805" s="56"/>
      <c r="M805" s="1"/>
      <c r="N805" s="1"/>
      <c r="O805" s="1"/>
      <c r="P805" s="1"/>
      <c r="Q805" s="1"/>
      <c r="R805" s="1"/>
      <c r="S805" s="1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</row>
    <row r="806" spans="1:32" ht="58.5" customHeight="1" x14ac:dyDescent="0.25">
      <c r="A806" s="56"/>
      <c r="B806" s="56"/>
      <c r="C806" s="56"/>
      <c r="D806" s="56"/>
      <c r="E806" s="57"/>
      <c r="F806" s="58"/>
      <c r="G806" s="56"/>
      <c r="H806" s="56"/>
      <c r="I806" s="59"/>
      <c r="J806" s="56"/>
      <c r="K806" s="56"/>
      <c r="L806" s="56"/>
      <c r="M806" s="1"/>
      <c r="N806" s="1"/>
      <c r="O806" s="1"/>
      <c r="P806" s="1"/>
      <c r="Q806" s="1"/>
      <c r="R806" s="1"/>
      <c r="S806" s="1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</row>
    <row r="807" spans="1:32" ht="58.5" customHeight="1" x14ac:dyDescent="0.25">
      <c r="A807" s="56"/>
      <c r="B807" s="56"/>
      <c r="C807" s="56"/>
      <c r="D807" s="56"/>
      <c r="E807" s="57"/>
      <c r="F807" s="58"/>
      <c r="G807" s="56"/>
      <c r="H807" s="56"/>
      <c r="I807" s="59"/>
      <c r="J807" s="56"/>
      <c r="K807" s="56"/>
      <c r="L807" s="56"/>
      <c r="M807" s="1"/>
      <c r="N807" s="1"/>
      <c r="O807" s="1"/>
      <c r="P807" s="1"/>
      <c r="Q807" s="1"/>
      <c r="R807" s="1"/>
      <c r="S807" s="1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</row>
    <row r="808" spans="1:32" ht="58.5" customHeight="1" x14ac:dyDescent="0.25">
      <c r="A808" s="56"/>
      <c r="B808" s="56"/>
      <c r="C808" s="56"/>
      <c r="D808" s="56"/>
      <c r="E808" s="57"/>
      <c r="F808" s="58"/>
      <c r="G808" s="56"/>
      <c r="H808" s="56"/>
      <c r="I808" s="59"/>
      <c r="J808" s="56"/>
      <c r="K808" s="56"/>
      <c r="L808" s="56"/>
      <c r="M808" s="1"/>
      <c r="N808" s="1"/>
      <c r="O808" s="1"/>
      <c r="P808" s="1"/>
      <c r="Q808" s="1"/>
      <c r="R808" s="1"/>
      <c r="S808" s="1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</row>
    <row r="809" spans="1:32" ht="58.5" customHeight="1" x14ac:dyDescent="0.25">
      <c r="A809" s="56"/>
      <c r="B809" s="56"/>
      <c r="C809" s="56"/>
      <c r="D809" s="56"/>
      <c r="E809" s="57"/>
      <c r="F809" s="58"/>
      <c r="G809" s="56"/>
      <c r="H809" s="56"/>
      <c r="I809" s="59"/>
      <c r="J809" s="56"/>
      <c r="K809" s="56"/>
      <c r="L809" s="56"/>
      <c r="M809" s="1"/>
      <c r="N809" s="1"/>
      <c r="O809" s="1"/>
      <c r="P809" s="1"/>
      <c r="Q809" s="1"/>
      <c r="R809" s="1"/>
      <c r="S809" s="1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</row>
    <row r="810" spans="1:32" ht="58.5" customHeight="1" x14ac:dyDescent="0.25">
      <c r="A810" s="56"/>
      <c r="B810" s="56"/>
      <c r="C810" s="56"/>
      <c r="D810" s="56"/>
      <c r="E810" s="57"/>
      <c r="F810" s="58"/>
      <c r="G810" s="56"/>
      <c r="H810" s="56"/>
      <c r="I810" s="59"/>
      <c r="J810" s="56"/>
      <c r="K810" s="56"/>
      <c r="L810" s="56"/>
      <c r="M810" s="1"/>
      <c r="N810" s="1"/>
      <c r="O810" s="1"/>
      <c r="P810" s="1"/>
      <c r="Q810" s="1"/>
      <c r="R810" s="1"/>
      <c r="S810" s="1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</row>
    <row r="811" spans="1:32" ht="58.5" customHeight="1" x14ac:dyDescent="0.25">
      <c r="A811" s="56"/>
      <c r="B811" s="56"/>
      <c r="C811" s="56"/>
      <c r="D811" s="56"/>
      <c r="E811" s="57"/>
      <c r="F811" s="58"/>
      <c r="G811" s="56"/>
      <c r="H811" s="56"/>
      <c r="I811" s="59"/>
      <c r="J811" s="56"/>
      <c r="K811" s="56"/>
      <c r="L811" s="56"/>
      <c r="M811" s="1"/>
      <c r="N811" s="1"/>
      <c r="O811" s="1"/>
      <c r="P811" s="1"/>
      <c r="Q811" s="1"/>
      <c r="R811" s="1"/>
      <c r="S811" s="1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</row>
    <row r="812" spans="1:32" ht="58.5" customHeight="1" x14ac:dyDescent="0.25">
      <c r="A812" s="56"/>
      <c r="B812" s="56"/>
      <c r="C812" s="56"/>
      <c r="D812" s="56"/>
      <c r="E812" s="57"/>
      <c r="F812" s="58"/>
      <c r="G812" s="56"/>
      <c r="H812" s="56"/>
      <c r="I812" s="59"/>
      <c r="J812" s="56"/>
      <c r="K812" s="56"/>
      <c r="L812" s="56"/>
      <c r="M812" s="1"/>
      <c r="N812" s="1"/>
      <c r="O812" s="1"/>
      <c r="P812" s="1"/>
      <c r="Q812" s="1"/>
      <c r="R812" s="1"/>
      <c r="S812" s="1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</row>
    <row r="813" spans="1:32" ht="58.5" customHeight="1" x14ac:dyDescent="0.25">
      <c r="A813" s="56"/>
      <c r="B813" s="56"/>
      <c r="C813" s="56"/>
      <c r="D813" s="56"/>
      <c r="E813" s="57"/>
      <c r="F813" s="58"/>
      <c r="G813" s="56"/>
      <c r="H813" s="56"/>
      <c r="I813" s="59"/>
      <c r="J813" s="56"/>
      <c r="K813" s="56"/>
      <c r="L813" s="56"/>
      <c r="M813" s="1"/>
      <c r="N813" s="1"/>
      <c r="O813" s="1"/>
      <c r="P813" s="1"/>
      <c r="Q813" s="1"/>
      <c r="R813" s="1"/>
      <c r="S813" s="1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</row>
    <row r="814" spans="1:32" ht="58.5" customHeight="1" x14ac:dyDescent="0.25">
      <c r="A814" s="56"/>
      <c r="B814" s="56"/>
      <c r="C814" s="56"/>
      <c r="D814" s="56"/>
      <c r="E814" s="57"/>
      <c r="F814" s="58"/>
      <c r="G814" s="56"/>
      <c r="H814" s="56"/>
      <c r="I814" s="59"/>
      <c r="J814" s="56"/>
      <c r="K814" s="56"/>
      <c r="L814" s="56"/>
      <c r="M814" s="1"/>
      <c r="N814" s="1"/>
      <c r="O814" s="1"/>
      <c r="P814" s="1"/>
      <c r="Q814" s="1"/>
      <c r="R814" s="1"/>
      <c r="S814" s="1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</row>
    <row r="815" spans="1:32" ht="58.5" customHeight="1" x14ac:dyDescent="0.25">
      <c r="A815" s="56"/>
      <c r="B815" s="56"/>
      <c r="C815" s="56"/>
      <c r="D815" s="56"/>
      <c r="E815" s="57"/>
      <c r="F815" s="58"/>
      <c r="G815" s="56"/>
      <c r="H815" s="56"/>
      <c r="I815" s="59"/>
      <c r="J815" s="56"/>
      <c r="K815" s="56"/>
      <c r="L815" s="56"/>
      <c r="M815" s="1"/>
      <c r="N815" s="1"/>
      <c r="O815" s="1"/>
      <c r="P815" s="1"/>
      <c r="Q815" s="1"/>
      <c r="R815" s="1"/>
      <c r="S815" s="1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</row>
    <row r="816" spans="1:32" ht="58.5" customHeight="1" x14ac:dyDescent="0.25">
      <c r="A816" s="56"/>
      <c r="B816" s="56"/>
      <c r="C816" s="56"/>
      <c r="D816" s="56"/>
      <c r="E816" s="57"/>
      <c r="F816" s="58"/>
      <c r="G816" s="56"/>
      <c r="H816" s="56"/>
      <c r="I816" s="59"/>
      <c r="J816" s="56"/>
      <c r="K816" s="56"/>
      <c r="L816" s="56"/>
      <c r="M816" s="1"/>
      <c r="N816" s="1"/>
      <c r="O816" s="1"/>
      <c r="P816" s="1"/>
      <c r="Q816" s="1"/>
      <c r="R816" s="1"/>
      <c r="S816" s="1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</row>
    <row r="817" spans="1:32" ht="58.5" customHeight="1" x14ac:dyDescent="0.25">
      <c r="A817" s="56"/>
      <c r="B817" s="56"/>
      <c r="C817" s="56"/>
      <c r="D817" s="56"/>
      <c r="E817" s="57"/>
      <c r="F817" s="58"/>
      <c r="G817" s="56"/>
      <c r="H817" s="56"/>
      <c r="I817" s="59"/>
      <c r="J817" s="56"/>
      <c r="K817" s="56"/>
      <c r="L817" s="56"/>
      <c r="M817" s="1"/>
      <c r="N817" s="1"/>
      <c r="O817" s="1"/>
      <c r="P817" s="1"/>
      <c r="Q817" s="1"/>
      <c r="R817" s="1"/>
      <c r="S817" s="1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</row>
    <row r="818" spans="1:32" ht="58.5" customHeight="1" x14ac:dyDescent="0.25">
      <c r="A818" s="56"/>
      <c r="B818" s="56"/>
      <c r="C818" s="56"/>
      <c r="D818" s="56"/>
      <c r="E818" s="57"/>
      <c r="F818" s="58"/>
      <c r="G818" s="56"/>
      <c r="H818" s="56"/>
      <c r="I818" s="59"/>
      <c r="J818" s="56"/>
      <c r="K818" s="56"/>
      <c r="L818" s="56"/>
      <c r="M818" s="1"/>
      <c r="N818" s="1"/>
      <c r="O818" s="1"/>
      <c r="P818" s="1"/>
      <c r="Q818" s="1"/>
      <c r="R818" s="1"/>
      <c r="S818" s="1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</row>
    <row r="819" spans="1:32" ht="58.5" customHeight="1" x14ac:dyDescent="0.25">
      <c r="A819" s="56"/>
      <c r="B819" s="56"/>
      <c r="C819" s="56"/>
      <c r="D819" s="56"/>
      <c r="E819" s="57"/>
      <c r="F819" s="58"/>
      <c r="G819" s="56"/>
      <c r="H819" s="56"/>
      <c r="I819" s="59"/>
      <c r="J819" s="56"/>
      <c r="K819" s="56"/>
      <c r="L819" s="56"/>
      <c r="M819" s="1"/>
      <c r="N819" s="1"/>
      <c r="O819" s="1"/>
      <c r="P819" s="1"/>
      <c r="Q819" s="1"/>
      <c r="R819" s="1"/>
      <c r="S819" s="1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</row>
    <row r="820" spans="1:32" ht="58.5" customHeight="1" x14ac:dyDescent="0.25">
      <c r="A820" s="56"/>
      <c r="B820" s="56"/>
      <c r="C820" s="56"/>
      <c r="D820" s="56"/>
      <c r="E820" s="57"/>
      <c r="F820" s="58"/>
      <c r="G820" s="56"/>
      <c r="H820" s="56"/>
      <c r="I820" s="59"/>
      <c r="J820" s="56"/>
      <c r="K820" s="56"/>
      <c r="L820" s="56"/>
      <c r="M820" s="1"/>
      <c r="N820" s="1"/>
      <c r="O820" s="1"/>
      <c r="P820" s="1"/>
      <c r="Q820" s="1"/>
      <c r="R820" s="1"/>
      <c r="S820" s="1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</row>
    <row r="821" spans="1:32" ht="58.5" customHeight="1" x14ac:dyDescent="0.25">
      <c r="A821" s="56"/>
      <c r="B821" s="56"/>
      <c r="C821" s="56"/>
      <c r="D821" s="56"/>
      <c r="E821" s="57"/>
      <c r="F821" s="58"/>
      <c r="G821" s="56"/>
      <c r="H821" s="56"/>
      <c r="I821" s="59"/>
      <c r="J821" s="56"/>
      <c r="K821" s="56"/>
      <c r="L821" s="56"/>
      <c r="M821" s="1"/>
      <c r="N821" s="1"/>
      <c r="O821" s="1"/>
      <c r="P821" s="1"/>
      <c r="Q821" s="1"/>
      <c r="R821" s="1"/>
      <c r="S821" s="1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</row>
    <row r="822" spans="1:32" ht="58.5" customHeight="1" x14ac:dyDescent="0.25">
      <c r="A822" s="56"/>
      <c r="B822" s="56"/>
      <c r="C822" s="56"/>
      <c r="D822" s="56"/>
      <c r="E822" s="57"/>
      <c r="F822" s="58"/>
      <c r="G822" s="56"/>
      <c r="H822" s="56"/>
      <c r="I822" s="59"/>
      <c r="J822" s="56"/>
      <c r="K822" s="56"/>
      <c r="L822" s="56"/>
      <c r="M822" s="1"/>
      <c r="N822" s="1"/>
      <c r="O822" s="1"/>
      <c r="P822" s="1"/>
      <c r="Q822" s="1"/>
      <c r="R822" s="1"/>
      <c r="S822" s="1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</row>
    <row r="823" spans="1:32" ht="58.5" customHeight="1" x14ac:dyDescent="0.25">
      <c r="A823" s="56"/>
      <c r="B823" s="56"/>
      <c r="C823" s="56"/>
      <c r="D823" s="56"/>
      <c r="E823" s="57"/>
      <c r="F823" s="58"/>
      <c r="G823" s="56"/>
      <c r="H823" s="56"/>
      <c r="I823" s="59"/>
      <c r="J823" s="56"/>
      <c r="K823" s="56"/>
      <c r="L823" s="56"/>
      <c r="M823" s="1"/>
      <c r="N823" s="1"/>
      <c r="O823" s="1"/>
      <c r="P823" s="1"/>
      <c r="Q823" s="1"/>
      <c r="R823" s="1"/>
      <c r="S823" s="1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</row>
    <row r="824" spans="1:32" ht="58.5" customHeight="1" x14ac:dyDescent="0.25">
      <c r="A824" s="56"/>
      <c r="B824" s="56"/>
      <c r="C824" s="56"/>
      <c r="D824" s="56"/>
      <c r="E824" s="57"/>
      <c r="F824" s="58"/>
      <c r="G824" s="56"/>
      <c r="H824" s="56"/>
      <c r="I824" s="59"/>
      <c r="J824" s="56"/>
      <c r="K824" s="56"/>
      <c r="L824" s="56"/>
      <c r="M824" s="1"/>
      <c r="N824" s="1"/>
      <c r="O824" s="1"/>
      <c r="P824" s="1"/>
      <c r="Q824" s="1"/>
      <c r="R824" s="1"/>
      <c r="S824" s="1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</row>
    <row r="825" spans="1:32" ht="58.5" customHeight="1" x14ac:dyDescent="0.25">
      <c r="A825" s="56"/>
      <c r="B825" s="56"/>
      <c r="C825" s="56"/>
      <c r="D825" s="56"/>
      <c r="E825" s="57"/>
      <c r="F825" s="58"/>
      <c r="G825" s="56"/>
      <c r="H825" s="56"/>
      <c r="I825" s="59"/>
      <c r="J825" s="56"/>
      <c r="K825" s="56"/>
      <c r="L825" s="56"/>
      <c r="M825" s="1"/>
      <c r="N825" s="1"/>
      <c r="O825" s="1"/>
      <c r="P825" s="1"/>
      <c r="Q825" s="1"/>
      <c r="R825" s="1"/>
      <c r="S825" s="1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</row>
    <row r="826" spans="1:32" ht="58.5" customHeight="1" x14ac:dyDescent="0.25">
      <c r="A826" s="56"/>
      <c r="B826" s="56"/>
      <c r="C826" s="56"/>
      <c r="D826" s="56"/>
      <c r="E826" s="57"/>
      <c r="F826" s="58"/>
      <c r="G826" s="56"/>
      <c r="H826" s="56"/>
      <c r="I826" s="59"/>
      <c r="J826" s="56"/>
      <c r="K826" s="56"/>
      <c r="L826" s="56"/>
      <c r="M826" s="1"/>
      <c r="N826" s="1"/>
      <c r="O826" s="1"/>
      <c r="P826" s="1"/>
      <c r="Q826" s="1"/>
      <c r="R826" s="1"/>
      <c r="S826" s="1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</row>
    <row r="827" spans="1:32" ht="58.5" customHeight="1" x14ac:dyDescent="0.25">
      <c r="A827" s="56"/>
      <c r="B827" s="56"/>
      <c r="C827" s="56"/>
      <c r="D827" s="56"/>
      <c r="E827" s="57"/>
      <c r="F827" s="58"/>
      <c r="G827" s="56"/>
      <c r="H827" s="56"/>
      <c r="I827" s="59"/>
      <c r="J827" s="56"/>
      <c r="K827" s="56"/>
      <c r="L827" s="56"/>
      <c r="M827" s="1"/>
      <c r="N827" s="1"/>
      <c r="O827" s="1"/>
      <c r="P827" s="1"/>
      <c r="Q827" s="1"/>
      <c r="R827" s="1"/>
      <c r="S827" s="1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</row>
    <row r="828" spans="1:32" ht="58.5" customHeight="1" x14ac:dyDescent="0.25">
      <c r="A828" s="56"/>
      <c r="B828" s="56"/>
      <c r="C828" s="56"/>
      <c r="D828" s="56"/>
      <c r="E828" s="57"/>
      <c r="F828" s="58"/>
      <c r="G828" s="56"/>
      <c r="H828" s="56"/>
      <c r="I828" s="59"/>
      <c r="J828" s="56"/>
      <c r="K828" s="56"/>
      <c r="L828" s="56"/>
      <c r="M828" s="1"/>
      <c r="N828" s="1"/>
      <c r="O828" s="1"/>
      <c r="P828" s="1"/>
      <c r="Q828" s="1"/>
      <c r="R828" s="1"/>
      <c r="S828" s="1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</row>
    <row r="829" spans="1:32" ht="58.5" customHeight="1" x14ac:dyDescent="0.25">
      <c r="A829" s="56"/>
      <c r="B829" s="56"/>
      <c r="C829" s="56"/>
      <c r="D829" s="56"/>
      <c r="E829" s="57"/>
      <c r="F829" s="58"/>
      <c r="G829" s="56"/>
      <c r="H829" s="56"/>
      <c r="I829" s="59"/>
      <c r="J829" s="56"/>
      <c r="K829" s="56"/>
      <c r="L829" s="56"/>
      <c r="M829" s="1"/>
      <c r="N829" s="1"/>
      <c r="O829" s="1"/>
      <c r="P829" s="1"/>
      <c r="Q829" s="1"/>
      <c r="R829" s="1"/>
      <c r="S829" s="1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</row>
    <row r="830" spans="1:32" ht="58.5" customHeight="1" x14ac:dyDescent="0.25">
      <c r="A830" s="56"/>
      <c r="B830" s="56"/>
      <c r="C830" s="56"/>
      <c r="D830" s="56"/>
      <c r="E830" s="57"/>
      <c r="F830" s="58"/>
      <c r="G830" s="56"/>
      <c r="H830" s="56"/>
      <c r="I830" s="59"/>
      <c r="J830" s="56"/>
      <c r="K830" s="56"/>
      <c r="L830" s="56"/>
      <c r="M830" s="1"/>
      <c r="N830" s="1"/>
      <c r="O830" s="1"/>
      <c r="P830" s="1"/>
      <c r="Q830" s="1"/>
      <c r="R830" s="1"/>
      <c r="S830" s="1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</row>
    <row r="831" spans="1:32" ht="58.5" customHeight="1" x14ac:dyDescent="0.25">
      <c r="A831" s="56"/>
      <c r="B831" s="56"/>
      <c r="C831" s="56"/>
      <c r="D831" s="56"/>
      <c r="E831" s="57"/>
      <c r="F831" s="58"/>
      <c r="G831" s="56"/>
      <c r="H831" s="56"/>
      <c r="I831" s="59"/>
      <c r="J831" s="56"/>
      <c r="K831" s="56"/>
      <c r="L831" s="56"/>
      <c r="M831" s="1"/>
      <c r="N831" s="1"/>
      <c r="O831" s="1"/>
      <c r="P831" s="1"/>
      <c r="Q831" s="1"/>
      <c r="R831" s="1"/>
      <c r="S831" s="1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</row>
    <row r="832" spans="1:32" ht="58.5" customHeight="1" x14ac:dyDescent="0.25">
      <c r="A832" s="56"/>
      <c r="B832" s="56"/>
      <c r="C832" s="56"/>
      <c r="D832" s="56"/>
      <c r="E832" s="57"/>
      <c r="F832" s="58"/>
      <c r="G832" s="56"/>
      <c r="H832" s="56"/>
      <c r="I832" s="59"/>
      <c r="J832" s="56"/>
      <c r="K832" s="56"/>
      <c r="L832" s="56"/>
      <c r="M832" s="1"/>
      <c r="N832" s="1"/>
      <c r="O832" s="1"/>
      <c r="P832" s="1"/>
      <c r="Q832" s="1"/>
      <c r="R832" s="1"/>
      <c r="S832" s="1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</row>
    <row r="833" spans="1:32" ht="58.5" customHeight="1" x14ac:dyDescent="0.25">
      <c r="A833" s="56"/>
      <c r="B833" s="56"/>
      <c r="C833" s="56"/>
      <c r="D833" s="56"/>
      <c r="E833" s="57"/>
      <c r="F833" s="58"/>
      <c r="G833" s="56"/>
      <c r="H833" s="56"/>
      <c r="I833" s="59"/>
      <c r="J833" s="56"/>
      <c r="K833" s="56"/>
      <c r="L833" s="56"/>
      <c r="M833" s="1"/>
      <c r="N833" s="1"/>
      <c r="O833" s="1"/>
      <c r="P833" s="1"/>
      <c r="Q833" s="1"/>
      <c r="R833" s="1"/>
      <c r="S833" s="1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</row>
    <row r="834" spans="1:32" ht="58.5" customHeight="1" x14ac:dyDescent="0.25">
      <c r="A834" s="56"/>
      <c r="B834" s="56"/>
      <c r="C834" s="56"/>
      <c r="D834" s="56"/>
      <c r="E834" s="57"/>
      <c r="F834" s="58"/>
      <c r="G834" s="56"/>
      <c r="H834" s="56"/>
      <c r="I834" s="59"/>
      <c r="J834" s="56"/>
      <c r="K834" s="56"/>
      <c r="L834" s="56"/>
      <c r="M834" s="1"/>
      <c r="N834" s="1"/>
      <c r="O834" s="1"/>
      <c r="P834" s="1"/>
      <c r="Q834" s="1"/>
      <c r="R834" s="1"/>
      <c r="S834" s="1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</row>
    <row r="835" spans="1:32" ht="58.5" customHeight="1" x14ac:dyDescent="0.25">
      <c r="A835" s="56"/>
      <c r="B835" s="56"/>
      <c r="C835" s="56"/>
      <c r="D835" s="56"/>
      <c r="E835" s="57"/>
      <c r="F835" s="58"/>
      <c r="G835" s="56"/>
      <c r="H835" s="56"/>
      <c r="I835" s="59"/>
      <c r="J835" s="56"/>
      <c r="K835" s="56"/>
      <c r="L835" s="56"/>
      <c r="M835" s="1"/>
      <c r="N835" s="1"/>
      <c r="O835" s="1"/>
      <c r="P835" s="1"/>
      <c r="Q835" s="1"/>
      <c r="R835" s="1"/>
      <c r="S835" s="1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</row>
    <row r="836" spans="1:32" ht="58.5" customHeight="1" x14ac:dyDescent="0.25">
      <c r="A836" s="56"/>
      <c r="B836" s="56"/>
      <c r="C836" s="56"/>
      <c r="D836" s="56"/>
      <c r="E836" s="57"/>
      <c r="F836" s="58"/>
      <c r="G836" s="56"/>
      <c r="H836" s="56"/>
      <c r="I836" s="59"/>
      <c r="J836" s="56"/>
      <c r="K836" s="56"/>
      <c r="L836" s="56"/>
      <c r="M836" s="1"/>
      <c r="N836" s="1"/>
      <c r="O836" s="1"/>
      <c r="P836" s="1"/>
      <c r="Q836" s="1"/>
      <c r="R836" s="1"/>
      <c r="S836" s="1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</row>
    <row r="837" spans="1:32" ht="58.5" customHeight="1" x14ac:dyDescent="0.25">
      <c r="A837" s="56"/>
      <c r="B837" s="56"/>
      <c r="C837" s="56"/>
      <c r="D837" s="56"/>
      <c r="E837" s="57"/>
      <c r="F837" s="58"/>
      <c r="G837" s="56"/>
      <c r="H837" s="56"/>
      <c r="I837" s="59"/>
      <c r="J837" s="56"/>
      <c r="K837" s="56"/>
      <c r="L837" s="56"/>
      <c r="M837" s="1"/>
      <c r="N837" s="1"/>
      <c r="O837" s="1"/>
      <c r="P837" s="1"/>
      <c r="Q837" s="1"/>
      <c r="R837" s="1"/>
      <c r="S837" s="1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</row>
    <row r="838" spans="1:32" ht="58.5" customHeight="1" x14ac:dyDescent="0.25">
      <c r="A838" s="56"/>
      <c r="B838" s="56"/>
      <c r="C838" s="56"/>
      <c r="D838" s="56"/>
      <c r="E838" s="57"/>
      <c r="F838" s="58"/>
      <c r="G838" s="56"/>
      <c r="H838" s="56"/>
      <c r="I838" s="59"/>
      <c r="J838" s="56"/>
      <c r="K838" s="56"/>
      <c r="L838" s="56"/>
      <c r="M838" s="1"/>
      <c r="N838" s="1"/>
      <c r="O838" s="1"/>
      <c r="P838" s="1"/>
      <c r="Q838" s="1"/>
      <c r="R838" s="1"/>
      <c r="S838" s="1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</row>
    <row r="839" spans="1:32" ht="58.5" customHeight="1" x14ac:dyDescent="0.25">
      <c r="A839" s="56"/>
      <c r="B839" s="56"/>
      <c r="C839" s="56"/>
      <c r="D839" s="56"/>
      <c r="E839" s="57"/>
      <c r="F839" s="58"/>
      <c r="G839" s="56"/>
      <c r="H839" s="56"/>
      <c r="I839" s="59"/>
      <c r="J839" s="56"/>
      <c r="K839" s="56"/>
      <c r="L839" s="56"/>
      <c r="M839" s="1"/>
      <c r="N839" s="1"/>
      <c r="O839" s="1"/>
      <c r="P839" s="1"/>
      <c r="Q839" s="1"/>
      <c r="R839" s="1"/>
      <c r="S839" s="1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</row>
    <row r="840" spans="1:32" ht="58.5" customHeight="1" x14ac:dyDescent="0.25">
      <c r="A840" s="56"/>
      <c r="B840" s="56"/>
      <c r="C840" s="56"/>
      <c r="D840" s="56"/>
      <c r="E840" s="57"/>
      <c r="F840" s="58"/>
      <c r="G840" s="56"/>
      <c r="H840" s="56"/>
      <c r="I840" s="59"/>
      <c r="J840" s="56"/>
      <c r="K840" s="56"/>
      <c r="L840" s="56"/>
      <c r="M840" s="1"/>
      <c r="N840" s="1"/>
      <c r="O840" s="1"/>
      <c r="P840" s="1"/>
      <c r="Q840" s="1"/>
      <c r="R840" s="1"/>
      <c r="S840" s="1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</row>
    <row r="841" spans="1:32" ht="58.5" customHeight="1" x14ac:dyDescent="0.25">
      <c r="A841" s="56"/>
      <c r="B841" s="56"/>
      <c r="C841" s="56"/>
      <c r="D841" s="56"/>
      <c r="E841" s="57"/>
      <c r="F841" s="58"/>
      <c r="G841" s="56"/>
      <c r="H841" s="56"/>
      <c r="I841" s="59"/>
      <c r="J841" s="56"/>
      <c r="K841" s="56"/>
      <c r="L841" s="56"/>
      <c r="M841" s="1"/>
      <c r="N841" s="1"/>
      <c r="O841" s="1"/>
      <c r="P841" s="1"/>
      <c r="Q841" s="1"/>
      <c r="R841" s="1"/>
      <c r="S841" s="1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</row>
    <row r="842" spans="1:32" ht="58.5" customHeight="1" x14ac:dyDescent="0.25">
      <c r="A842" s="56"/>
      <c r="B842" s="56"/>
      <c r="C842" s="56"/>
      <c r="D842" s="56"/>
      <c r="E842" s="57"/>
      <c r="F842" s="58"/>
      <c r="G842" s="56"/>
      <c r="H842" s="56"/>
      <c r="I842" s="59"/>
      <c r="J842" s="56"/>
      <c r="K842" s="56"/>
      <c r="L842" s="56"/>
      <c r="M842" s="1"/>
      <c r="N842" s="1"/>
      <c r="O842" s="1"/>
      <c r="P842" s="1"/>
      <c r="Q842" s="1"/>
      <c r="R842" s="1"/>
      <c r="S842" s="1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</row>
    <row r="843" spans="1:32" ht="58.5" customHeight="1" x14ac:dyDescent="0.25">
      <c r="A843" s="56"/>
      <c r="B843" s="56"/>
      <c r="C843" s="56"/>
      <c r="D843" s="56"/>
      <c r="E843" s="57"/>
      <c r="F843" s="58"/>
      <c r="G843" s="56"/>
      <c r="H843" s="56"/>
      <c r="I843" s="59"/>
      <c r="J843" s="56"/>
      <c r="K843" s="56"/>
      <c r="L843" s="56"/>
      <c r="M843" s="1"/>
      <c r="N843" s="1"/>
      <c r="O843" s="1"/>
      <c r="P843" s="1"/>
      <c r="Q843" s="1"/>
      <c r="R843" s="1"/>
      <c r="S843" s="1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</row>
    <row r="844" spans="1:32" ht="58.5" customHeight="1" x14ac:dyDescent="0.25">
      <c r="A844" s="56"/>
      <c r="B844" s="56"/>
      <c r="C844" s="56"/>
      <c r="D844" s="56"/>
      <c r="E844" s="57"/>
      <c r="F844" s="58"/>
      <c r="G844" s="56"/>
      <c r="H844" s="56"/>
      <c r="I844" s="59"/>
      <c r="J844" s="56"/>
      <c r="K844" s="56"/>
      <c r="L844" s="56"/>
      <c r="M844" s="1"/>
      <c r="N844" s="1"/>
      <c r="O844" s="1"/>
      <c r="P844" s="1"/>
      <c r="Q844" s="1"/>
      <c r="R844" s="1"/>
      <c r="S844" s="1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</row>
    <row r="845" spans="1:32" ht="58.5" customHeight="1" x14ac:dyDescent="0.25">
      <c r="A845" s="56"/>
      <c r="B845" s="56"/>
      <c r="C845" s="56"/>
      <c r="D845" s="56"/>
      <c r="E845" s="57"/>
      <c r="F845" s="58"/>
      <c r="G845" s="56"/>
      <c r="H845" s="56"/>
      <c r="I845" s="59"/>
      <c r="J845" s="56"/>
      <c r="K845" s="56"/>
      <c r="L845" s="56"/>
      <c r="M845" s="1"/>
      <c r="N845" s="1"/>
      <c r="O845" s="1"/>
      <c r="P845" s="1"/>
      <c r="Q845" s="1"/>
      <c r="R845" s="1"/>
      <c r="S845" s="1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</row>
    <row r="846" spans="1:32" ht="58.5" customHeight="1" x14ac:dyDescent="0.25">
      <c r="A846" s="56"/>
      <c r="B846" s="56"/>
      <c r="C846" s="56"/>
      <c r="D846" s="56"/>
      <c r="E846" s="57"/>
      <c r="F846" s="58"/>
      <c r="G846" s="56"/>
      <c r="H846" s="56"/>
      <c r="I846" s="59"/>
      <c r="J846" s="56"/>
      <c r="K846" s="56"/>
      <c r="L846" s="56"/>
      <c r="M846" s="1"/>
      <c r="N846" s="1"/>
      <c r="O846" s="1"/>
      <c r="P846" s="1"/>
      <c r="Q846" s="1"/>
      <c r="R846" s="1"/>
      <c r="S846" s="1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</row>
    <row r="847" spans="1:32" ht="58.5" customHeight="1" x14ac:dyDescent="0.25">
      <c r="A847" s="56"/>
      <c r="B847" s="56"/>
      <c r="C847" s="56"/>
      <c r="D847" s="56"/>
      <c r="E847" s="57"/>
      <c r="F847" s="58"/>
      <c r="G847" s="56"/>
      <c r="H847" s="56"/>
      <c r="I847" s="59"/>
      <c r="J847" s="56"/>
      <c r="K847" s="56"/>
      <c r="L847" s="56"/>
      <c r="M847" s="1"/>
      <c r="N847" s="1"/>
      <c r="O847" s="1"/>
      <c r="P847" s="1"/>
      <c r="Q847" s="1"/>
      <c r="R847" s="1"/>
      <c r="S847" s="1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</row>
    <row r="848" spans="1:32" ht="58.5" customHeight="1" x14ac:dyDescent="0.25">
      <c r="A848" s="56"/>
      <c r="B848" s="56"/>
      <c r="C848" s="56"/>
      <c r="D848" s="56"/>
      <c r="E848" s="57"/>
      <c r="F848" s="58"/>
      <c r="G848" s="56"/>
      <c r="H848" s="56"/>
      <c r="I848" s="59"/>
      <c r="J848" s="56"/>
      <c r="K848" s="56"/>
      <c r="L848" s="56"/>
      <c r="M848" s="1"/>
      <c r="N848" s="1"/>
      <c r="O848" s="1"/>
      <c r="P848" s="1"/>
      <c r="Q848" s="1"/>
      <c r="R848" s="1"/>
      <c r="S848" s="1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</row>
    <row r="849" spans="1:32" ht="58.5" customHeight="1" x14ac:dyDescent="0.25">
      <c r="A849" s="56"/>
      <c r="B849" s="56"/>
      <c r="C849" s="56"/>
      <c r="D849" s="56"/>
      <c r="E849" s="57"/>
      <c r="F849" s="58"/>
      <c r="G849" s="56"/>
      <c r="H849" s="56"/>
      <c r="I849" s="59"/>
      <c r="J849" s="56"/>
      <c r="K849" s="56"/>
      <c r="L849" s="56"/>
      <c r="M849" s="1"/>
      <c r="N849" s="1"/>
      <c r="O849" s="1"/>
      <c r="P849" s="1"/>
      <c r="Q849" s="1"/>
      <c r="R849" s="1"/>
      <c r="S849" s="1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</row>
    <row r="850" spans="1:32" ht="58.5" customHeight="1" x14ac:dyDescent="0.25">
      <c r="A850" s="56"/>
      <c r="B850" s="56"/>
      <c r="C850" s="56"/>
      <c r="D850" s="56"/>
      <c r="E850" s="57"/>
      <c r="F850" s="58"/>
      <c r="G850" s="56"/>
      <c r="H850" s="56"/>
      <c r="I850" s="59"/>
      <c r="J850" s="56"/>
      <c r="K850" s="56"/>
      <c r="L850" s="56"/>
      <c r="M850" s="1"/>
      <c r="N850" s="1"/>
      <c r="O850" s="1"/>
      <c r="P850" s="1"/>
      <c r="Q850" s="1"/>
      <c r="R850" s="1"/>
      <c r="S850" s="1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</row>
    <row r="851" spans="1:32" ht="58.5" customHeight="1" x14ac:dyDescent="0.25">
      <c r="A851" s="56"/>
      <c r="B851" s="56"/>
      <c r="C851" s="56"/>
      <c r="D851" s="56"/>
      <c r="E851" s="57"/>
      <c r="F851" s="58"/>
      <c r="G851" s="56"/>
      <c r="H851" s="56"/>
      <c r="I851" s="59"/>
      <c r="J851" s="56"/>
      <c r="K851" s="56"/>
      <c r="L851" s="56"/>
      <c r="M851" s="1"/>
      <c r="N851" s="1"/>
      <c r="O851" s="1"/>
      <c r="P851" s="1"/>
      <c r="Q851" s="1"/>
      <c r="R851" s="1"/>
      <c r="S851" s="1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</row>
    <row r="852" spans="1:32" ht="58.5" customHeight="1" x14ac:dyDescent="0.25">
      <c r="A852" s="56"/>
      <c r="B852" s="56"/>
      <c r="C852" s="56"/>
      <c r="D852" s="56"/>
      <c r="E852" s="57"/>
      <c r="F852" s="58"/>
      <c r="G852" s="56"/>
      <c r="H852" s="56"/>
      <c r="I852" s="59"/>
      <c r="J852" s="56"/>
      <c r="K852" s="56"/>
      <c r="L852" s="56"/>
      <c r="M852" s="1"/>
      <c r="N852" s="1"/>
      <c r="O852" s="1"/>
      <c r="P852" s="1"/>
      <c r="Q852" s="1"/>
      <c r="R852" s="1"/>
      <c r="S852" s="1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</row>
    <row r="853" spans="1:32" ht="58.5" customHeight="1" x14ac:dyDescent="0.25">
      <c r="A853" s="56"/>
      <c r="B853" s="56"/>
      <c r="C853" s="56"/>
      <c r="D853" s="56"/>
      <c r="E853" s="57"/>
      <c r="F853" s="58"/>
      <c r="G853" s="56"/>
      <c r="H853" s="56"/>
      <c r="I853" s="59"/>
      <c r="J853" s="56"/>
      <c r="K853" s="56"/>
      <c r="L853" s="56"/>
      <c r="M853" s="1"/>
      <c r="N853" s="1"/>
      <c r="O853" s="1"/>
      <c r="P853" s="1"/>
      <c r="Q853" s="1"/>
      <c r="R853" s="1"/>
      <c r="S853" s="1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</row>
    <row r="854" spans="1:32" ht="58.5" customHeight="1" x14ac:dyDescent="0.25">
      <c r="A854" s="56"/>
      <c r="B854" s="56"/>
      <c r="C854" s="56"/>
      <c r="D854" s="56"/>
      <c r="E854" s="57"/>
      <c r="F854" s="58"/>
      <c r="G854" s="56"/>
      <c r="H854" s="56"/>
      <c r="I854" s="59"/>
      <c r="J854" s="56"/>
      <c r="K854" s="56"/>
      <c r="L854" s="56"/>
      <c r="M854" s="1"/>
      <c r="N854" s="1"/>
      <c r="O854" s="1"/>
      <c r="P854" s="1"/>
      <c r="Q854" s="1"/>
      <c r="R854" s="1"/>
      <c r="S854" s="1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</row>
    <row r="855" spans="1:32" ht="58.5" customHeight="1" x14ac:dyDescent="0.25">
      <c r="A855" s="56"/>
      <c r="B855" s="56"/>
      <c r="C855" s="56"/>
      <c r="D855" s="56"/>
      <c r="E855" s="57"/>
      <c r="F855" s="58"/>
      <c r="G855" s="56"/>
      <c r="H855" s="56"/>
      <c r="I855" s="59"/>
      <c r="J855" s="56"/>
      <c r="K855" s="56"/>
      <c r="L855" s="56"/>
      <c r="M855" s="1"/>
      <c r="N855" s="1"/>
      <c r="O855" s="1"/>
      <c r="P855" s="1"/>
      <c r="Q855" s="1"/>
      <c r="R855" s="1"/>
      <c r="S855" s="1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</row>
    <row r="856" spans="1:32" ht="58.5" customHeight="1" x14ac:dyDescent="0.25">
      <c r="A856" s="56"/>
      <c r="B856" s="56"/>
      <c r="C856" s="56"/>
      <c r="D856" s="56"/>
      <c r="E856" s="57"/>
      <c r="F856" s="58"/>
      <c r="G856" s="56"/>
      <c r="H856" s="56"/>
      <c r="I856" s="59"/>
      <c r="J856" s="56"/>
      <c r="K856" s="56"/>
      <c r="L856" s="56"/>
      <c r="M856" s="1"/>
      <c r="N856" s="1"/>
      <c r="O856" s="1"/>
      <c r="P856" s="1"/>
      <c r="Q856" s="1"/>
      <c r="R856" s="1"/>
      <c r="S856" s="1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</row>
    <row r="857" spans="1:32" ht="58.5" customHeight="1" x14ac:dyDescent="0.25">
      <c r="A857" s="56"/>
      <c r="B857" s="56"/>
      <c r="C857" s="56"/>
      <c r="D857" s="56"/>
      <c r="E857" s="57"/>
      <c r="F857" s="58"/>
      <c r="G857" s="56"/>
      <c r="H857" s="56"/>
      <c r="I857" s="59"/>
      <c r="J857" s="56"/>
      <c r="K857" s="56"/>
      <c r="L857" s="56"/>
      <c r="M857" s="1"/>
      <c r="N857" s="1"/>
      <c r="O857" s="1"/>
      <c r="P857" s="1"/>
      <c r="Q857" s="1"/>
      <c r="R857" s="1"/>
      <c r="S857" s="1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</row>
    <row r="858" spans="1:32" ht="58.5" customHeight="1" x14ac:dyDescent="0.25">
      <c r="A858" s="56"/>
      <c r="B858" s="56"/>
      <c r="C858" s="56"/>
      <c r="D858" s="56"/>
      <c r="E858" s="57"/>
      <c r="F858" s="58"/>
      <c r="G858" s="56"/>
      <c r="H858" s="56"/>
      <c r="I858" s="59"/>
      <c r="J858" s="56"/>
      <c r="K858" s="56"/>
      <c r="L858" s="56"/>
      <c r="M858" s="1"/>
      <c r="N858" s="1"/>
      <c r="O858" s="1"/>
      <c r="P858" s="1"/>
      <c r="Q858" s="1"/>
      <c r="R858" s="1"/>
      <c r="S858" s="1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</row>
    <row r="859" spans="1:32" ht="58.5" customHeight="1" x14ac:dyDescent="0.25">
      <c r="A859" s="56"/>
      <c r="B859" s="56"/>
      <c r="C859" s="56"/>
      <c r="D859" s="56"/>
      <c r="E859" s="57"/>
      <c r="F859" s="58"/>
      <c r="G859" s="56"/>
      <c r="H859" s="56"/>
      <c r="I859" s="59"/>
      <c r="J859" s="56"/>
      <c r="K859" s="56"/>
      <c r="L859" s="56"/>
      <c r="M859" s="1"/>
      <c r="N859" s="1"/>
      <c r="O859" s="1"/>
      <c r="P859" s="1"/>
      <c r="Q859" s="1"/>
      <c r="R859" s="1"/>
      <c r="S859" s="1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</row>
    <row r="860" spans="1:32" ht="58.5" customHeight="1" x14ac:dyDescent="0.25">
      <c r="A860" s="56"/>
      <c r="B860" s="56"/>
      <c r="C860" s="56"/>
      <c r="D860" s="56"/>
      <c r="E860" s="57"/>
      <c r="F860" s="58"/>
      <c r="G860" s="56"/>
      <c r="H860" s="56"/>
      <c r="I860" s="59"/>
      <c r="J860" s="56"/>
      <c r="K860" s="56"/>
      <c r="L860" s="56"/>
      <c r="M860" s="1"/>
      <c r="N860" s="1"/>
      <c r="O860" s="1"/>
      <c r="P860" s="1"/>
      <c r="Q860" s="1"/>
      <c r="R860" s="1"/>
      <c r="S860" s="1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</row>
    <row r="861" spans="1:32" ht="58.5" customHeight="1" x14ac:dyDescent="0.25">
      <c r="A861" s="56"/>
      <c r="B861" s="56"/>
      <c r="C861" s="56"/>
      <c r="D861" s="56"/>
      <c r="E861" s="57"/>
      <c r="F861" s="58"/>
      <c r="G861" s="56"/>
      <c r="H861" s="56"/>
      <c r="I861" s="59"/>
      <c r="J861" s="56"/>
      <c r="K861" s="56"/>
      <c r="L861" s="56"/>
      <c r="M861" s="1"/>
      <c r="N861" s="1"/>
      <c r="O861" s="1"/>
      <c r="P861" s="1"/>
      <c r="Q861" s="1"/>
      <c r="R861" s="1"/>
      <c r="S861" s="1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</row>
    <row r="862" spans="1:32" ht="58.5" customHeight="1" x14ac:dyDescent="0.25">
      <c r="A862" s="56"/>
      <c r="B862" s="56"/>
      <c r="C862" s="56"/>
      <c r="D862" s="56"/>
      <c r="E862" s="57"/>
      <c r="F862" s="58"/>
      <c r="G862" s="56"/>
      <c r="H862" s="56"/>
      <c r="I862" s="59"/>
      <c r="J862" s="56"/>
      <c r="K862" s="56"/>
      <c r="L862" s="56"/>
      <c r="M862" s="1"/>
      <c r="N862" s="1"/>
      <c r="O862" s="1"/>
      <c r="P862" s="1"/>
      <c r="Q862" s="1"/>
      <c r="R862" s="1"/>
      <c r="S862" s="1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</row>
    <row r="863" spans="1:32" ht="58.5" customHeight="1" x14ac:dyDescent="0.25">
      <c r="A863" s="56"/>
      <c r="B863" s="56"/>
      <c r="C863" s="56"/>
      <c r="D863" s="56"/>
      <c r="E863" s="57"/>
      <c r="F863" s="58"/>
      <c r="G863" s="56"/>
      <c r="H863" s="56"/>
      <c r="I863" s="59"/>
      <c r="J863" s="56"/>
      <c r="K863" s="56"/>
      <c r="L863" s="56"/>
      <c r="M863" s="1"/>
      <c r="N863" s="1"/>
      <c r="O863" s="1"/>
      <c r="P863" s="1"/>
      <c r="Q863" s="1"/>
      <c r="R863" s="1"/>
      <c r="S863" s="1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</row>
    <row r="864" spans="1:32" ht="58.5" customHeight="1" x14ac:dyDescent="0.25">
      <c r="A864" s="56"/>
      <c r="B864" s="56"/>
      <c r="C864" s="56"/>
      <c r="D864" s="56"/>
      <c r="E864" s="57"/>
      <c r="F864" s="58"/>
      <c r="G864" s="56"/>
      <c r="H864" s="56"/>
      <c r="I864" s="59"/>
      <c r="J864" s="56"/>
      <c r="K864" s="56"/>
      <c r="L864" s="56"/>
      <c r="M864" s="1"/>
      <c r="N864" s="1"/>
      <c r="O864" s="1"/>
      <c r="P864" s="1"/>
      <c r="Q864" s="1"/>
      <c r="R864" s="1"/>
      <c r="S864" s="1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</row>
    <row r="865" spans="1:32" ht="58.5" customHeight="1" x14ac:dyDescent="0.25">
      <c r="A865" s="56"/>
      <c r="B865" s="56"/>
      <c r="C865" s="56"/>
      <c r="D865" s="56"/>
      <c r="E865" s="57"/>
      <c r="F865" s="58"/>
      <c r="G865" s="56"/>
      <c r="H865" s="56"/>
      <c r="I865" s="59"/>
      <c r="J865" s="56"/>
      <c r="K865" s="56"/>
      <c r="L865" s="56"/>
      <c r="M865" s="1"/>
      <c r="N865" s="1"/>
      <c r="O865" s="1"/>
      <c r="P865" s="1"/>
      <c r="Q865" s="1"/>
      <c r="R865" s="1"/>
      <c r="S865" s="1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</row>
    <row r="866" spans="1:32" ht="58.5" customHeight="1" x14ac:dyDescent="0.25">
      <c r="A866" s="56"/>
      <c r="B866" s="56"/>
      <c r="C866" s="56"/>
      <c r="D866" s="56"/>
      <c r="E866" s="57"/>
      <c r="F866" s="58"/>
      <c r="G866" s="56"/>
      <c r="H866" s="56"/>
      <c r="I866" s="59"/>
      <c r="J866" s="56"/>
      <c r="K866" s="56"/>
      <c r="L866" s="56"/>
      <c r="M866" s="1"/>
      <c r="N866" s="1"/>
      <c r="O866" s="1"/>
      <c r="P866" s="1"/>
      <c r="Q866" s="1"/>
      <c r="R866" s="1"/>
      <c r="S866" s="1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</row>
    <row r="867" spans="1:32" ht="58.5" customHeight="1" x14ac:dyDescent="0.25">
      <c r="A867" s="56"/>
      <c r="B867" s="56"/>
      <c r="C867" s="56"/>
      <c r="D867" s="56"/>
      <c r="E867" s="57"/>
      <c r="F867" s="58"/>
      <c r="G867" s="56"/>
      <c r="H867" s="56"/>
      <c r="I867" s="59"/>
      <c r="J867" s="56"/>
      <c r="K867" s="56"/>
      <c r="L867" s="56"/>
      <c r="M867" s="1"/>
      <c r="N867" s="1"/>
      <c r="O867" s="1"/>
      <c r="P867" s="1"/>
      <c r="Q867" s="1"/>
      <c r="R867" s="1"/>
      <c r="S867" s="1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</row>
    <row r="868" spans="1:32" ht="58.5" customHeight="1" x14ac:dyDescent="0.25">
      <c r="A868" s="56"/>
      <c r="B868" s="56"/>
      <c r="C868" s="56"/>
      <c r="D868" s="56"/>
      <c r="E868" s="57"/>
      <c r="F868" s="58"/>
      <c r="G868" s="56"/>
      <c r="H868" s="56"/>
      <c r="I868" s="59"/>
      <c r="J868" s="56"/>
      <c r="K868" s="56"/>
      <c r="L868" s="56"/>
      <c r="M868" s="1"/>
      <c r="N868" s="1"/>
      <c r="O868" s="1"/>
      <c r="P868" s="1"/>
      <c r="Q868" s="1"/>
      <c r="R868" s="1"/>
      <c r="S868" s="1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</row>
    <row r="869" spans="1:32" ht="58.5" customHeight="1" x14ac:dyDescent="0.25">
      <c r="A869" s="56"/>
      <c r="B869" s="56"/>
      <c r="C869" s="56"/>
      <c r="D869" s="56"/>
      <c r="E869" s="57"/>
      <c r="F869" s="58"/>
      <c r="G869" s="56"/>
      <c r="H869" s="56"/>
      <c r="I869" s="59"/>
      <c r="J869" s="56"/>
      <c r="K869" s="56"/>
      <c r="L869" s="56"/>
      <c r="M869" s="1"/>
      <c r="N869" s="1"/>
      <c r="O869" s="1"/>
      <c r="P869" s="1"/>
      <c r="Q869" s="1"/>
      <c r="R869" s="1"/>
      <c r="S869" s="1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</row>
    <row r="870" spans="1:32" ht="58.5" customHeight="1" x14ac:dyDescent="0.25">
      <c r="A870" s="56"/>
      <c r="B870" s="56"/>
      <c r="C870" s="56"/>
      <c r="D870" s="56"/>
      <c r="E870" s="57"/>
      <c r="F870" s="58"/>
      <c r="G870" s="56"/>
      <c r="H870" s="56"/>
      <c r="I870" s="59"/>
      <c r="J870" s="56"/>
      <c r="K870" s="56"/>
      <c r="L870" s="56"/>
      <c r="M870" s="1"/>
      <c r="N870" s="1"/>
      <c r="O870" s="1"/>
      <c r="P870" s="1"/>
      <c r="Q870" s="1"/>
      <c r="R870" s="1"/>
      <c r="S870" s="1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</row>
    <row r="871" spans="1:32" ht="58.5" customHeight="1" x14ac:dyDescent="0.25">
      <c r="A871" s="56"/>
      <c r="B871" s="56"/>
      <c r="C871" s="56"/>
      <c r="D871" s="56"/>
      <c r="E871" s="57"/>
      <c r="F871" s="58"/>
      <c r="G871" s="56"/>
      <c r="H871" s="56"/>
      <c r="I871" s="59"/>
      <c r="J871" s="56"/>
      <c r="K871" s="56"/>
      <c r="L871" s="56"/>
      <c r="M871" s="1"/>
      <c r="N871" s="1"/>
      <c r="O871" s="1"/>
      <c r="P871" s="1"/>
      <c r="Q871" s="1"/>
      <c r="R871" s="1"/>
      <c r="S871" s="1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</row>
    <row r="872" spans="1:32" ht="58.5" customHeight="1" x14ac:dyDescent="0.25">
      <c r="A872" s="56"/>
      <c r="B872" s="56"/>
      <c r="C872" s="56"/>
      <c r="D872" s="56"/>
      <c r="E872" s="57"/>
      <c r="F872" s="58"/>
      <c r="G872" s="56"/>
      <c r="H872" s="56"/>
      <c r="I872" s="59"/>
      <c r="J872" s="56"/>
      <c r="K872" s="56"/>
      <c r="L872" s="56"/>
      <c r="M872" s="1"/>
      <c r="N872" s="1"/>
      <c r="O872" s="1"/>
      <c r="P872" s="1"/>
      <c r="Q872" s="1"/>
      <c r="R872" s="1"/>
      <c r="S872" s="1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</row>
    <row r="873" spans="1:32" ht="58.5" customHeight="1" x14ac:dyDescent="0.25">
      <c r="A873" s="56"/>
      <c r="B873" s="56"/>
      <c r="C873" s="56"/>
      <c r="D873" s="56"/>
      <c r="E873" s="57"/>
      <c r="F873" s="58"/>
      <c r="G873" s="56"/>
      <c r="H873" s="56"/>
      <c r="I873" s="59"/>
      <c r="J873" s="56"/>
      <c r="K873" s="56"/>
      <c r="L873" s="56"/>
      <c r="M873" s="1"/>
      <c r="N873" s="1"/>
      <c r="O873" s="1"/>
      <c r="P873" s="1"/>
      <c r="Q873" s="1"/>
      <c r="R873" s="1"/>
      <c r="S873" s="1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</row>
    <row r="874" spans="1:32" ht="58.5" customHeight="1" x14ac:dyDescent="0.25">
      <c r="A874" s="56"/>
      <c r="B874" s="56"/>
      <c r="C874" s="56"/>
      <c r="D874" s="56"/>
      <c r="E874" s="57"/>
      <c r="F874" s="58"/>
      <c r="G874" s="56"/>
      <c r="H874" s="56"/>
      <c r="I874" s="59"/>
      <c r="J874" s="56"/>
      <c r="K874" s="56"/>
      <c r="L874" s="56"/>
      <c r="M874" s="1"/>
      <c r="N874" s="1"/>
      <c r="O874" s="1"/>
      <c r="P874" s="1"/>
      <c r="Q874" s="1"/>
      <c r="R874" s="1"/>
      <c r="S874" s="1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</row>
    <row r="875" spans="1:32" ht="58.5" customHeight="1" x14ac:dyDescent="0.25">
      <c r="A875" s="56"/>
      <c r="B875" s="56"/>
      <c r="C875" s="56"/>
      <c r="D875" s="56"/>
      <c r="E875" s="57"/>
      <c r="F875" s="58"/>
      <c r="G875" s="56"/>
      <c r="H875" s="56"/>
      <c r="I875" s="59"/>
      <c r="J875" s="56"/>
      <c r="K875" s="56"/>
      <c r="L875" s="56"/>
      <c r="M875" s="1"/>
      <c r="N875" s="1"/>
      <c r="O875" s="1"/>
      <c r="P875" s="1"/>
      <c r="Q875" s="1"/>
      <c r="R875" s="1"/>
      <c r="S875" s="1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</row>
    <row r="876" spans="1:32" ht="58.5" customHeight="1" x14ac:dyDescent="0.25">
      <c r="A876" s="56"/>
      <c r="B876" s="56"/>
      <c r="C876" s="56"/>
      <c r="D876" s="56"/>
      <c r="E876" s="57"/>
      <c r="F876" s="58"/>
      <c r="G876" s="56"/>
      <c r="H876" s="56"/>
      <c r="I876" s="59"/>
      <c r="J876" s="56"/>
      <c r="K876" s="56"/>
      <c r="L876" s="56"/>
      <c r="M876" s="1"/>
      <c r="N876" s="1"/>
      <c r="O876" s="1"/>
      <c r="P876" s="1"/>
      <c r="Q876" s="1"/>
      <c r="R876" s="1"/>
      <c r="S876" s="1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</row>
    <row r="877" spans="1:32" ht="58.5" customHeight="1" x14ac:dyDescent="0.25">
      <c r="A877" s="56"/>
      <c r="B877" s="56"/>
      <c r="C877" s="56"/>
      <c r="D877" s="56"/>
      <c r="E877" s="57"/>
      <c r="F877" s="58"/>
      <c r="G877" s="56"/>
      <c r="H877" s="56"/>
      <c r="I877" s="59"/>
      <c r="J877" s="56"/>
      <c r="K877" s="56"/>
      <c r="L877" s="56"/>
      <c r="M877" s="1"/>
      <c r="N877" s="1"/>
      <c r="O877" s="1"/>
      <c r="P877" s="1"/>
      <c r="Q877" s="1"/>
      <c r="R877" s="1"/>
      <c r="S877" s="1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</row>
    <row r="878" spans="1:32" ht="58.5" customHeight="1" x14ac:dyDescent="0.25">
      <c r="A878" s="56"/>
      <c r="B878" s="56"/>
      <c r="C878" s="56"/>
      <c r="D878" s="56"/>
      <c r="E878" s="57"/>
      <c r="F878" s="58"/>
      <c r="G878" s="56"/>
      <c r="H878" s="56"/>
      <c r="I878" s="59"/>
      <c r="J878" s="56"/>
      <c r="K878" s="56"/>
      <c r="L878" s="56"/>
      <c r="M878" s="1"/>
      <c r="N878" s="1"/>
      <c r="O878" s="1"/>
      <c r="P878" s="1"/>
      <c r="Q878" s="1"/>
      <c r="R878" s="1"/>
      <c r="S878" s="1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</row>
    <row r="879" spans="1:32" ht="58.5" customHeight="1" x14ac:dyDescent="0.25">
      <c r="A879" s="56"/>
      <c r="B879" s="56"/>
      <c r="C879" s="56"/>
      <c r="D879" s="56"/>
      <c r="E879" s="57"/>
      <c r="F879" s="58"/>
      <c r="G879" s="56"/>
      <c r="H879" s="56"/>
      <c r="I879" s="59"/>
      <c r="J879" s="56"/>
      <c r="K879" s="56"/>
      <c r="L879" s="56"/>
      <c r="M879" s="1"/>
      <c r="N879" s="1"/>
      <c r="O879" s="1"/>
      <c r="P879" s="1"/>
      <c r="Q879" s="1"/>
      <c r="R879" s="1"/>
      <c r="S879" s="1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</row>
    <row r="880" spans="1:32" ht="58.5" customHeight="1" x14ac:dyDescent="0.25">
      <c r="A880" s="56"/>
      <c r="B880" s="56"/>
      <c r="C880" s="56"/>
      <c r="D880" s="56"/>
      <c r="E880" s="57"/>
      <c r="F880" s="58"/>
      <c r="G880" s="56"/>
      <c r="H880" s="56"/>
      <c r="I880" s="59"/>
      <c r="J880" s="56"/>
      <c r="K880" s="56"/>
      <c r="L880" s="56"/>
      <c r="M880" s="1"/>
      <c r="N880" s="1"/>
      <c r="O880" s="1"/>
      <c r="P880" s="1"/>
      <c r="Q880" s="1"/>
      <c r="R880" s="1"/>
      <c r="S880" s="1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</row>
    <row r="881" spans="1:32" ht="58.5" customHeight="1" x14ac:dyDescent="0.25">
      <c r="A881" s="56"/>
      <c r="B881" s="56"/>
      <c r="C881" s="56"/>
      <c r="D881" s="56"/>
      <c r="E881" s="57"/>
      <c r="F881" s="58"/>
      <c r="G881" s="56"/>
      <c r="H881" s="56"/>
      <c r="I881" s="59"/>
      <c r="J881" s="56"/>
      <c r="K881" s="56"/>
      <c r="L881" s="56"/>
      <c r="M881" s="1"/>
      <c r="N881" s="1"/>
      <c r="O881" s="1"/>
      <c r="P881" s="1"/>
      <c r="Q881" s="1"/>
      <c r="R881" s="1"/>
      <c r="S881" s="1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</row>
    <row r="882" spans="1:32" ht="58.5" customHeight="1" x14ac:dyDescent="0.25">
      <c r="A882" s="56"/>
      <c r="B882" s="56"/>
      <c r="C882" s="56"/>
      <c r="D882" s="56"/>
      <c r="E882" s="57"/>
      <c r="F882" s="58"/>
      <c r="G882" s="56"/>
      <c r="H882" s="56"/>
      <c r="I882" s="59"/>
      <c r="J882" s="56"/>
      <c r="K882" s="56"/>
      <c r="L882" s="56"/>
      <c r="M882" s="1"/>
      <c r="N882" s="1"/>
      <c r="O882" s="1"/>
      <c r="P882" s="1"/>
      <c r="Q882" s="1"/>
      <c r="R882" s="1"/>
      <c r="S882" s="1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</row>
    <row r="883" spans="1:32" ht="58.5" customHeight="1" x14ac:dyDescent="0.25">
      <c r="A883" s="56"/>
      <c r="B883" s="56"/>
      <c r="C883" s="56"/>
      <c r="D883" s="56"/>
      <c r="E883" s="57"/>
      <c r="F883" s="58"/>
      <c r="G883" s="56"/>
      <c r="H883" s="56"/>
      <c r="I883" s="59"/>
      <c r="J883" s="56"/>
      <c r="K883" s="56"/>
      <c r="L883" s="56"/>
      <c r="M883" s="1"/>
      <c r="N883" s="1"/>
      <c r="O883" s="1"/>
      <c r="P883" s="1"/>
      <c r="Q883" s="1"/>
      <c r="R883" s="1"/>
      <c r="S883" s="1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</row>
    <row r="884" spans="1:32" ht="58.5" customHeight="1" x14ac:dyDescent="0.25">
      <c r="A884" s="56"/>
      <c r="B884" s="56"/>
      <c r="C884" s="56"/>
      <c r="D884" s="56"/>
      <c r="E884" s="57"/>
      <c r="F884" s="58"/>
      <c r="G884" s="56"/>
      <c r="H884" s="56"/>
      <c r="I884" s="59"/>
      <c r="J884" s="56"/>
      <c r="K884" s="56"/>
      <c r="L884" s="56"/>
      <c r="M884" s="1"/>
      <c r="N884" s="1"/>
      <c r="O884" s="1"/>
      <c r="P884" s="1"/>
      <c r="Q884" s="1"/>
      <c r="R884" s="1"/>
      <c r="S884" s="1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</row>
    <row r="885" spans="1:32" ht="58.5" customHeight="1" x14ac:dyDescent="0.25">
      <c r="A885" s="56"/>
      <c r="B885" s="56"/>
      <c r="C885" s="56"/>
      <c r="D885" s="56"/>
      <c r="E885" s="57"/>
      <c r="F885" s="58"/>
      <c r="G885" s="56"/>
      <c r="H885" s="56"/>
      <c r="I885" s="59"/>
      <c r="J885" s="56"/>
      <c r="K885" s="56"/>
      <c r="L885" s="56"/>
      <c r="M885" s="1"/>
      <c r="N885" s="1"/>
      <c r="O885" s="1"/>
      <c r="P885" s="1"/>
      <c r="Q885" s="1"/>
      <c r="R885" s="1"/>
      <c r="S885" s="1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</row>
    <row r="886" spans="1:32" ht="58.5" customHeight="1" x14ac:dyDescent="0.25">
      <c r="A886" s="56"/>
      <c r="B886" s="56"/>
      <c r="C886" s="56"/>
      <c r="D886" s="56"/>
      <c r="E886" s="57"/>
      <c r="F886" s="58"/>
      <c r="G886" s="56"/>
      <c r="H886" s="56"/>
      <c r="I886" s="59"/>
      <c r="J886" s="56"/>
      <c r="K886" s="56"/>
      <c r="L886" s="56"/>
      <c r="M886" s="1"/>
      <c r="N886" s="1"/>
      <c r="O886" s="1"/>
      <c r="P886" s="1"/>
      <c r="Q886" s="1"/>
      <c r="R886" s="1"/>
      <c r="S886" s="1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</row>
    <row r="887" spans="1:32" ht="58.5" customHeight="1" x14ac:dyDescent="0.25">
      <c r="A887" s="56"/>
      <c r="B887" s="56"/>
      <c r="C887" s="56"/>
      <c r="D887" s="56"/>
      <c r="E887" s="57"/>
      <c r="F887" s="58"/>
      <c r="G887" s="56"/>
      <c r="H887" s="56"/>
      <c r="I887" s="59"/>
      <c r="J887" s="56"/>
      <c r="K887" s="56"/>
      <c r="L887" s="56"/>
      <c r="M887" s="1"/>
      <c r="N887" s="1"/>
      <c r="O887" s="1"/>
      <c r="P887" s="1"/>
      <c r="Q887" s="1"/>
      <c r="R887" s="1"/>
      <c r="S887" s="1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</row>
    <row r="888" spans="1:32" ht="58.5" customHeight="1" x14ac:dyDescent="0.25">
      <c r="A888" s="56"/>
      <c r="B888" s="56"/>
      <c r="C888" s="56"/>
      <c r="D888" s="56"/>
      <c r="E888" s="57"/>
      <c r="F888" s="58"/>
      <c r="G888" s="56"/>
      <c r="H888" s="56"/>
      <c r="I888" s="59"/>
      <c r="J888" s="56"/>
      <c r="K888" s="56"/>
      <c r="L888" s="56"/>
      <c r="M888" s="1"/>
      <c r="N888" s="1"/>
      <c r="O888" s="1"/>
      <c r="P888" s="1"/>
      <c r="Q888" s="1"/>
      <c r="R888" s="1"/>
      <c r="S888" s="1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</row>
    <row r="889" spans="1:32" ht="58.5" customHeight="1" x14ac:dyDescent="0.25">
      <c r="A889" s="56"/>
      <c r="B889" s="56"/>
      <c r="C889" s="56"/>
      <c r="D889" s="56"/>
      <c r="E889" s="57"/>
      <c r="F889" s="58"/>
      <c r="G889" s="56"/>
      <c r="H889" s="56"/>
      <c r="I889" s="59"/>
      <c r="J889" s="56"/>
      <c r="K889" s="56"/>
      <c r="L889" s="56"/>
      <c r="M889" s="1"/>
      <c r="N889" s="1"/>
      <c r="O889" s="1"/>
      <c r="P889" s="1"/>
      <c r="Q889" s="1"/>
      <c r="R889" s="1"/>
      <c r="S889" s="1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</row>
    <row r="890" spans="1:32" ht="58.5" customHeight="1" x14ac:dyDescent="0.25">
      <c r="A890" s="56"/>
      <c r="B890" s="56"/>
      <c r="C890" s="56"/>
      <c r="D890" s="56"/>
      <c r="E890" s="57"/>
      <c r="F890" s="58"/>
      <c r="G890" s="56"/>
      <c r="H890" s="56"/>
      <c r="I890" s="59"/>
      <c r="J890" s="56"/>
      <c r="K890" s="56"/>
      <c r="L890" s="56"/>
      <c r="M890" s="1"/>
      <c r="N890" s="1"/>
      <c r="O890" s="1"/>
      <c r="P890" s="1"/>
      <c r="Q890" s="1"/>
      <c r="R890" s="1"/>
      <c r="S890" s="1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</row>
    <row r="891" spans="1:32" ht="58.5" customHeight="1" x14ac:dyDescent="0.25">
      <c r="A891" s="56"/>
      <c r="B891" s="56"/>
      <c r="C891" s="56"/>
      <c r="D891" s="56"/>
      <c r="E891" s="57"/>
      <c r="F891" s="58"/>
      <c r="G891" s="56"/>
      <c r="H891" s="56"/>
      <c r="I891" s="59"/>
      <c r="J891" s="56"/>
      <c r="K891" s="56"/>
      <c r="L891" s="56"/>
      <c r="M891" s="1"/>
      <c r="N891" s="1"/>
      <c r="O891" s="1"/>
      <c r="P891" s="1"/>
      <c r="Q891" s="1"/>
      <c r="R891" s="1"/>
      <c r="S891" s="1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</row>
    <row r="892" spans="1:32" ht="58.5" customHeight="1" x14ac:dyDescent="0.25">
      <c r="A892" s="56"/>
      <c r="B892" s="56"/>
      <c r="C892" s="56"/>
      <c r="D892" s="56"/>
      <c r="E892" s="57"/>
      <c r="F892" s="58"/>
      <c r="G892" s="56"/>
      <c r="H892" s="56"/>
      <c r="I892" s="59"/>
      <c r="J892" s="56"/>
      <c r="K892" s="56"/>
      <c r="L892" s="56"/>
      <c r="M892" s="1"/>
      <c r="N892" s="1"/>
      <c r="O892" s="1"/>
      <c r="P892" s="1"/>
      <c r="Q892" s="1"/>
      <c r="R892" s="1"/>
      <c r="S892" s="1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</row>
    <row r="893" spans="1:32" ht="58.5" customHeight="1" x14ac:dyDescent="0.25">
      <c r="A893" s="56"/>
      <c r="B893" s="56"/>
      <c r="C893" s="56"/>
      <c r="D893" s="56"/>
      <c r="E893" s="57"/>
      <c r="F893" s="58"/>
      <c r="G893" s="56"/>
      <c r="H893" s="56"/>
      <c r="I893" s="59"/>
      <c r="J893" s="56"/>
      <c r="K893" s="56"/>
      <c r="L893" s="56"/>
      <c r="M893" s="1"/>
      <c r="N893" s="1"/>
      <c r="O893" s="1"/>
      <c r="P893" s="1"/>
      <c r="Q893" s="1"/>
      <c r="R893" s="1"/>
      <c r="S893" s="1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</row>
    <row r="894" spans="1:32" ht="58.5" customHeight="1" x14ac:dyDescent="0.25">
      <c r="A894" s="56"/>
      <c r="B894" s="56"/>
      <c r="C894" s="56"/>
      <c r="D894" s="56"/>
      <c r="E894" s="57"/>
      <c r="F894" s="58"/>
      <c r="G894" s="56"/>
      <c r="H894" s="56"/>
      <c r="I894" s="59"/>
      <c r="J894" s="56"/>
      <c r="K894" s="56"/>
      <c r="L894" s="56"/>
      <c r="M894" s="1"/>
      <c r="N894" s="1"/>
      <c r="O894" s="1"/>
      <c r="P894" s="1"/>
      <c r="Q894" s="1"/>
      <c r="R894" s="1"/>
      <c r="S894" s="1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</row>
    <row r="895" spans="1:32" ht="58.5" customHeight="1" x14ac:dyDescent="0.25">
      <c r="A895" s="56"/>
      <c r="B895" s="56"/>
      <c r="C895" s="56"/>
      <c r="D895" s="56"/>
      <c r="E895" s="57"/>
      <c r="F895" s="58"/>
      <c r="G895" s="56"/>
      <c r="H895" s="56"/>
      <c r="I895" s="59"/>
      <c r="J895" s="56"/>
      <c r="K895" s="56"/>
      <c r="L895" s="56"/>
      <c r="M895" s="1"/>
      <c r="N895" s="1"/>
      <c r="O895" s="1"/>
      <c r="P895" s="1"/>
      <c r="Q895" s="1"/>
      <c r="R895" s="1"/>
      <c r="S895" s="1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</row>
    <row r="896" spans="1:32" ht="58.5" customHeight="1" x14ac:dyDescent="0.25">
      <c r="A896" s="56"/>
      <c r="B896" s="56"/>
      <c r="C896" s="56"/>
      <c r="D896" s="56"/>
      <c r="E896" s="57"/>
      <c r="F896" s="58"/>
      <c r="G896" s="56"/>
      <c r="H896" s="56"/>
      <c r="I896" s="59"/>
      <c r="J896" s="56"/>
      <c r="K896" s="56"/>
      <c r="L896" s="56"/>
      <c r="M896" s="1"/>
      <c r="N896" s="1"/>
      <c r="O896" s="1"/>
      <c r="P896" s="1"/>
      <c r="Q896" s="1"/>
      <c r="R896" s="1"/>
      <c r="S896" s="1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</row>
    <row r="897" spans="1:32" ht="58.5" customHeight="1" x14ac:dyDescent="0.25">
      <c r="A897" s="56"/>
      <c r="B897" s="56"/>
      <c r="C897" s="56"/>
      <c r="D897" s="56"/>
      <c r="E897" s="57"/>
      <c r="F897" s="58"/>
      <c r="G897" s="56"/>
      <c r="H897" s="56"/>
      <c r="I897" s="59"/>
      <c r="J897" s="56"/>
      <c r="K897" s="56"/>
      <c r="L897" s="56"/>
      <c r="M897" s="1"/>
      <c r="N897" s="1"/>
      <c r="O897" s="1"/>
      <c r="P897" s="1"/>
      <c r="Q897" s="1"/>
      <c r="R897" s="1"/>
      <c r="S897" s="1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</row>
    <row r="898" spans="1:32" ht="58.5" customHeight="1" x14ac:dyDescent="0.25">
      <c r="A898" s="56"/>
      <c r="B898" s="56"/>
      <c r="C898" s="56"/>
      <c r="D898" s="56"/>
      <c r="E898" s="57"/>
      <c r="F898" s="58"/>
      <c r="G898" s="56"/>
      <c r="H898" s="56"/>
      <c r="I898" s="59"/>
      <c r="J898" s="56"/>
      <c r="K898" s="56"/>
      <c r="L898" s="56"/>
      <c r="M898" s="1"/>
      <c r="N898" s="1"/>
      <c r="O898" s="1"/>
      <c r="P898" s="1"/>
      <c r="Q898" s="1"/>
      <c r="R898" s="1"/>
      <c r="S898" s="1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</row>
    <row r="899" spans="1:32" ht="58.5" customHeight="1" x14ac:dyDescent="0.25">
      <c r="A899" s="56"/>
      <c r="B899" s="56"/>
      <c r="C899" s="56"/>
      <c r="D899" s="56"/>
      <c r="E899" s="57"/>
      <c r="F899" s="58"/>
      <c r="G899" s="56"/>
      <c r="H899" s="56"/>
      <c r="I899" s="59"/>
      <c r="J899" s="56"/>
      <c r="K899" s="56"/>
      <c r="L899" s="56"/>
      <c r="M899" s="1"/>
      <c r="N899" s="1"/>
      <c r="O899" s="1"/>
      <c r="P899" s="1"/>
      <c r="Q899" s="1"/>
      <c r="R899" s="1"/>
      <c r="S899" s="1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</row>
    <row r="900" spans="1:32" ht="58.5" customHeight="1" x14ac:dyDescent="0.25">
      <c r="A900" s="56"/>
      <c r="B900" s="56"/>
      <c r="C900" s="56"/>
      <c r="D900" s="56"/>
      <c r="E900" s="57"/>
      <c r="F900" s="58"/>
      <c r="G900" s="56"/>
      <c r="H900" s="56"/>
      <c r="I900" s="59"/>
      <c r="J900" s="56"/>
      <c r="K900" s="56"/>
      <c r="L900" s="56"/>
      <c r="M900" s="1"/>
      <c r="N900" s="1"/>
      <c r="O900" s="1"/>
      <c r="P900" s="1"/>
      <c r="Q900" s="1"/>
      <c r="R900" s="1"/>
      <c r="S900" s="1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</row>
    <row r="901" spans="1:32" ht="58.5" customHeight="1" x14ac:dyDescent="0.25">
      <c r="A901" s="56"/>
      <c r="B901" s="56"/>
      <c r="C901" s="56"/>
      <c r="D901" s="56"/>
      <c r="E901" s="57"/>
      <c r="F901" s="58"/>
      <c r="G901" s="56"/>
      <c r="H901" s="56"/>
      <c r="I901" s="59"/>
      <c r="J901" s="56"/>
      <c r="K901" s="56"/>
      <c r="L901" s="56"/>
      <c r="M901" s="1"/>
      <c r="N901" s="1"/>
      <c r="O901" s="1"/>
      <c r="P901" s="1"/>
      <c r="Q901" s="1"/>
      <c r="R901" s="1"/>
      <c r="S901" s="1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</row>
    <row r="902" spans="1:32" ht="58.5" customHeight="1" x14ac:dyDescent="0.25">
      <c r="A902" s="56"/>
      <c r="B902" s="56"/>
      <c r="C902" s="56"/>
      <c r="D902" s="56"/>
      <c r="E902" s="57"/>
      <c r="F902" s="58"/>
      <c r="G902" s="56"/>
      <c r="H902" s="56"/>
      <c r="I902" s="59"/>
      <c r="J902" s="56"/>
      <c r="K902" s="56"/>
      <c r="L902" s="56"/>
      <c r="M902" s="1"/>
      <c r="N902" s="1"/>
      <c r="O902" s="1"/>
      <c r="P902" s="1"/>
      <c r="Q902" s="1"/>
      <c r="R902" s="1"/>
      <c r="S902" s="1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</row>
    <row r="903" spans="1:32" ht="58.5" customHeight="1" x14ac:dyDescent="0.25">
      <c r="A903" s="56"/>
      <c r="B903" s="56"/>
      <c r="C903" s="56"/>
      <c r="D903" s="56"/>
      <c r="E903" s="57"/>
      <c r="F903" s="58"/>
      <c r="G903" s="56"/>
      <c r="H903" s="56"/>
      <c r="I903" s="59"/>
      <c r="J903" s="56"/>
      <c r="K903" s="56"/>
      <c r="L903" s="56"/>
      <c r="M903" s="1"/>
      <c r="N903" s="1"/>
      <c r="O903" s="1"/>
      <c r="P903" s="1"/>
      <c r="Q903" s="1"/>
      <c r="R903" s="1"/>
      <c r="S903" s="1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</row>
    <row r="904" spans="1:32" ht="58.5" customHeight="1" x14ac:dyDescent="0.25">
      <c r="A904" s="56"/>
      <c r="B904" s="56"/>
      <c r="C904" s="56"/>
      <c r="D904" s="56"/>
      <c r="E904" s="57"/>
      <c r="F904" s="58"/>
      <c r="G904" s="56"/>
      <c r="H904" s="56"/>
      <c r="I904" s="59"/>
      <c r="J904" s="56"/>
      <c r="K904" s="56"/>
      <c r="L904" s="56"/>
      <c r="M904" s="1"/>
      <c r="N904" s="1"/>
      <c r="O904" s="1"/>
      <c r="P904" s="1"/>
      <c r="Q904" s="1"/>
      <c r="R904" s="1"/>
      <c r="S904" s="1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</row>
    <row r="905" spans="1:32" ht="58.5" customHeight="1" x14ac:dyDescent="0.25">
      <c r="A905" s="56"/>
      <c r="B905" s="56"/>
      <c r="C905" s="56"/>
      <c r="D905" s="56"/>
      <c r="E905" s="57"/>
      <c r="F905" s="58"/>
      <c r="G905" s="56"/>
      <c r="H905" s="56"/>
      <c r="I905" s="59"/>
      <c r="J905" s="56"/>
      <c r="K905" s="56"/>
      <c r="L905" s="56"/>
      <c r="M905" s="1"/>
      <c r="N905" s="1"/>
      <c r="O905" s="1"/>
      <c r="P905" s="1"/>
      <c r="Q905" s="1"/>
      <c r="R905" s="1"/>
      <c r="S905" s="1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</row>
    <row r="906" spans="1:32" ht="58.5" customHeight="1" x14ac:dyDescent="0.25">
      <c r="A906" s="56"/>
      <c r="B906" s="56"/>
      <c r="C906" s="56"/>
      <c r="D906" s="56"/>
      <c r="E906" s="57"/>
      <c r="F906" s="58"/>
      <c r="G906" s="56"/>
      <c r="H906" s="56"/>
      <c r="I906" s="59"/>
      <c r="J906" s="56"/>
      <c r="K906" s="56"/>
      <c r="L906" s="56"/>
      <c r="M906" s="1"/>
      <c r="N906" s="1"/>
      <c r="O906" s="1"/>
      <c r="P906" s="1"/>
      <c r="Q906" s="1"/>
      <c r="R906" s="1"/>
      <c r="S906" s="1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</row>
    <row r="907" spans="1:32" ht="58.5" customHeight="1" x14ac:dyDescent="0.25">
      <c r="A907" s="56"/>
      <c r="B907" s="56"/>
      <c r="C907" s="56"/>
      <c r="D907" s="56"/>
      <c r="E907" s="57"/>
      <c r="F907" s="58"/>
      <c r="G907" s="56"/>
      <c r="H907" s="56"/>
      <c r="I907" s="59"/>
      <c r="J907" s="56"/>
      <c r="K907" s="56"/>
      <c r="L907" s="56"/>
      <c r="M907" s="1"/>
      <c r="N907" s="1"/>
      <c r="O907" s="1"/>
      <c r="P907" s="1"/>
      <c r="Q907" s="1"/>
      <c r="R907" s="1"/>
      <c r="S907" s="1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</row>
    <row r="908" spans="1:32" ht="58.5" customHeight="1" x14ac:dyDescent="0.25">
      <c r="A908" s="56"/>
      <c r="B908" s="56"/>
      <c r="C908" s="56"/>
      <c r="D908" s="56"/>
      <c r="E908" s="57"/>
      <c r="F908" s="58"/>
      <c r="G908" s="56"/>
      <c r="H908" s="56"/>
      <c r="I908" s="59"/>
      <c r="J908" s="56"/>
      <c r="K908" s="56"/>
      <c r="L908" s="56"/>
      <c r="M908" s="1"/>
      <c r="N908" s="1"/>
      <c r="O908" s="1"/>
      <c r="P908" s="1"/>
      <c r="Q908" s="1"/>
      <c r="R908" s="1"/>
      <c r="S908" s="1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</row>
    <row r="909" spans="1:32" ht="58.5" customHeight="1" x14ac:dyDescent="0.25">
      <c r="A909" s="56"/>
      <c r="B909" s="56"/>
      <c r="C909" s="56"/>
      <c r="D909" s="56"/>
      <c r="E909" s="57"/>
      <c r="F909" s="58"/>
      <c r="G909" s="56"/>
      <c r="H909" s="56"/>
      <c r="I909" s="59"/>
      <c r="J909" s="56"/>
      <c r="K909" s="56"/>
      <c r="L909" s="56"/>
      <c r="M909" s="1"/>
      <c r="N909" s="1"/>
      <c r="O909" s="1"/>
      <c r="P909" s="1"/>
      <c r="Q909" s="1"/>
      <c r="R909" s="1"/>
      <c r="S909" s="1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</row>
    <row r="910" spans="1:32" ht="58.5" customHeight="1" x14ac:dyDescent="0.25">
      <c r="A910" s="56"/>
      <c r="B910" s="56"/>
      <c r="C910" s="56"/>
      <c r="D910" s="56"/>
      <c r="E910" s="57"/>
      <c r="F910" s="58"/>
      <c r="G910" s="56"/>
      <c r="H910" s="56"/>
      <c r="I910" s="59"/>
      <c r="J910" s="56"/>
      <c r="K910" s="56"/>
      <c r="L910" s="56"/>
      <c r="M910" s="1"/>
      <c r="N910" s="1"/>
      <c r="O910" s="1"/>
      <c r="P910" s="1"/>
      <c r="Q910" s="1"/>
      <c r="R910" s="1"/>
      <c r="S910" s="1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</row>
    <row r="911" spans="1:32" ht="58.5" customHeight="1" x14ac:dyDescent="0.25">
      <c r="A911" s="56"/>
      <c r="B911" s="56"/>
      <c r="C911" s="56"/>
      <c r="D911" s="56"/>
      <c r="E911" s="57"/>
      <c r="F911" s="58"/>
      <c r="G911" s="56"/>
      <c r="H911" s="56"/>
      <c r="I911" s="59"/>
      <c r="J911" s="56"/>
      <c r="K911" s="56"/>
      <c r="L911" s="56"/>
      <c r="M911" s="1"/>
      <c r="N911" s="1"/>
      <c r="O911" s="1"/>
      <c r="P911" s="1"/>
      <c r="Q911" s="1"/>
      <c r="R911" s="1"/>
      <c r="S911" s="1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</row>
    <row r="912" spans="1:32" ht="58.5" customHeight="1" x14ac:dyDescent="0.25">
      <c r="A912" s="56"/>
      <c r="B912" s="56"/>
      <c r="C912" s="56"/>
      <c r="D912" s="56"/>
      <c r="E912" s="57"/>
      <c r="F912" s="58"/>
      <c r="G912" s="56"/>
      <c r="H912" s="56"/>
      <c r="I912" s="59"/>
      <c r="J912" s="56"/>
      <c r="K912" s="56"/>
      <c r="L912" s="56"/>
      <c r="M912" s="1"/>
      <c r="N912" s="1"/>
      <c r="O912" s="1"/>
      <c r="P912" s="1"/>
      <c r="Q912" s="1"/>
      <c r="R912" s="1"/>
      <c r="S912" s="1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</row>
    <row r="913" spans="1:32" ht="58.5" customHeight="1" x14ac:dyDescent="0.25">
      <c r="A913" s="56"/>
      <c r="B913" s="56"/>
      <c r="C913" s="56"/>
      <c r="D913" s="56"/>
      <c r="E913" s="57"/>
      <c r="F913" s="58"/>
      <c r="G913" s="56"/>
      <c r="H913" s="56"/>
      <c r="I913" s="59"/>
      <c r="J913" s="56"/>
      <c r="K913" s="56"/>
      <c r="L913" s="56"/>
      <c r="M913" s="1"/>
      <c r="N913" s="1"/>
      <c r="O913" s="1"/>
      <c r="P913" s="1"/>
      <c r="Q913" s="1"/>
      <c r="R913" s="1"/>
      <c r="S913" s="1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</row>
    <row r="914" spans="1:32" ht="58.5" customHeight="1" x14ac:dyDescent="0.25">
      <c r="A914" s="56"/>
      <c r="B914" s="56"/>
      <c r="C914" s="56"/>
      <c r="D914" s="56"/>
      <c r="E914" s="57"/>
      <c r="F914" s="58"/>
      <c r="G914" s="56"/>
      <c r="H914" s="56"/>
      <c r="I914" s="59"/>
      <c r="J914" s="56"/>
      <c r="K914" s="56"/>
      <c r="L914" s="56"/>
      <c r="M914" s="1"/>
      <c r="N914" s="1"/>
      <c r="O914" s="1"/>
      <c r="P914" s="1"/>
      <c r="Q914" s="1"/>
      <c r="R914" s="1"/>
      <c r="S914" s="1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</row>
    <row r="915" spans="1:32" ht="58.5" customHeight="1" x14ac:dyDescent="0.25">
      <c r="A915" s="56"/>
      <c r="B915" s="56"/>
      <c r="C915" s="56"/>
      <c r="D915" s="56"/>
      <c r="E915" s="57"/>
      <c r="F915" s="58"/>
      <c r="G915" s="56"/>
      <c r="H915" s="56"/>
      <c r="I915" s="59"/>
      <c r="J915" s="56"/>
      <c r="K915" s="56"/>
      <c r="L915" s="56"/>
      <c r="M915" s="1"/>
      <c r="N915" s="1"/>
      <c r="O915" s="1"/>
      <c r="P915" s="1"/>
      <c r="Q915" s="1"/>
      <c r="R915" s="1"/>
      <c r="S915" s="1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</row>
    <row r="916" spans="1:32" ht="58.5" customHeight="1" x14ac:dyDescent="0.25">
      <c r="A916" s="56"/>
      <c r="B916" s="56"/>
      <c r="C916" s="56"/>
      <c r="D916" s="56"/>
      <c r="E916" s="57"/>
      <c r="F916" s="58"/>
      <c r="G916" s="56"/>
      <c r="H916" s="56"/>
      <c r="I916" s="59"/>
      <c r="J916" s="56"/>
      <c r="K916" s="56"/>
      <c r="L916" s="56"/>
      <c r="M916" s="1"/>
      <c r="N916" s="1"/>
      <c r="O916" s="1"/>
      <c r="P916" s="1"/>
      <c r="Q916" s="1"/>
      <c r="R916" s="1"/>
      <c r="S916" s="1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</row>
    <row r="917" spans="1:32" ht="58.5" customHeight="1" x14ac:dyDescent="0.25">
      <c r="A917" s="56"/>
      <c r="B917" s="56"/>
      <c r="C917" s="56"/>
      <c r="D917" s="56"/>
      <c r="E917" s="57"/>
      <c r="F917" s="58"/>
      <c r="G917" s="56"/>
      <c r="H917" s="56"/>
      <c r="I917" s="59"/>
      <c r="J917" s="56"/>
      <c r="K917" s="56"/>
      <c r="L917" s="56"/>
      <c r="M917" s="1"/>
      <c r="N917" s="1"/>
      <c r="O917" s="1"/>
      <c r="P917" s="1"/>
      <c r="Q917" s="1"/>
      <c r="R917" s="1"/>
      <c r="S917" s="1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</row>
    <row r="918" spans="1:32" ht="58.5" customHeight="1" x14ac:dyDescent="0.25">
      <c r="A918" s="56"/>
      <c r="B918" s="56"/>
      <c r="C918" s="56"/>
      <c r="D918" s="56"/>
      <c r="E918" s="57"/>
      <c r="F918" s="58"/>
      <c r="G918" s="56"/>
      <c r="H918" s="56"/>
      <c r="I918" s="59"/>
      <c r="J918" s="56"/>
      <c r="K918" s="56"/>
      <c r="L918" s="56"/>
      <c r="M918" s="1"/>
      <c r="N918" s="1"/>
      <c r="O918" s="1"/>
      <c r="P918" s="1"/>
      <c r="Q918" s="1"/>
      <c r="R918" s="1"/>
      <c r="S918" s="1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</row>
    <row r="919" spans="1:32" ht="58.5" customHeight="1" x14ac:dyDescent="0.25">
      <c r="A919" s="56"/>
      <c r="B919" s="56"/>
      <c r="C919" s="56"/>
      <c r="D919" s="56"/>
      <c r="E919" s="57"/>
      <c r="F919" s="58"/>
      <c r="G919" s="56"/>
      <c r="H919" s="56"/>
      <c r="I919" s="59"/>
      <c r="J919" s="56"/>
      <c r="K919" s="56"/>
      <c r="L919" s="56"/>
      <c r="M919" s="1"/>
      <c r="N919" s="1"/>
      <c r="O919" s="1"/>
      <c r="P919" s="1"/>
      <c r="Q919" s="1"/>
      <c r="R919" s="1"/>
      <c r="S919" s="1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</row>
    <row r="920" spans="1:32" ht="58.5" customHeight="1" x14ac:dyDescent="0.25">
      <c r="A920" s="56"/>
      <c r="B920" s="56"/>
      <c r="C920" s="56"/>
      <c r="D920" s="56"/>
      <c r="E920" s="57"/>
      <c r="F920" s="58"/>
      <c r="G920" s="56"/>
      <c r="H920" s="56"/>
      <c r="I920" s="59"/>
      <c r="J920" s="56"/>
      <c r="K920" s="56"/>
      <c r="L920" s="56"/>
      <c r="M920" s="1"/>
      <c r="N920" s="1"/>
      <c r="O920" s="1"/>
      <c r="P920" s="1"/>
      <c r="Q920" s="1"/>
      <c r="R920" s="1"/>
      <c r="S920" s="1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</row>
    <row r="921" spans="1:32" ht="58.5" customHeight="1" x14ac:dyDescent="0.25">
      <c r="A921" s="56"/>
      <c r="B921" s="56"/>
      <c r="C921" s="56"/>
      <c r="D921" s="56"/>
      <c r="E921" s="57"/>
      <c r="F921" s="58"/>
      <c r="G921" s="56"/>
      <c r="H921" s="56"/>
      <c r="I921" s="59"/>
      <c r="J921" s="56"/>
      <c r="K921" s="56"/>
      <c r="L921" s="56"/>
      <c r="M921" s="1"/>
      <c r="N921" s="1"/>
      <c r="O921" s="1"/>
      <c r="P921" s="1"/>
      <c r="Q921" s="1"/>
      <c r="R921" s="1"/>
      <c r="S921" s="1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</row>
    <row r="922" spans="1:32" ht="58.5" customHeight="1" x14ac:dyDescent="0.25">
      <c r="A922" s="56"/>
      <c r="B922" s="56"/>
      <c r="C922" s="56"/>
      <c r="D922" s="56"/>
      <c r="E922" s="57"/>
      <c r="F922" s="58"/>
      <c r="G922" s="56"/>
      <c r="H922" s="56"/>
      <c r="I922" s="59"/>
      <c r="J922" s="56"/>
      <c r="K922" s="56"/>
      <c r="L922" s="56"/>
      <c r="M922" s="1"/>
      <c r="N922" s="1"/>
      <c r="O922" s="1"/>
      <c r="P922" s="1"/>
      <c r="Q922" s="1"/>
      <c r="R922" s="1"/>
      <c r="S922" s="1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</row>
    <row r="923" spans="1:32" ht="58.5" customHeight="1" x14ac:dyDescent="0.25">
      <c r="A923" s="56"/>
      <c r="B923" s="56"/>
      <c r="C923" s="56"/>
      <c r="D923" s="56"/>
      <c r="E923" s="57"/>
      <c r="F923" s="58"/>
      <c r="G923" s="56"/>
      <c r="H923" s="56"/>
      <c r="I923" s="59"/>
      <c r="J923" s="56"/>
      <c r="K923" s="56"/>
      <c r="L923" s="56"/>
      <c r="M923" s="1"/>
      <c r="N923" s="1"/>
      <c r="O923" s="1"/>
      <c r="P923" s="1"/>
      <c r="Q923" s="1"/>
      <c r="R923" s="1"/>
      <c r="S923" s="1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</row>
    <row r="924" spans="1:32" ht="58.5" customHeight="1" x14ac:dyDescent="0.25">
      <c r="A924" s="56"/>
      <c r="B924" s="56"/>
      <c r="C924" s="56"/>
      <c r="D924" s="56"/>
      <c r="E924" s="57"/>
      <c r="F924" s="58"/>
      <c r="G924" s="56"/>
      <c r="H924" s="56"/>
      <c r="I924" s="59"/>
      <c r="J924" s="56"/>
      <c r="K924" s="56"/>
      <c r="L924" s="56"/>
      <c r="M924" s="1"/>
      <c r="N924" s="1"/>
      <c r="O924" s="1"/>
      <c r="P924" s="1"/>
      <c r="Q924" s="1"/>
      <c r="R924" s="1"/>
      <c r="S924" s="1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</row>
    <row r="925" spans="1:32" ht="58.5" customHeight="1" x14ac:dyDescent="0.25">
      <c r="A925" s="56"/>
      <c r="B925" s="56"/>
      <c r="C925" s="56"/>
      <c r="D925" s="56"/>
      <c r="E925" s="57"/>
      <c r="F925" s="58"/>
      <c r="G925" s="56"/>
      <c r="H925" s="56"/>
      <c r="I925" s="59"/>
      <c r="J925" s="56"/>
      <c r="K925" s="56"/>
      <c r="L925" s="56"/>
      <c r="M925" s="1"/>
      <c r="N925" s="1"/>
      <c r="O925" s="1"/>
      <c r="P925" s="1"/>
      <c r="Q925" s="1"/>
      <c r="R925" s="1"/>
      <c r="S925" s="1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</row>
    <row r="926" spans="1:32" ht="58.5" customHeight="1" x14ac:dyDescent="0.25">
      <c r="A926" s="56"/>
      <c r="B926" s="56"/>
      <c r="C926" s="56"/>
      <c r="D926" s="56"/>
      <c r="E926" s="57"/>
      <c r="F926" s="58"/>
      <c r="G926" s="56"/>
      <c r="H926" s="56"/>
      <c r="I926" s="59"/>
      <c r="J926" s="56"/>
      <c r="K926" s="56"/>
      <c r="L926" s="56"/>
      <c r="M926" s="1"/>
      <c r="N926" s="1"/>
      <c r="O926" s="1"/>
      <c r="P926" s="1"/>
      <c r="Q926" s="1"/>
      <c r="R926" s="1"/>
      <c r="S926" s="1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</row>
    <row r="927" spans="1:32" ht="58.5" customHeight="1" x14ac:dyDescent="0.25">
      <c r="A927" s="56"/>
      <c r="B927" s="56"/>
      <c r="C927" s="56"/>
      <c r="D927" s="56"/>
      <c r="E927" s="57"/>
      <c r="F927" s="58"/>
      <c r="G927" s="56"/>
      <c r="H927" s="56"/>
      <c r="I927" s="59"/>
      <c r="J927" s="56"/>
      <c r="K927" s="56"/>
      <c r="L927" s="56"/>
      <c r="M927" s="1"/>
      <c r="N927" s="1"/>
      <c r="O927" s="1"/>
      <c r="P927" s="1"/>
      <c r="Q927" s="1"/>
      <c r="R927" s="1"/>
      <c r="S927" s="1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</row>
    <row r="928" spans="1:32" ht="58.5" customHeight="1" x14ac:dyDescent="0.25">
      <c r="A928" s="56"/>
      <c r="B928" s="56"/>
      <c r="C928" s="56"/>
      <c r="D928" s="56"/>
      <c r="E928" s="57"/>
      <c r="F928" s="58"/>
      <c r="G928" s="56"/>
      <c r="H928" s="56"/>
      <c r="I928" s="59"/>
      <c r="J928" s="56"/>
      <c r="K928" s="56"/>
      <c r="L928" s="56"/>
      <c r="M928" s="1"/>
      <c r="N928" s="1"/>
      <c r="O928" s="1"/>
      <c r="P928" s="1"/>
      <c r="Q928" s="1"/>
      <c r="R928" s="1"/>
      <c r="S928" s="1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</row>
    <row r="929" spans="1:32" ht="58.5" customHeight="1" x14ac:dyDescent="0.25">
      <c r="A929" s="56"/>
      <c r="B929" s="56"/>
      <c r="C929" s="56"/>
      <c r="D929" s="56"/>
      <c r="E929" s="57"/>
      <c r="F929" s="58"/>
      <c r="G929" s="56"/>
      <c r="H929" s="56"/>
      <c r="I929" s="59"/>
      <c r="J929" s="56"/>
      <c r="K929" s="56"/>
      <c r="L929" s="56"/>
      <c r="M929" s="1"/>
      <c r="N929" s="1"/>
      <c r="O929" s="1"/>
      <c r="P929" s="1"/>
      <c r="Q929" s="1"/>
      <c r="R929" s="1"/>
      <c r="S929" s="1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</row>
    <row r="930" spans="1:32" ht="58.5" customHeight="1" x14ac:dyDescent="0.25">
      <c r="A930" s="56"/>
      <c r="B930" s="56"/>
      <c r="C930" s="56"/>
      <c r="D930" s="56"/>
      <c r="E930" s="57"/>
      <c r="F930" s="58"/>
      <c r="G930" s="56"/>
      <c r="H930" s="56"/>
      <c r="I930" s="59"/>
      <c r="J930" s="56"/>
      <c r="K930" s="56"/>
      <c r="L930" s="56"/>
      <c r="M930" s="1"/>
      <c r="N930" s="1"/>
      <c r="O930" s="1"/>
      <c r="P930" s="1"/>
      <c r="Q930" s="1"/>
      <c r="R930" s="1"/>
      <c r="S930" s="1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</row>
    <row r="931" spans="1:32" ht="58.5" customHeight="1" x14ac:dyDescent="0.25">
      <c r="A931" s="56"/>
      <c r="B931" s="56"/>
      <c r="C931" s="56"/>
      <c r="D931" s="56"/>
      <c r="E931" s="57"/>
      <c r="F931" s="58"/>
      <c r="G931" s="56"/>
      <c r="H931" s="56"/>
      <c r="I931" s="59"/>
      <c r="J931" s="56"/>
      <c r="K931" s="56"/>
      <c r="L931" s="56"/>
      <c r="M931" s="1"/>
      <c r="N931" s="1"/>
      <c r="O931" s="1"/>
      <c r="P931" s="1"/>
      <c r="Q931" s="1"/>
      <c r="R931" s="1"/>
      <c r="S931" s="1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</row>
    <row r="932" spans="1:32" ht="58.5" customHeight="1" x14ac:dyDescent="0.25">
      <c r="A932" s="56"/>
      <c r="B932" s="56"/>
      <c r="C932" s="56"/>
      <c r="D932" s="56"/>
      <c r="E932" s="57"/>
      <c r="F932" s="58"/>
      <c r="G932" s="56"/>
      <c r="H932" s="56"/>
      <c r="I932" s="59"/>
      <c r="J932" s="56"/>
      <c r="K932" s="56"/>
      <c r="L932" s="56"/>
      <c r="M932" s="1"/>
      <c r="N932" s="1"/>
      <c r="O932" s="1"/>
      <c r="P932" s="1"/>
      <c r="Q932" s="1"/>
      <c r="R932" s="1"/>
      <c r="S932" s="1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</row>
    <row r="933" spans="1:32" ht="58.5" customHeight="1" x14ac:dyDescent="0.25">
      <c r="A933" s="56"/>
      <c r="B933" s="56"/>
      <c r="C933" s="56"/>
      <c r="D933" s="56"/>
      <c r="E933" s="57"/>
      <c r="F933" s="58"/>
      <c r="G933" s="56"/>
      <c r="H933" s="56"/>
      <c r="I933" s="59"/>
      <c r="J933" s="56"/>
      <c r="K933" s="56"/>
      <c r="L933" s="56"/>
      <c r="M933" s="1"/>
      <c r="N933" s="1"/>
      <c r="O933" s="1"/>
      <c r="P933" s="1"/>
      <c r="Q933" s="1"/>
      <c r="R933" s="1"/>
      <c r="S933" s="1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</row>
    <row r="934" spans="1:32" ht="58.5" customHeight="1" x14ac:dyDescent="0.25">
      <c r="A934" s="56"/>
      <c r="B934" s="56"/>
      <c r="C934" s="56"/>
      <c r="D934" s="56"/>
      <c r="E934" s="57"/>
      <c r="F934" s="58"/>
      <c r="G934" s="56"/>
      <c r="H934" s="56"/>
      <c r="I934" s="59"/>
      <c r="J934" s="56"/>
      <c r="K934" s="56"/>
      <c r="L934" s="56"/>
      <c r="M934" s="1"/>
      <c r="N934" s="1"/>
      <c r="O934" s="1"/>
      <c r="P934" s="1"/>
      <c r="Q934" s="1"/>
      <c r="R934" s="1"/>
      <c r="S934" s="1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</row>
    <row r="935" spans="1:32" ht="58.5" customHeight="1" x14ac:dyDescent="0.25">
      <c r="A935" s="56"/>
      <c r="B935" s="56"/>
      <c r="C935" s="56"/>
      <c r="D935" s="56"/>
      <c r="E935" s="57"/>
      <c r="F935" s="58"/>
      <c r="G935" s="56"/>
      <c r="H935" s="56"/>
      <c r="I935" s="59"/>
      <c r="J935" s="56"/>
      <c r="K935" s="56"/>
      <c r="L935" s="56"/>
      <c r="M935" s="1"/>
      <c r="N935" s="1"/>
      <c r="O935" s="1"/>
      <c r="P935" s="1"/>
      <c r="Q935" s="1"/>
      <c r="R935" s="1"/>
      <c r="S935" s="1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</row>
    <row r="936" spans="1:32" ht="58.5" customHeight="1" x14ac:dyDescent="0.25">
      <c r="A936" s="56"/>
      <c r="B936" s="56"/>
      <c r="C936" s="56"/>
      <c r="D936" s="56"/>
      <c r="E936" s="57"/>
      <c r="F936" s="58"/>
      <c r="G936" s="56"/>
      <c r="H936" s="56"/>
      <c r="I936" s="59"/>
      <c r="J936" s="56"/>
      <c r="K936" s="56"/>
      <c r="L936" s="56"/>
      <c r="M936" s="1"/>
      <c r="N936" s="1"/>
      <c r="O936" s="1"/>
      <c r="P936" s="1"/>
      <c r="Q936" s="1"/>
      <c r="R936" s="1"/>
      <c r="S936" s="1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</row>
    <row r="937" spans="1:32" ht="58.5" customHeight="1" x14ac:dyDescent="0.25">
      <c r="A937" s="56"/>
      <c r="B937" s="56"/>
      <c r="C937" s="56"/>
      <c r="D937" s="56"/>
      <c r="E937" s="57"/>
      <c r="F937" s="58"/>
      <c r="G937" s="56"/>
      <c r="H937" s="56"/>
      <c r="I937" s="59"/>
      <c r="J937" s="56"/>
      <c r="K937" s="56"/>
      <c r="L937" s="56"/>
      <c r="M937" s="1"/>
      <c r="N937" s="1"/>
      <c r="O937" s="1"/>
      <c r="P937" s="1"/>
      <c r="Q937" s="1"/>
      <c r="R937" s="1"/>
      <c r="S937" s="1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</row>
    <row r="938" spans="1:32" ht="58.5" customHeight="1" x14ac:dyDescent="0.25">
      <c r="A938" s="56"/>
      <c r="B938" s="56"/>
      <c r="C938" s="56"/>
      <c r="D938" s="56"/>
      <c r="E938" s="57"/>
      <c r="F938" s="58"/>
      <c r="G938" s="56"/>
      <c r="H938" s="56"/>
      <c r="I938" s="59"/>
      <c r="J938" s="56"/>
      <c r="K938" s="56"/>
      <c r="L938" s="56"/>
      <c r="M938" s="1"/>
      <c r="N938" s="1"/>
      <c r="O938" s="1"/>
      <c r="P938" s="1"/>
      <c r="Q938" s="1"/>
      <c r="R938" s="1"/>
      <c r="S938" s="1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</row>
    <row r="939" spans="1:32" ht="58.5" customHeight="1" x14ac:dyDescent="0.25">
      <c r="A939" s="56"/>
      <c r="B939" s="56"/>
      <c r="C939" s="56"/>
      <c r="D939" s="56"/>
      <c r="E939" s="57"/>
      <c r="F939" s="58"/>
      <c r="G939" s="56"/>
      <c r="H939" s="56"/>
      <c r="I939" s="59"/>
      <c r="J939" s="56"/>
      <c r="K939" s="56"/>
      <c r="L939" s="56"/>
      <c r="M939" s="1"/>
      <c r="N939" s="1"/>
      <c r="O939" s="1"/>
      <c r="P939" s="1"/>
      <c r="Q939" s="1"/>
      <c r="R939" s="1"/>
      <c r="S939" s="1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</row>
    <row r="940" spans="1:32" ht="58.5" customHeight="1" x14ac:dyDescent="0.25">
      <c r="A940" s="56"/>
      <c r="B940" s="56"/>
      <c r="C940" s="56"/>
      <c r="D940" s="56"/>
      <c r="E940" s="57"/>
      <c r="F940" s="58"/>
      <c r="G940" s="56"/>
      <c r="H940" s="56"/>
      <c r="I940" s="59"/>
      <c r="J940" s="56"/>
      <c r="K940" s="56"/>
      <c r="L940" s="56"/>
      <c r="M940" s="1"/>
      <c r="N940" s="1"/>
      <c r="O940" s="1"/>
      <c r="P940" s="1"/>
      <c r="Q940" s="1"/>
      <c r="R940" s="1"/>
      <c r="S940" s="1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</row>
    <row r="941" spans="1:32" ht="58.5" customHeight="1" x14ac:dyDescent="0.25">
      <c r="A941" s="56"/>
      <c r="B941" s="56"/>
      <c r="C941" s="56"/>
      <c r="D941" s="56"/>
      <c r="E941" s="57"/>
      <c r="F941" s="58"/>
      <c r="G941" s="56"/>
      <c r="H941" s="56"/>
      <c r="I941" s="59"/>
      <c r="J941" s="56"/>
      <c r="K941" s="56"/>
      <c r="L941" s="56"/>
      <c r="M941" s="1"/>
      <c r="N941" s="1"/>
      <c r="O941" s="1"/>
      <c r="P941" s="1"/>
      <c r="Q941" s="1"/>
      <c r="R941" s="1"/>
      <c r="S941" s="1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</row>
    <row r="942" spans="1:32" ht="58.5" customHeight="1" x14ac:dyDescent="0.25">
      <c r="A942" s="56"/>
      <c r="B942" s="56"/>
      <c r="C942" s="56"/>
      <c r="D942" s="56"/>
      <c r="E942" s="57"/>
      <c r="F942" s="58"/>
      <c r="G942" s="56"/>
      <c r="H942" s="56"/>
      <c r="I942" s="59"/>
      <c r="J942" s="56"/>
      <c r="K942" s="56"/>
      <c r="L942" s="56"/>
      <c r="M942" s="1"/>
      <c r="N942" s="1"/>
      <c r="O942" s="1"/>
      <c r="P942" s="1"/>
      <c r="Q942" s="1"/>
      <c r="R942" s="1"/>
      <c r="S942" s="1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</row>
    <row r="943" spans="1:32" ht="58.5" customHeight="1" x14ac:dyDescent="0.25">
      <c r="A943" s="56"/>
      <c r="B943" s="56"/>
      <c r="C943" s="56"/>
      <c r="D943" s="56"/>
      <c r="E943" s="57"/>
      <c r="F943" s="58"/>
      <c r="G943" s="56"/>
      <c r="H943" s="56"/>
      <c r="I943" s="59"/>
      <c r="J943" s="56"/>
      <c r="K943" s="56"/>
      <c r="L943" s="56"/>
      <c r="M943" s="1"/>
      <c r="N943" s="1"/>
      <c r="O943" s="1"/>
      <c r="P943" s="1"/>
      <c r="Q943" s="1"/>
      <c r="R943" s="1"/>
      <c r="S943" s="1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</row>
    <row r="944" spans="1:32" ht="58.5" customHeight="1" x14ac:dyDescent="0.25">
      <c r="A944" s="56"/>
      <c r="B944" s="56"/>
      <c r="C944" s="56"/>
      <c r="D944" s="56"/>
      <c r="E944" s="57"/>
      <c r="F944" s="58"/>
      <c r="G944" s="56"/>
      <c r="H944" s="56"/>
      <c r="I944" s="59"/>
      <c r="J944" s="56"/>
      <c r="K944" s="56"/>
      <c r="L944" s="56"/>
      <c r="M944" s="1"/>
      <c r="N944" s="1"/>
      <c r="O944" s="1"/>
      <c r="P944" s="1"/>
      <c r="Q944" s="1"/>
      <c r="R944" s="1"/>
      <c r="S944" s="1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</row>
    <row r="945" spans="1:32" ht="58.5" customHeight="1" x14ac:dyDescent="0.25">
      <c r="A945" s="56"/>
      <c r="B945" s="56"/>
      <c r="C945" s="56"/>
      <c r="D945" s="56"/>
      <c r="E945" s="57"/>
      <c r="F945" s="58"/>
      <c r="G945" s="56"/>
      <c r="H945" s="56"/>
      <c r="I945" s="59"/>
      <c r="J945" s="56"/>
      <c r="K945" s="56"/>
      <c r="L945" s="56"/>
      <c r="M945" s="1"/>
      <c r="N945" s="1"/>
      <c r="O945" s="1"/>
      <c r="P945" s="1"/>
      <c r="Q945" s="1"/>
      <c r="R945" s="1"/>
      <c r="S945" s="1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</row>
    <row r="946" spans="1:32" ht="58.5" customHeight="1" x14ac:dyDescent="0.25">
      <c r="A946" s="56"/>
      <c r="B946" s="56"/>
      <c r="C946" s="56"/>
      <c r="D946" s="56"/>
      <c r="E946" s="57"/>
      <c r="F946" s="58"/>
      <c r="G946" s="56"/>
      <c r="H946" s="56"/>
      <c r="I946" s="59"/>
      <c r="J946" s="56"/>
      <c r="K946" s="56"/>
      <c r="L946" s="56"/>
      <c r="M946" s="1"/>
      <c r="N946" s="1"/>
      <c r="O946" s="1"/>
      <c r="P946" s="1"/>
      <c r="Q946" s="1"/>
      <c r="R946" s="1"/>
      <c r="S946" s="1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</row>
    <row r="947" spans="1:32" ht="58.5" customHeight="1" x14ac:dyDescent="0.25">
      <c r="A947" s="56"/>
      <c r="B947" s="56"/>
      <c r="C947" s="56"/>
      <c r="D947" s="56"/>
      <c r="E947" s="57"/>
      <c r="F947" s="58"/>
      <c r="G947" s="56"/>
      <c r="H947" s="56"/>
      <c r="I947" s="59"/>
      <c r="J947" s="56"/>
      <c r="K947" s="56"/>
      <c r="L947" s="56"/>
      <c r="M947" s="1"/>
      <c r="N947" s="1"/>
      <c r="O947" s="1"/>
      <c r="P947" s="1"/>
      <c r="Q947" s="1"/>
      <c r="R947" s="1"/>
      <c r="S947" s="1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</row>
    <row r="948" spans="1:32" ht="58.5" customHeight="1" x14ac:dyDescent="0.25">
      <c r="A948" s="56"/>
      <c r="B948" s="56"/>
      <c r="C948" s="56"/>
      <c r="D948" s="56"/>
      <c r="E948" s="57"/>
      <c r="F948" s="58"/>
      <c r="G948" s="56"/>
      <c r="H948" s="56"/>
      <c r="I948" s="59"/>
      <c r="J948" s="56"/>
      <c r="K948" s="56"/>
      <c r="L948" s="56"/>
      <c r="M948" s="1"/>
      <c r="N948" s="1"/>
      <c r="O948" s="1"/>
      <c r="P948" s="1"/>
      <c r="Q948" s="1"/>
      <c r="R948" s="1"/>
      <c r="S948" s="1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</row>
    <row r="949" spans="1:32" ht="58.5" customHeight="1" x14ac:dyDescent="0.25">
      <c r="A949" s="56"/>
      <c r="B949" s="56"/>
      <c r="C949" s="56"/>
      <c r="D949" s="56"/>
      <c r="E949" s="57"/>
      <c r="F949" s="58"/>
      <c r="G949" s="56"/>
      <c r="H949" s="56"/>
      <c r="I949" s="59"/>
      <c r="J949" s="56"/>
      <c r="K949" s="56"/>
      <c r="L949" s="56"/>
      <c r="M949" s="1"/>
      <c r="N949" s="1"/>
      <c r="O949" s="1"/>
      <c r="P949" s="1"/>
      <c r="Q949" s="1"/>
      <c r="R949" s="1"/>
      <c r="S949" s="1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</row>
    <row r="950" spans="1:32" ht="58.5" customHeight="1" x14ac:dyDescent="0.25">
      <c r="A950" s="56"/>
      <c r="B950" s="56"/>
      <c r="C950" s="56"/>
      <c r="D950" s="56"/>
      <c r="E950" s="57"/>
      <c r="F950" s="58"/>
      <c r="G950" s="56"/>
      <c r="H950" s="56"/>
      <c r="I950" s="59"/>
      <c r="J950" s="56"/>
      <c r="K950" s="56"/>
      <c r="L950" s="56"/>
      <c r="M950" s="1"/>
      <c r="N950" s="1"/>
      <c r="O950" s="1"/>
      <c r="P950" s="1"/>
      <c r="Q950" s="1"/>
      <c r="R950" s="1"/>
      <c r="S950" s="1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</row>
    <row r="951" spans="1:32" ht="58.5" customHeight="1" x14ac:dyDescent="0.25">
      <c r="A951" s="56"/>
      <c r="B951" s="56"/>
      <c r="C951" s="56"/>
      <c r="D951" s="56"/>
      <c r="E951" s="57"/>
      <c r="F951" s="58"/>
      <c r="G951" s="56"/>
      <c r="H951" s="56"/>
      <c r="I951" s="59"/>
      <c r="J951" s="56"/>
      <c r="K951" s="56"/>
      <c r="L951" s="56"/>
      <c r="M951" s="1"/>
      <c r="N951" s="1"/>
      <c r="O951" s="1"/>
      <c r="P951" s="1"/>
      <c r="Q951" s="1"/>
      <c r="R951" s="1"/>
      <c r="S951" s="1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</row>
    <row r="952" spans="1:32" ht="58.5" customHeight="1" x14ac:dyDescent="0.25">
      <c r="A952" s="56"/>
      <c r="B952" s="56"/>
      <c r="C952" s="56"/>
      <c r="D952" s="56"/>
      <c r="E952" s="57"/>
      <c r="F952" s="58"/>
      <c r="G952" s="56"/>
      <c r="H952" s="56"/>
      <c r="I952" s="59"/>
      <c r="J952" s="56"/>
      <c r="K952" s="56"/>
      <c r="L952" s="56"/>
      <c r="M952" s="1"/>
      <c r="N952" s="1"/>
      <c r="O952" s="1"/>
      <c r="P952" s="1"/>
      <c r="Q952" s="1"/>
      <c r="R952" s="1"/>
      <c r="S952" s="1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</row>
    <row r="953" spans="1:32" ht="58.5" customHeight="1" x14ac:dyDescent="0.25">
      <c r="A953" s="56"/>
      <c r="B953" s="56"/>
      <c r="C953" s="56"/>
      <c r="D953" s="56"/>
      <c r="E953" s="57"/>
      <c r="F953" s="58"/>
      <c r="G953" s="56"/>
      <c r="H953" s="56"/>
      <c r="I953" s="59"/>
      <c r="J953" s="56"/>
      <c r="K953" s="56"/>
      <c r="L953" s="56"/>
      <c r="M953" s="1"/>
      <c r="N953" s="1"/>
      <c r="O953" s="1"/>
      <c r="P953" s="1"/>
      <c r="Q953" s="1"/>
      <c r="R953" s="1"/>
      <c r="S953" s="1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</row>
    <row r="954" spans="1:32" ht="58.5" customHeight="1" x14ac:dyDescent="0.25">
      <c r="A954" s="56"/>
      <c r="B954" s="56"/>
      <c r="C954" s="56"/>
      <c r="D954" s="56"/>
      <c r="E954" s="57"/>
      <c r="F954" s="58"/>
      <c r="G954" s="56"/>
      <c r="H954" s="56"/>
      <c r="I954" s="59"/>
      <c r="J954" s="56"/>
      <c r="K954" s="56"/>
      <c r="L954" s="56"/>
      <c r="M954" s="1"/>
      <c r="N954" s="1"/>
      <c r="O954" s="1"/>
      <c r="P954" s="1"/>
      <c r="Q954" s="1"/>
      <c r="R954" s="1"/>
      <c r="S954" s="1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</row>
    <row r="955" spans="1:32" ht="58.5" customHeight="1" x14ac:dyDescent="0.25">
      <c r="A955" s="56"/>
      <c r="B955" s="56"/>
      <c r="C955" s="56"/>
      <c r="D955" s="56"/>
      <c r="E955" s="57"/>
      <c r="F955" s="58"/>
      <c r="G955" s="56"/>
      <c r="H955" s="56"/>
      <c r="I955" s="59"/>
      <c r="J955" s="56"/>
      <c r="K955" s="56"/>
      <c r="L955" s="56"/>
      <c r="M955" s="1"/>
      <c r="N955" s="1"/>
      <c r="O955" s="1"/>
      <c r="P955" s="1"/>
      <c r="Q955" s="1"/>
      <c r="R955" s="1"/>
      <c r="S955" s="1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</row>
    <row r="956" spans="1:32" ht="58.5" customHeight="1" x14ac:dyDescent="0.25">
      <c r="A956" s="56"/>
      <c r="B956" s="56"/>
      <c r="C956" s="56"/>
      <c r="D956" s="56"/>
      <c r="E956" s="57"/>
      <c r="F956" s="58"/>
      <c r="G956" s="56"/>
      <c r="H956" s="56"/>
      <c r="I956" s="59"/>
      <c r="J956" s="56"/>
      <c r="K956" s="56"/>
      <c r="L956" s="56"/>
      <c r="M956" s="1"/>
      <c r="N956" s="1"/>
      <c r="O956" s="1"/>
      <c r="P956" s="1"/>
      <c r="Q956" s="1"/>
      <c r="R956" s="1"/>
      <c r="S956" s="1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</row>
    <row r="957" spans="1:32" ht="58.5" customHeight="1" x14ac:dyDescent="0.25">
      <c r="A957" s="56"/>
      <c r="B957" s="56"/>
      <c r="C957" s="56"/>
      <c r="D957" s="56"/>
      <c r="E957" s="57"/>
      <c r="F957" s="58"/>
      <c r="G957" s="56"/>
      <c r="H957" s="56"/>
      <c r="I957" s="59"/>
      <c r="J957" s="56"/>
      <c r="K957" s="56"/>
      <c r="L957" s="56"/>
      <c r="M957" s="1"/>
      <c r="N957" s="1"/>
      <c r="O957" s="1"/>
      <c r="P957" s="1"/>
      <c r="Q957" s="1"/>
      <c r="R957" s="1"/>
      <c r="S957" s="1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</row>
    <row r="958" spans="1:32" ht="58.5" customHeight="1" x14ac:dyDescent="0.25">
      <c r="A958" s="56"/>
      <c r="B958" s="56"/>
      <c r="C958" s="56"/>
      <c r="D958" s="56"/>
      <c r="E958" s="57"/>
      <c r="F958" s="58"/>
      <c r="G958" s="56"/>
      <c r="H958" s="56"/>
      <c r="I958" s="59"/>
      <c r="J958" s="56"/>
      <c r="K958" s="56"/>
      <c r="L958" s="56"/>
      <c r="M958" s="1"/>
      <c r="N958" s="1"/>
      <c r="O958" s="1"/>
      <c r="P958" s="1"/>
      <c r="Q958" s="1"/>
      <c r="R958" s="1"/>
      <c r="S958" s="1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</row>
    <row r="959" spans="1:32" ht="58.5" customHeight="1" x14ac:dyDescent="0.25">
      <c r="A959" s="56"/>
      <c r="B959" s="56"/>
      <c r="C959" s="56"/>
      <c r="D959" s="56"/>
      <c r="E959" s="57"/>
      <c r="F959" s="58"/>
      <c r="G959" s="56"/>
      <c r="H959" s="56"/>
      <c r="I959" s="59"/>
      <c r="J959" s="56"/>
      <c r="K959" s="56"/>
      <c r="L959" s="56"/>
      <c r="M959" s="1"/>
      <c r="N959" s="1"/>
      <c r="O959" s="1"/>
      <c r="P959" s="1"/>
      <c r="Q959" s="1"/>
      <c r="R959" s="1"/>
      <c r="S959" s="1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</row>
    <row r="960" spans="1:32" ht="58.5" customHeight="1" x14ac:dyDescent="0.25">
      <c r="A960" s="56"/>
      <c r="B960" s="56"/>
      <c r="C960" s="56"/>
      <c r="D960" s="56"/>
      <c r="E960" s="57"/>
      <c r="F960" s="58"/>
      <c r="G960" s="56"/>
      <c r="H960" s="56"/>
      <c r="I960" s="59"/>
      <c r="J960" s="56"/>
      <c r="K960" s="56"/>
      <c r="L960" s="56"/>
      <c r="M960" s="1"/>
      <c r="N960" s="1"/>
      <c r="O960" s="1"/>
      <c r="P960" s="1"/>
      <c r="Q960" s="1"/>
      <c r="R960" s="1"/>
      <c r="S960" s="1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</row>
    <row r="961" spans="1:32" ht="58.5" customHeight="1" x14ac:dyDescent="0.25">
      <c r="A961" s="56"/>
      <c r="B961" s="56"/>
      <c r="C961" s="56"/>
      <c r="D961" s="56"/>
      <c r="E961" s="57"/>
      <c r="F961" s="58"/>
      <c r="G961" s="56"/>
      <c r="H961" s="56"/>
      <c r="I961" s="59"/>
      <c r="J961" s="56"/>
      <c r="K961" s="56"/>
      <c r="L961" s="56"/>
      <c r="M961" s="1"/>
      <c r="N961" s="1"/>
      <c r="O961" s="1"/>
      <c r="P961" s="1"/>
      <c r="Q961" s="1"/>
      <c r="R961" s="1"/>
      <c r="S961" s="1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</row>
    <row r="962" spans="1:32" ht="58.5" customHeight="1" x14ac:dyDescent="0.25">
      <c r="A962" s="56"/>
      <c r="B962" s="56"/>
      <c r="C962" s="56"/>
      <c r="D962" s="56"/>
      <c r="E962" s="57"/>
      <c r="F962" s="58"/>
      <c r="G962" s="56"/>
      <c r="H962" s="56"/>
      <c r="I962" s="59"/>
      <c r="J962" s="56"/>
      <c r="K962" s="56"/>
      <c r="L962" s="56"/>
      <c r="M962" s="1"/>
      <c r="N962" s="1"/>
      <c r="O962" s="1"/>
      <c r="P962" s="1"/>
      <c r="Q962" s="1"/>
      <c r="R962" s="1"/>
      <c r="S962" s="1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</row>
    <row r="963" spans="1:32" ht="58.5" customHeight="1" x14ac:dyDescent="0.25">
      <c r="A963" s="56"/>
      <c r="B963" s="56"/>
      <c r="C963" s="56"/>
      <c r="D963" s="56"/>
      <c r="E963" s="57"/>
      <c r="F963" s="58"/>
      <c r="G963" s="56"/>
      <c r="H963" s="56"/>
      <c r="I963" s="59"/>
      <c r="J963" s="56"/>
      <c r="K963" s="56"/>
      <c r="L963" s="56"/>
      <c r="M963" s="1"/>
      <c r="N963" s="1"/>
      <c r="O963" s="1"/>
      <c r="P963" s="1"/>
      <c r="Q963" s="1"/>
      <c r="R963" s="1"/>
      <c r="S963" s="1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</row>
    <row r="964" spans="1:32" ht="58.5" customHeight="1" x14ac:dyDescent="0.25">
      <c r="A964" s="56"/>
      <c r="B964" s="56"/>
      <c r="C964" s="56"/>
      <c r="D964" s="56"/>
      <c r="E964" s="57"/>
      <c r="F964" s="58"/>
      <c r="G964" s="56"/>
      <c r="H964" s="56"/>
      <c r="I964" s="59"/>
      <c r="J964" s="56"/>
      <c r="K964" s="56"/>
      <c r="L964" s="56"/>
      <c r="M964" s="1"/>
      <c r="N964" s="1"/>
      <c r="O964" s="1"/>
      <c r="P964" s="1"/>
      <c r="Q964" s="1"/>
      <c r="R964" s="1"/>
      <c r="S964" s="1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</row>
    <row r="965" spans="1:32" ht="58.5" customHeight="1" x14ac:dyDescent="0.25">
      <c r="A965" s="56"/>
      <c r="B965" s="56"/>
      <c r="C965" s="56"/>
      <c r="D965" s="56"/>
      <c r="E965" s="57"/>
      <c r="F965" s="58"/>
      <c r="G965" s="56"/>
      <c r="H965" s="56"/>
      <c r="I965" s="59"/>
      <c r="J965" s="56"/>
      <c r="K965" s="56"/>
      <c r="L965" s="56"/>
      <c r="M965" s="1"/>
      <c r="N965" s="1"/>
      <c r="O965" s="1"/>
      <c r="P965" s="1"/>
      <c r="Q965" s="1"/>
      <c r="R965" s="1"/>
      <c r="S965" s="1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</row>
    <row r="966" spans="1:32" ht="58.5" customHeight="1" x14ac:dyDescent="0.25">
      <c r="A966" s="56"/>
      <c r="B966" s="56"/>
      <c r="C966" s="56"/>
      <c r="D966" s="56"/>
      <c r="E966" s="57"/>
      <c r="F966" s="58"/>
      <c r="G966" s="56"/>
      <c r="H966" s="56"/>
      <c r="I966" s="59"/>
      <c r="J966" s="56"/>
      <c r="K966" s="56"/>
      <c r="L966" s="56"/>
      <c r="M966" s="1"/>
      <c r="N966" s="1"/>
      <c r="O966" s="1"/>
      <c r="P966" s="1"/>
      <c r="Q966" s="1"/>
      <c r="R966" s="1"/>
      <c r="S966" s="1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</row>
    <row r="967" spans="1:32" ht="58.5" customHeight="1" x14ac:dyDescent="0.25">
      <c r="A967" s="56"/>
      <c r="B967" s="56"/>
      <c r="C967" s="56"/>
      <c r="D967" s="56"/>
      <c r="E967" s="57"/>
      <c r="F967" s="58"/>
      <c r="G967" s="56"/>
      <c r="H967" s="56"/>
      <c r="I967" s="59"/>
      <c r="J967" s="56"/>
      <c r="K967" s="56"/>
      <c r="L967" s="56"/>
      <c r="M967" s="1"/>
      <c r="N967" s="1"/>
      <c r="O967" s="1"/>
      <c r="P967" s="1"/>
      <c r="Q967" s="1"/>
      <c r="R967" s="1"/>
      <c r="S967" s="1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</row>
    <row r="968" spans="1:32" ht="58.5" customHeight="1" x14ac:dyDescent="0.25">
      <c r="A968" s="56"/>
      <c r="B968" s="56"/>
      <c r="C968" s="56"/>
      <c r="D968" s="56"/>
      <c r="E968" s="57"/>
      <c r="F968" s="58"/>
      <c r="G968" s="56"/>
      <c r="H968" s="56"/>
      <c r="I968" s="59"/>
      <c r="J968" s="56"/>
      <c r="K968" s="56"/>
      <c r="L968" s="56"/>
      <c r="M968" s="1"/>
      <c r="N968" s="1"/>
      <c r="O968" s="1"/>
      <c r="P968" s="1"/>
      <c r="Q968" s="1"/>
      <c r="R968" s="1"/>
      <c r="S968" s="1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</row>
    <row r="969" spans="1:32" ht="58.5" customHeight="1" x14ac:dyDescent="0.25">
      <c r="A969" s="56"/>
      <c r="B969" s="56"/>
      <c r="C969" s="56"/>
      <c r="D969" s="56"/>
      <c r="E969" s="57"/>
      <c r="F969" s="58"/>
      <c r="G969" s="56"/>
      <c r="H969" s="56"/>
      <c r="I969" s="59"/>
      <c r="J969" s="56"/>
      <c r="K969" s="56"/>
      <c r="L969" s="56"/>
      <c r="M969" s="1"/>
      <c r="N969" s="1"/>
      <c r="O969" s="1"/>
      <c r="P969" s="1"/>
      <c r="Q969" s="1"/>
      <c r="R969" s="1"/>
      <c r="S969" s="1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</row>
    <row r="970" spans="1:32" ht="58.5" customHeight="1" x14ac:dyDescent="0.25">
      <c r="A970" s="56"/>
      <c r="B970" s="56"/>
      <c r="C970" s="56"/>
      <c r="D970" s="56"/>
      <c r="E970" s="57"/>
      <c r="F970" s="58"/>
      <c r="G970" s="56"/>
      <c r="H970" s="56"/>
      <c r="I970" s="59"/>
      <c r="J970" s="56"/>
      <c r="K970" s="56"/>
      <c r="L970" s="56"/>
      <c r="M970" s="1"/>
      <c r="N970" s="1"/>
      <c r="O970" s="1"/>
      <c r="P970" s="1"/>
      <c r="Q970" s="1"/>
      <c r="R970" s="1"/>
      <c r="S970" s="1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</row>
    <row r="971" spans="1:32" ht="58.5" customHeight="1" x14ac:dyDescent="0.25">
      <c r="A971" s="56"/>
      <c r="B971" s="56"/>
      <c r="C971" s="56"/>
      <c r="D971" s="56"/>
      <c r="E971" s="57"/>
      <c r="F971" s="58"/>
      <c r="G971" s="56"/>
      <c r="H971" s="56"/>
      <c r="I971" s="59"/>
      <c r="J971" s="56"/>
      <c r="K971" s="56"/>
      <c r="L971" s="56"/>
      <c r="M971" s="1"/>
      <c r="N971" s="1"/>
      <c r="O971" s="1"/>
      <c r="P971" s="1"/>
      <c r="Q971" s="1"/>
      <c r="R971" s="1"/>
      <c r="S971" s="1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</row>
    <row r="972" spans="1:32" ht="58.5" customHeight="1" x14ac:dyDescent="0.25">
      <c r="A972" s="56"/>
      <c r="B972" s="56"/>
      <c r="C972" s="56"/>
      <c r="D972" s="56"/>
      <c r="E972" s="57"/>
      <c r="F972" s="58"/>
      <c r="G972" s="56"/>
      <c r="H972" s="56"/>
      <c r="I972" s="59"/>
      <c r="J972" s="56"/>
      <c r="K972" s="56"/>
      <c r="L972" s="56"/>
      <c r="M972" s="1"/>
      <c r="N972" s="1"/>
      <c r="O972" s="1"/>
      <c r="P972" s="1"/>
      <c r="Q972" s="1"/>
      <c r="R972" s="1"/>
      <c r="S972" s="1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</row>
    <row r="973" spans="1:32" ht="58.5" customHeight="1" x14ac:dyDescent="0.25">
      <c r="A973" s="56"/>
      <c r="B973" s="56"/>
      <c r="C973" s="56"/>
      <c r="D973" s="56"/>
      <c r="E973" s="57"/>
      <c r="F973" s="58"/>
      <c r="G973" s="56"/>
      <c r="H973" s="56"/>
      <c r="I973" s="59"/>
      <c r="J973" s="56"/>
      <c r="K973" s="56"/>
      <c r="L973" s="56"/>
      <c r="M973" s="1"/>
      <c r="N973" s="1"/>
      <c r="O973" s="1"/>
      <c r="P973" s="1"/>
      <c r="Q973" s="1"/>
      <c r="R973" s="1"/>
      <c r="S973" s="1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</row>
    <row r="974" spans="1:32" ht="58.5" customHeight="1" x14ac:dyDescent="0.25">
      <c r="A974" s="56"/>
      <c r="B974" s="56"/>
      <c r="C974" s="56"/>
      <c r="D974" s="56"/>
      <c r="E974" s="57"/>
      <c r="F974" s="58"/>
      <c r="G974" s="56"/>
      <c r="H974" s="56"/>
      <c r="I974" s="59"/>
      <c r="J974" s="56"/>
      <c r="K974" s="56"/>
      <c r="L974" s="56"/>
      <c r="M974" s="1"/>
      <c r="N974" s="1"/>
      <c r="O974" s="1"/>
      <c r="P974" s="1"/>
      <c r="Q974" s="1"/>
      <c r="R974" s="1"/>
      <c r="S974" s="1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</row>
    <row r="975" spans="1:32" ht="58.5" customHeight="1" x14ac:dyDescent="0.25">
      <c r="A975" s="56"/>
      <c r="B975" s="56"/>
      <c r="C975" s="56"/>
      <c r="D975" s="56"/>
      <c r="E975" s="57"/>
      <c r="F975" s="58"/>
      <c r="G975" s="56"/>
      <c r="H975" s="56"/>
      <c r="I975" s="59"/>
      <c r="J975" s="56"/>
      <c r="K975" s="56"/>
      <c r="L975" s="56"/>
      <c r="M975" s="1"/>
      <c r="N975" s="1"/>
      <c r="O975" s="1"/>
      <c r="P975" s="1"/>
      <c r="Q975" s="1"/>
      <c r="R975" s="1"/>
      <c r="S975" s="1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</row>
    <row r="976" spans="1:32" ht="58.5" customHeight="1" x14ac:dyDescent="0.25">
      <c r="A976" s="56"/>
      <c r="B976" s="56"/>
      <c r="C976" s="56"/>
      <c r="D976" s="56"/>
      <c r="E976" s="57"/>
      <c r="F976" s="58"/>
      <c r="G976" s="56"/>
      <c r="H976" s="56"/>
      <c r="I976" s="59"/>
      <c r="J976" s="56"/>
      <c r="K976" s="56"/>
      <c r="L976" s="56"/>
      <c r="M976" s="1"/>
      <c r="N976" s="1"/>
      <c r="O976" s="1"/>
      <c r="P976" s="1"/>
      <c r="Q976" s="1"/>
      <c r="R976" s="1"/>
      <c r="S976" s="1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</row>
    <row r="977" spans="1:32" ht="58.5" customHeight="1" x14ac:dyDescent="0.25">
      <c r="A977" s="56"/>
      <c r="B977" s="56"/>
      <c r="C977" s="56"/>
      <c r="D977" s="56"/>
      <c r="E977" s="57"/>
      <c r="F977" s="58"/>
      <c r="G977" s="56"/>
      <c r="H977" s="56"/>
      <c r="I977" s="59"/>
      <c r="J977" s="56"/>
      <c r="K977" s="56"/>
      <c r="L977" s="56"/>
      <c r="M977" s="1"/>
      <c r="N977" s="1"/>
      <c r="O977" s="1"/>
      <c r="P977" s="1"/>
      <c r="Q977" s="1"/>
      <c r="R977" s="1"/>
      <c r="S977" s="1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</row>
    <row r="978" spans="1:32" ht="58.5" customHeight="1" x14ac:dyDescent="0.25">
      <c r="A978" s="56"/>
      <c r="B978" s="56"/>
      <c r="C978" s="56"/>
      <c r="D978" s="56"/>
      <c r="E978" s="57"/>
      <c r="F978" s="58"/>
      <c r="G978" s="56"/>
      <c r="H978" s="56"/>
      <c r="I978" s="59"/>
      <c r="J978" s="56"/>
      <c r="K978" s="56"/>
      <c r="L978" s="56"/>
      <c r="M978" s="1"/>
      <c r="N978" s="1"/>
      <c r="O978" s="1"/>
      <c r="P978" s="1"/>
      <c r="Q978" s="1"/>
      <c r="R978" s="1"/>
      <c r="S978" s="1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</row>
    <row r="979" spans="1:32" ht="58.5" customHeight="1" x14ac:dyDescent="0.25">
      <c r="A979" s="56"/>
      <c r="B979" s="56"/>
      <c r="C979" s="56"/>
      <c r="D979" s="56"/>
      <c r="E979" s="57"/>
      <c r="F979" s="58"/>
      <c r="G979" s="56"/>
      <c r="H979" s="56"/>
      <c r="I979" s="59"/>
      <c r="J979" s="56"/>
      <c r="K979" s="56"/>
      <c r="L979" s="56"/>
      <c r="M979" s="1"/>
      <c r="N979" s="1"/>
      <c r="O979" s="1"/>
      <c r="P979" s="1"/>
      <c r="Q979" s="1"/>
      <c r="R979" s="1"/>
      <c r="S979" s="1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</row>
    <row r="980" spans="1:32" ht="58.5" customHeight="1" x14ac:dyDescent="0.25">
      <c r="A980" s="56"/>
      <c r="B980" s="56"/>
      <c r="C980" s="56"/>
      <c r="D980" s="56"/>
      <c r="E980" s="57"/>
      <c r="F980" s="58"/>
      <c r="G980" s="56"/>
      <c r="H980" s="56"/>
      <c r="I980" s="59"/>
      <c r="J980" s="56"/>
      <c r="K980" s="56"/>
      <c r="L980" s="56"/>
      <c r="M980" s="1"/>
      <c r="N980" s="1"/>
      <c r="O980" s="1"/>
      <c r="P980" s="1"/>
      <c r="Q980" s="1"/>
      <c r="R980" s="1"/>
      <c r="S980" s="1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</row>
    <row r="981" spans="1:32" ht="58.5" customHeight="1" x14ac:dyDescent="0.25">
      <c r="A981" s="56"/>
      <c r="B981" s="56"/>
      <c r="C981" s="56"/>
      <c r="D981" s="56"/>
      <c r="E981" s="57"/>
      <c r="F981" s="58"/>
      <c r="G981" s="56"/>
      <c r="H981" s="56"/>
      <c r="I981" s="59"/>
      <c r="J981" s="56"/>
      <c r="K981" s="56"/>
      <c r="L981" s="56"/>
      <c r="M981" s="1"/>
      <c r="N981" s="1"/>
      <c r="O981" s="1"/>
      <c r="P981" s="1"/>
      <c r="Q981" s="1"/>
      <c r="R981" s="1"/>
      <c r="S981" s="1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</row>
    <row r="982" spans="1:32" ht="58.5" customHeight="1" x14ac:dyDescent="0.25">
      <c r="A982" s="56"/>
      <c r="B982" s="56"/>
      <c r="C982" s="56"/>
      <c r="D982" s="56"/>
      <c r="E982" s="57"/>
      <c r="F982" s="58"/>
      <c r="G982" s="56"/>
      <c r="H982" s="56"/>
      <c r="I982" s="59"/>
      <c r="J982" s="56"/>
      <c r="K982" s="56"/>
      <c r="L982" s="56"/>
      <c r="M982" s="1"/>
      <c r="N982" s="1"/>
      <c r="O982" s="1"/>
      <c r="P982" s="1"/>
      <c r="Q982" s="1"/>
      <c r="R982" s="1"/>
      <c r="S982" s="1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</row>
    <row r="983" spans="1:32" ht="58.5" customHeight="1" x14ac:dyDescent="0.25">
      <c r="A983" s="56"/>
      <c r="B983" s="56"/>
      <c r="C983" s="56"/>
      <c r="D983" s="56"/>
      <c r="E983" s="57"/>
      <c r="F983" s="58"/>
      <c r="G983" s="56"/>
      <c r="H983" s="56"/>
      <c r="I983" s="59"/>
      <c r="J983" s="56"/>
      <c r="K983" s="56"/>
      <c r="L983" s="56"/>
      <c r="M983" s="1"/>
      <c r="N983" s="1"/>
      <c r="O983" s="1"/>
      <c r="P983" s="1"/>
      <c r="Q983" s="1"/>
      <c r="R983" s="1"/>
      <c r="S983" s="1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</row>
    <row r="984" spans="1:32" ht="58.5" customHeight="1" x14ac:dyDescent="0.25">
      <c r="A984" s="56"/>
      <c r="B984" s="56"/>
      <c r="C984" s="56"/>
      <c r="D984" s="56"/>
      <c r="E984" s="57"/>
      <c r="F984" s="58"/>
      <c r="G984" s="56"/>
      <c r="H984" s="56"/>
      <c r="I984" s="59"/>
      <c r="J984" s="56"/>
      <c r="K984" s="56"/>
      <c r="L984" s="56"/>
      <c r="M984" s="1"/>
      <c r="N984" s="1"/>
      <c r="O984" s="1"/>
      <c r="P984" s="1"/>
      <c r="Q984" s="1"/>
      <c r="R984" s="1"/>
      <c r="S984" s="1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</row>
    <row r="985" spans="1:32" ht="58.5" customHeight="1" x14ac:dyDescent="0.25">
      <c r="A985" s="56"/>
      <c r="B985" s="56"/>
      <c r="C985" s="56"/>
      <c r="D985" s="56"/>
      <c r="E985" s="57"/>
      <c r="F985" s="58"/>
      <c r="G985" s="56"/>
      <c r="H985" s="56"/>
      <c r="I985" s="59"/>
      <c r="J985" s="56"/>
      <c r="K985" s="56"/>
      <c r="L985" s="56"/>
      <c r="M985" s="1"/>
      <c r="N985" s="1"/>
      <c r="O985" s="1"/>
      <c r="P985" s="1"/>
      <c r="Q985" s="1"/>
      <c r="R985" s="1"/>
      <c r="S985" s="1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</row>
    <row r="986" spans="1:32" ht="58.5" customHeight="1" x14ac:dyDescent="0.25">
      <c r="A986" s="56"/>
      <c r="B986" s="56"/>
      <c r="C986" s="56"/>
      <c r="D986" s="56"/>
      <c r="E986" s="57"/>
      <c r="F986" s="58"/>
      <c r="G986" s="56"/>
      <c r="H986" s="56"/>
      <c r="I986" s="59"/>
      <c r="J986" s="56"/>
      <c r="K986" s="56"/>
      <c r="L986" s="56"/>
      <c r="M986" s="1"/>
      <c r="N986" s="1"/>
      <c r="O986" s="1"/>
      <c r="P986" s="1"/>
      <c r="Q986" s="1"/>
      <c r="R986" s="1"/>
      <c r="S986" s="1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</row>
    <row r="987" spans="1:32" ht="58.5" customHeight="1" x14ac:dyDescent="0.25">
      <c r="A987" s="56"/>
      <c r="B987" s="56"/>
      <c r="C987" s="56"/>
      <c r="D987" s="56"/>
      <c r="E987" s="57"/>
      <c r="F987" s="58"/>
      <c r="G987" s="56"/>
      <c r="H987" s="56"/>
      <c r="I987" s="59"/>
      <c r="J987" s="56"/>
      <c r="K987" s="56"/>
      <c r="L987" s="56"/>
      <c r="M987" s="1"/>
      <c r="N987" s="1"/>
      <c r="O987" s="1"/>
      <c r="P987" s="1"/>
      <c r="Q987" s="1"/>
      <c r="R987" s="1"/>
      <c r="S987" s="1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</row>
    <row r="988" spans="1:32" ht="58.5" customHeight="1" x14ac:dyDescent="0.25">
      <c r="A988" s="56"/>
      <c r="B988" s="56"/>
      <c r="C988" s="56"/>
      <c r="D988" s="56"/>
      <c r="E988" s="57"/>
      <c r="F988" s="58"/>
      <c r="G988" s="56"/>
      <c r="H988" s="56"/>
      <c r="I988" s="59"/>
      <c r="J988" s="56"/>
      <c r="K988" s="56"/>
      <c r="L988" s="56"/>
      <c r="M988" s="1"/>
      <c r="N988" s="1"/>
      <c r="O988" s="1"/>
      <c r="P988" s="1"/>
      <c r="Q988" s="1"/>
      <c r="R988" s="1"/>
      <c r="S988" s="1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</row>
    <row r="989" spans="1:32" ht="58.5" customHeight="1" x14ac:dyDescent="0.25">
      <c r="A989" s="56"/>
      <c r="B989" s="56"/>
      <c r="C989" s="56"/>
      <c r="D989" s="56"/>
      <c r="E989" s="57"/>
      <c r="F989" s="58"/>
      <c r="G989" s="56"/>
      <c r="H989" s="56"/>
      <c r="I989" s="59"/>
      <c r="J989" s="56"/>
      <c r="K989" s="56"/>
      <c r="L989" s="56"/>
      <c r="M989" s="1"/>
      <c r="N989" s="1"/>
      <c r="O989" s="1"/>
      <c r="P989" s="1"/>
      <c r="Q989" s="1"/>
      <c r="R989" s="1"/>
      <c r="S989" s="1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</row>
    <row r="990" spans="1:32" ht="58.5" customHeight="1" x14ac:dyDescent="0.25">
      <c r="A990" s="56"/>
      <c r="B990" s="56"/>
      <c r="C990" s="56"/>
      <c r="D990" s="56"/>
      <c r="E990" s="57"/>
      <c r="F990" s="58"/>
      <c r="G990" s="56"/>
      <c r="H990" s="56"/>
      <c r="I990" s="59"/>
      <c r="J990" s="56"/>
      <c r="K990" s="56"/>
      <c r="L990" s="56"/>
      <c r="M990" s="1"/>
      <c r="N990" s="1"/>
      <c r="O990" s="1"/>
      <c r="P990" s="1"/>
      <c r="Q990" s="1"/>
      <c r="R990" s="1"/>
      <c r="S990" s="1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</row>
    <row r="991" spans="1:32" ht="58.5" customHeight="1" x14ac:dyDescent="0.25">
      <c r="A991" s="56"/>
      <c r="B991" s="56"/>
      <c r="C991" s="56"/>
      <c r="D991" s="56"/>
      <c r="E991" s="57"/>
      <c r="F991" s="58"/>
      <c r="G991" s="56"/>
      <c r="H991" s="56"/>
      <c r="I991" s="59"/>
      <c r="J991" s="56"/>
      <c r="K991" s="56"/>
      <c r="L991" s="56"/>
      <c r="M991" s="1"/>
      <c r="N991" s="1"/>
      <c r="O991" s="1"/>
      <c r="P991" s="1"/>
      <c r="Q991" s="1"/>
      <c r="R991" s="1"/>
      <c r="S991" s="1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</row>
    <row r="992" spans="1:32" ht="58.5" customHeight="1" x14ac:dyDescent="0.25">
      <c r="A992" s="56"/>
      <c r="B992" s="56"/>
      <c r="C992" s="56"/>
      <c r="D992" s="56"/>
      <c r="E992" s="57"/>
      <c r="F992" s="58"/>
      <c r="G992" s="56"/>
      <c r="H992" s="56"/>
      <c r="I992" s="59"/>
      <c r="J992" s="56"/>
      <c r="K992" s="56"/>
      <c r="L992" s="56"/>
      <c r="M992" s="1"/>
      <c r="N992" s="1"/>
      <c r="O992" s="1"/>
      <c r="P992" s="1"/>
      <c r="Q992" s="1"/>
      <c r="R992" s="1"/>
      <c r="S992" s="1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</row>
    <row r="993" spans="1:32" ht="58.5" customHeight="1" x14ac:dyDescent="0.25">
      <c r="A993" s="56"/>
      <c r="B993" s="56"/>
      <c r="C993" s="56"/>
      <c r="D993" s="56"/>
      <c r="E993" s="57"/>
      <c r="F993" s="58"/>
      <c r="G993" s="56"/>
      <c r="H993" s="56"/>
      <c r="I993" s="59"/>
      <c r="J993" s="56"/>
      <c r="K993" s="56"/>
      <c r="L993" s="56"/>
      <c r="M993" s="1"/>
      <c r="N993" s="1"/>
      <c r="O993" s="1"/>
      <c r="P993" s="1"/>
      <c r="Q993" s="1"/>
      <c r="R993" s="1"/>
      <c r="S993" s="1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</row>
    <row r="994" spans="1:32" ht="58.5" customHeight="1" x14ac:dyDescent="0.25">
      <c r="A994" s="56"/>
      <c r="B994" s="56"/>
      <c r="C994" s="56"/>
      <c r="D994" s="56"/>
      <c r="E994" s="57"/>
      <c r="F994" s="58"/>
      <c r="G994" s="56"/>
      <c r="H994" s="56"/>
      <c r="I994" s="59"/>
      <c r="J994" s="56"/>
      <c r="K994" s="56"/>
      <c r="L994" s="56"/>
      <c r="M994" s="1"/>
      <c r="N994" s="1"/>
      <c r="O994" s="1"/>
      <c r="P994" s="1"/>
      <c r="Q994" s="1"/>
      <c r="R994" s="1"/>
      <c r="S994" s="1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</row>
    <row r="995" spans="1:32" ht="58.5" customHeight="1" x14ac:dyDescent="0.25">
      <c r="A995" s="56"/>
      <c r="B995" s="56"/>
      <c r="C995" s="56"/>
      <c r="D995" s="56"/>
      <c r="E995" s="57"/>
      <c r="F995" s="58"/>
      <c r="G995" s="56"/>
      <c r="H995" s="56"/>
      <c r="I995" s="59"/>
      <c r="J995" s="56"/>
      <c r="K995" s="56"/>
      <c r="L995" s="56"/>
      <c r="M995" s="1"/>
      <c r="N995" s="1"/>
      <c r="O995" s="1"/>
      <c r="P995" s="1"/>
      <c r="Q995" s="1"/>
      <c r="R995" s="1"/>
      <c r="S995" s="1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</row>
    <row r="996" spans="1:32" ht="58.5" customHeight="1" x14ac:dyDescent="0.25">
      <c r="A996" s="56"/>
      <c r="B996" s="56"/>
      <c r="C996" s="56"/>
      <c r="D996" s="56"/>
      <c r="E996" s="57"/>
      <c r="F996" s="58"/>
      <c r="G996" s="56"/>
      <c r="H996" s="56"/>
      <c r="I996" s="59"/>
      <c r="J996" s="56"/>
      <c r="K996" s="56"/>
      <c r="L996" s="56"/>
      <c r="M996" s="1"/>
      <c r="N996" s="1"/>
      <c r="O996" s="1"/>
      <c r="P996" s="1"/>
      <c r="Q996" s="1"/>
      <c r="R996" s="1"/>
      <c r="S996" s="1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</row>
    <row r="997" spans="1:32" ht="58.5" customHeight="1" x14ac:dyDescent="0.25">
      <c r="A997" s="56"/>
      <c r="B997" s="56"/>
      <c r="C997" s="56"/>
      <c r="D997" s="56"/>
      <c r="E997" s="57"/>
      <c r="F997" s="58"/>
      <c r="G997" s="56"/>
      <c r="H997" s="56"/>
      <c r="I997" s="59"/>
      <c r="J997" s="56"/>
      <c r="K997" s="56"/>
      <c r="L997" s="56"/>
      <c r="M997" s="1"/>
      <c r="N997" s="1"/>
      <c r="O997" s="1"/>
      <c r="P997" s="1"/>
      <c r="Q997" s="1"/>
      <c r="R997" s="1"/>
      <c r="S997" s="1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</row>
    <row r="998" spans="1:32" ht="58.5" customHeight="1" x14ac:dyDescent="0.25">
      <c r="A998" s="56"/>
      <c r="B998" s="56"/>
      <c r="C998" s="56"/>
      <c r="D998" s="56"/>
      <c r="E998" s="57"/>
      <c r="F998" s="58"/>
      <c r="G998" s="56"/>
      <c r="H998" s="56"/>
      <c r="I998" s="59"/>
      <c r="J998" s="56"/>
      <c r="K998" s="56"/>
      <c r="L998" s="56"/>
      <c r="M998" s="1"/>
      <c r="N998" s="1"/>
      <c r="O998" s="1"/>
      <c r="P998" s="1"/>
      <c r="Q998" s="1"/>
      <c r="R998" s="1"/>
      <c r="S998" s="1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</row>
    <row r="999" spans="1:32" ht="58.5" customHeight="1" x14ac:dyDescent="0.25">
      <c r="A999" s="56"/>
      <c r="B999" s="56"/>
      <c r="C999" s="56"/>
      <c r="D999" s="56"/>
      <c r="E999" s="57"/>
      <c r="F999" s="58"/>
      <c r="G999" s="56"/>
      <c r="H999" s="56"/>
      <c r="I999" s="59"/>
      <c r="J999" s="56"/>
      <c r="K999" s="56"/>
      <c r="L999" s="56"/>
      <c r="M999" s="1"/>
      <c r="N999" s="1"/>
      <c r="O999" s="1"/>
      <c r="P999" s="1"/>
      <c r="Q999" s="1"/>
      <c r="R999" s="1"/>
      <c r="S999" s="1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</row>
    <row r="1000" spans="1:32" ht="58.5" customHeight="1" x14ac:dyDescent="0.25">
      <c r="A1000" s="56"/>
      <c r="B1000" s="56"/>
      <c r="C1000" s="56"/>
      <c r="D1000" s="56"/>
      <c r="E1000" s="57"/>
      <c r="F1000" s="58"/>
      <c r="G1000" s="56"/>
      <c r="H1000" s="56"/>
      <c r="I1000" s="59"/>
      <c r="J1000" s="56"/>
      <c r="K1000" s="56"/>
      <c r="L1000" s="56"/>
      <c r="M1000" s="1"/>
      <c r="N1000" s="1"/>
      <c r="O1000" s="1"/>
      <c r="P1000" s="1"/>
      <c r="Q1000" s="1"/>
      <c r="R1000" s="1"/>
      <c r="S1000" s="1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</row>
  </sheetData>
  <mergeCells count="659">
    <mergeCell ref="AF81:AF82"/>
    <mergeCell ref="U59:U61"/>
    <mergeCell ref="V59:V61"/>
    <mergeCell ref="X78:X80"/>
    <mergeCell ref="Y78:Y80"/>
    <mergeCell ref="Z78:Z80"/>
    <mergeCell ref="AA78:AA80"/>
    <mergeCell ref="AB78:AB80"/>
    <mergeCell ref="Y53:Y54"/>
    <mergeCell ref="Z53:Z54"/>
    <mergeCell ref="AA53:AA54"/>
    <mergeCell ref="Z72:Z74"/>
    <mergeCell ref="AE72:AE74"/>
    <mergeCell ref="AF72:AF74"/>
    <mergeCell ref="AB67:AB71"/>
    <mergeCell ref="AD67:AD71"/>
    <mergeCell ref="AE67:AE71"/>
    <mergeCell ref="AA72:AA74"/>
    <mergeCell ref="Z67:Z71"/>
    <mergeCell ref="Y59:Y61"/>
    <mergeCell ref="R75:R77"/>
    <mergeCell ref="S75:S77"/>
    <mergeCell ref="T72:T74"/>
    <mergeCell ref="T75:T77"/>
    <mergeCell ref="L62:L63"/>
    <mergeCell ref="O72:O74"/>
    <mergeCell ref="S78:S80"/>
    <mergeCell ref="U75:U77"/>
    <mergeCell ref="V75:V77"/>
    <mergeCell ref="U72:U74"/>
    <mergeCell ref="X72:X74"/>
    <mergeCell ref="Y72:Y74"/>
    <mergeCell ref="S72:S74"/>
    <mergeCell ref="L72:L74"/>
    <mergeCell ref="V72:V74"/>
    <mergeCell ref="W67:W71"/>
    <mergeCell ref="X67:X71"/>
    <mergeCell ref="Y67:Y71"/>
    <mergeCell ref="AE81:AE82"/>
    <mergeCell ref="S81:S82"/>
    <mergeCell ref="X81:X82"/>
    <mergeCell ref="Y81:Y82"/>
    <mergeCell ref="Z81:Z82"/>
    <mergeCell ref="T81:T82"/>
    <mergeCell ref="U81:U82"/>
    <mergeCell ref="V81:V82"/>
    <mergeCell ref="T78:T80"/>
    <mergeCell ref="U78:U80"/>
    <mergeCell ref="R39:R40"/>
    <mergeCell ref="S39:S40"/>
    <mergeCell ref="T39:T40"/>
    <mergeCell ref="U39:U40"/>
    <mergeCell ref="V39:V40"/>
    <mergeCell ref="W49:W50"/>
    <mergeCell ref="X49:X50"/>
    <mergeCell ref="Y49:Y50"/>
    <mergeCell ref="Z49:Z50"/>
    <mergeCell ref="V49:V50"/>
    <mergeCell ref="R45:R48"/>
    <mergeCell ref="S45:S48"/>
    <mergeCell ref="T45:T48"/>
    <mergeCell ref="Y45:Y48"/>
    <mergeCell ref="Z45:Z48"/>
    <mergeCell ref="W41:W44"/>
    <mergeCell ref="X41:X44"/>
    <mergeCell ref="Y41:Y44"/>
    <mergeCell ref="A41:A56"/>
    <mergeCell ref="B24:B26"/>
    <mergeCell ref="C24:C26"/>
    <mergeCell ref="C27:C28"/>
    <mergeCell ref="C29:C30"/>
    <mergeCell ref="D24:D26"/>
    <mergeCell ref="A4:A26"/>
    <mergeCell ref="B19:B21"/>
    <mergeCell ref="C19:C21"/>
    <mergeCell ref="D19:D21"/>
    <mergeCell ref="B22:B23"/>
    <mergeCell ref="C22:C23"/>
    <mergeCell ref="B29:B30"/>
    <mergeCell ref="A27:A40"/>
    <mergeCell ref="B27:B28"/>
    <mergeCell ref="D35:D38"/>
    <mergeCell ref="D41:D44"/>
    <mergeCell ref="B55:B56"/>
    <mergeCell ref="D22:D23"/>
    <mergeCell ref="D53:D54"/>
    <mergeCell ref="D55:D56"/>
    <mergeCell ref="B59:B61"/>
    <mergeCell ref="B57:B58"/>
    <mergeCell ref="C55:C56"/>
    <mergeCell ref="C57:C58"/>
    <mergeCell ref="B45:B48"/>
    <mergeCell ref="C45:C48"/>
    <mergeCell ref="B49:B50"/>
    <mergeCell ref="C49:C50"/>
    <mergeCell ref="B51:B52"/>
    <mergeCell ref="C51:C52"/>
    <mergeCell ref="C53:C54"/>
    <mergeCell ref="E22:E23"/>
    <mergeCell ref="E24:E26"/>
    <mergeCell ref="D27:D28"/>
    <mergeCell ref="E27:E28"/>
    <mergeCell ref="D29:D30"/>
    <mergeCell ref="E29:E30"/>
    <mergeCell ref="E19:E21"/>
    <mergeCell ref="B53:B54"/>
    <mergeCell ref="E35:E38"/>
    <mergeCell ref="E41:E44"/>
    <mergeCell ref="B35:B38"/>
    <mergeCell ref="B39:B40"/>
    <mergeCell ref="C39:C40"/>
    <mergeCell ref="D39:D40"/>
    <mergeCell ref="E39:E40"/>
    <mergeCell ref="B41:B44"/>
    <mergeCell ref="C41:C44"/>
    <mergeCell ref="B31:B32"/>
    <mergeCell ref="C31:C32"/>
    <mergeCell ref="D31:D32"/>
    <mergeCell ref="E31:E32"/>
    <mergeCell ref="B33:B34"/>
    <mergeCell ref="C33:C34"/>
    <mergeCell ref="C35:C38"/>
    <mergeCell ref="A57:A88"/>
    <mergeCell ref="C59:C61"/>
    <mergeCell ref="B62:B63"/>
    <mergeCell ref="C62:C63"/>
    <mergeCell ref="B64:B66"/>
    <mergeCell ref="C64:C66"/>
    <mergeCell ref="B81:B82"/>
    <mergeCell ref="C81:C82"/>
    <mergeCell ref="E75:E77"/>
    <mergeCell ref="E78:E80"/>
    <mergeCell ref="B83:B84"/>
    <mergeCell ref="C83:C84"/>
    <mergeCell ref="B85:B86"/>
    <mergeCell ref="C85:C86"/>
    <mergeCell ref="C87:C88"/>
    <mergeCell ref="B67:B71"/>
    <mergeCell ref="C67:C71"/>
    <mergeCell ref="B72:B74"/>
    <mergeCell ref="C72:C74"/>
    <mergeCell ref="B75:B77"/>
    <mergeCell ref="C75:C77"/>
    <mergeCell ref="B78:B80"/>
    <mergeCell ref="C78:C80"/>
    <mergeCell ref="B87:B88"/>
    <mergeCell ref="E87:E88"/>
    <mergeCell ref="W59:W61"/>
    <mergeCell ref="X59:X61"/>
    <mergeCell ref="AA83:AA84"/>
    <mergeCell ref="AB83:AB84"/>
    <mergeCell ref="AC83:AC84"/>
    <mergeCell ref="AD83:AD84"/>
    <mergeCell ref="R85:R86"/>
    <mergeCell ref="R87:R88"/>
    <mergeCell ref="L85:L86"/>
    <mergeCell ref="S85:S86"/>
    <mergeCell ref="T85:T86"/>
    <mergeCell ref="AB81:AB82"/>
    <mergeCell ref="AC81:AC82"/>
    <mergeCell ref="AD81:AD82"/>
    <mergeCell ref="W81:W82"/>
    <mergeCell ref="AA81:AA82"/>
    <mergeCell ref="L59:L61"/>
    <mergeCell ref="R59:R61"/>
    <mergeCell ref="S59:S61"/>
    <mergeCell ref="T59:T61"/>
    <mergeCell ref="O59:O61"/>
    <mergeCell ref="O81:O82"/>
    <mergeCell ref="O75:O77"/>
    <mergeCell ref="AE87:AE88"/>
    <mergeCell ref="AF87:AF88"/>
    <mergeCell ref="X83:X84"/>
    <mergeCell ref="Y83:Y84"/>
    <mergeCell ref="V87:V88"/>
    <mergeCell ref="W87:W88"/>
    <mergeCell ref="V85:V86"/>
    <mergeCell ref="AE85:AE86"/>
    <mergeCell ref="AF85:AF86"/>
    <mergeCell ref="AA87:AA88"/>
    <mergeCell ref="AB87:AB88"/>
    <mergeCell ref="AC85:AC86"/>
    <mergeCell ref="AD85:AD86"/>
    <mergeCell ref="AC87:AC88"/>
    <mergeCell ref="AD87:AD88"/>
    <mergeCell ref="AE83:AE84"/>
    <mergeCell ref="AF83:AF84"/>
    <mergeCell ref="V83:V84"/>
    <mergeCell ref="W83:W84"/>
    <mergeCell ref="AA49:AA50"/>
    <mergeCell ref="E51:E52"/>
    <mergeCell ref="R51:R52"/>
    <mergeCell ref="L51:L52"/>
    <mergeCell ref="E49:E50"/>
    <mergeCell ref="L49:L50"/>
    <mergeCell ref="R49:R50"/>
    <mergeCell ref="S49:S50"/>
    <mergeCell ref="T49:T50"/>
    <mergeCell ref="U49:U50"/>
    <mergeCell ref="O51:O52"/>
    <mergeCell ref="AA51:AA52"/>
    <mergeCell ref="V51:V52"/>
    <mergeCell ref="W51:W52"/>
    <mergeCell ref="X51:X52"/>
    <mergeCell ref="Y51:Y52"/>
    <mergeCell ref="Z51:Z52"/>
    <mergeCell ref="E53:E54"/>
    <mergeCell ref="L53:L54"/>
    <mergeCell ref="O53:O54"/>
    <mergeCell ref="U51:U52"/>
    <mergeCell ref="T53:T54"/>
    <mergeCell ref="U53:U54"/>
    <mergeCell ref="X53:X54"/>
    <mergeCell ref="T51:T52"/>
    <mergeCell ref="S53:S54"/>
    <mergeCell ref="V53:V54"/>
    <mergeCell ref="W53:W54"/>
    <mergeCell ref="L45:L48"/>
    <mergeCell ref="AF45:AF48"/>
    <mergeCell ref="AF49:AF50"/>
    <mergeCell ref="O49:O50"/>
    <mergeCell ref="R55:R56"/>
    <mergeCell ref="S55:S56"/>
    <mergeCell ref="U55:U56"/>
    <mergeCell ref="V55:V56"/>
    <mergeCell ref="W55:W56"/>
    <mergeCell ref="X55:X56"/>
    <mergeCell ref="Y55:Y56"/>
    <mergeCell ref="Z55:Z56"/>
    <mergeCell ref="AA55:AA56"/>
    <mergeCell ref="T55:T56"/>
    <mergeCell ref="AC51:AC52"/>
    <mergeCell ref="AD51:AD52"/>
    <mergeCell ref="AE51:AE52"/>
    <mergeCell ref="AF51:AF52"/>
    <mergeCell ref="AB51:AB52"/>
    <mergeCell ref="AD53:AD54"/>
    <mergeCell ref="AD55:AD56"/>
    <mergeCell ref="AB53:AB54"/>
    <mergeCell ref="AC53:AC54"/>
    <mergeCell ref="AE55:AE56"/>
    <mergeCell ref="AB45:AB48"/>
    <mergeCell ref="AC45:AC48"/>
    <mergeCell ref="AD45:AD48"/>
    <mergeCell ref="AE45:AE48"/>
    <mergeCell ref="U45:U48"/>
    <mergeCell ref="V45:V48"/>
    <mergeCell ref="W45:W48"/>
    <mergeCell ref="X45:X48"/>
    <mergeCell ref="AF39:AF40"/>
    <mergeCell ref="AB39:AB40"/>
    <mergeCell ref="AC39:AC40"/>
    <mergeCell ref="AB41:AB44"/>
    <mergeCell ref="AC41:AC44"/>
    <mergeCell ref="AF41:AF44"/>
    <mergeCell ref="AD39:AD40"/>
    <mergeCell ref="AE39:AE40"/>
    <mergeCell ref="AE41:AE44"/>
    <mergeCell ref="W39:W40"/>
    <mergeCell ref="X39:X40"/>
    <mergeCell ref="Y39:Y40"/>
    <mergeCell ref="Z39:Z40"/>
    <mergeCell ref="AA39:AA40"/>
    <mergeCell ref="Z41:Z44"/>
    <mergeCell ref="AA41:AA44"/>
    <mergeCell ref="U87:U88"/>
    <mergeCell ref="X87:X88"/>
    <mergeCell ref="Y87:Y88"/>
    <mergeCell ref="Z87:Z88"/>
    <mergeCell ref="AB85:AB86"/>
    <mergeCell ref="U85:U86"/>
    <mergeCell ref="L87:L88"/>
    <mergeCell ref="L83:L84"/>
    <mergeCell ref="O87:O88"/>
    <mergeCell ref="S87:S88"/>
    <mergeCell ref="R83:R84"/>
    <mergeCell ref="S83:S84"/>
    <mergeCell ref="Z83:Z84"/>
    <mergeCell ref="W85:W86"/>
    <mergeCell ref="X85:X86"/>
    <mergeCell ref="Y85:Y86"/>
    <mergeCell ref="Z85:Z86"/>
    <mergeCell ref="AA85:AA86"/>
    <mergeCell ref="O83:O84"/>
    <mergeCell ref="O85:O86"/>
    <mergeCell ref="T83:T84"/>
    <mergeCell ref="U83:U84"/>
    <mergeCell ref="D87:D88"/>
    <mergeCell ref="D81:D82"/>
    <mergeCell ref="E55:E56"/>
    <mergeCell ref="D57:D58"/>
    <mergeCell ref="E57:E58"/>
    <mergeCell ref="D59:D61"/>
    <mergeCell ref="Z59:Z61"/>
    <mergeCell ref="AA59:AA61"/>
    <mergeCell ref="Y57:Y58"/>
    <mergeCell ref="Z57:Z58"/>
    <mergeCell ref="AA57:AA58"/>
    <mergeCell ref="R57:R58"/>
    <mergeCell ref="S57:S58"/>
    <mergeCell ref="T57:T58"/>
    <mergeCell ref="U57:U58"/>
    <mergeCell ref="V57:V58"/>
    <mergeCell ref="W57:W58"/>
    <mergeCell ref="X57:X58"/>
    <mergeCell ref="L55:L56"/>
    <mergeCell ref="O55:O56"/>
    <mergeCell ref="O57:O58"/>
    <mergeCell ref="E81:E82"/>
    <mergeCell ref="E83:E84"/>
    <mergeCell ref="T87:T88"/>
    <mergeCell ref="D75:D77"/>
    <mergeCell ref="D78:D80"/>
    <mergeCell ref="D62:D63"/>
    <mergeCell ref="D64:D66"/>
    <mergeCell ref="D67:D71"/>
    <mergeCell ref="D72:D74"/>
    <mergeCell ref="D83:D84"/>
    <mergeCell ref="D85:D86"/>
    <mergeCell ref="R53:R54"/>
    <mergeCell ref="R81:R82"/>
    <mergeCell ref="E59:E61"/>
    <mergeCell ref="E62:E63"/>
    <mergeCell ref="E64:E66"/>
    <mergeCell ref="E67:E71"/>
    <mergeCell ref="E72:E74"/>
    <mergeCell ref="E85:E86"/>
    <mergeCell ref="L57:L58"/>
    <mergeCell ref="L75:L77"/>
    <mergeCell ref="L78:L80"/>
    <mergeCell ref="O78:O80"/>
    <mergeCell ref="R78:R80"/>
    <mergeCell ref="R72:R74"/>
    <mergeCell ref="L64:L66"/>
    <mergeCell ref="R62:R63"/>
    <mergeCell ref="O41:O44"/>
    <mergeCell ref="AA33:AA34"/>
    <mergeCell ref="D45:D48"/>
    <mergeCell ref="D49:D50"/>
    <mergeCell ref="D51:D52"/>
    <mergeCell ref="E45:E48"/>
    <mergeCell ref="AA45:AA48"/>
    <mergeCell ref="S51:S52"/>
    <mergeCell ref="D33:D34"/>
    <mergeCell ref="E33:E34"/>
    <mergeCell ref="L39:L40"/>
    <mergeCell ref="O39:O40"/>
    <mergeCell ref="L41:L44"/>
    <mergeCell ref="R41:R44"/>
    <mergeCell ref="U33:U34"/>
    <mergeCell ref="V33:V34"/>
    <mergeCell ref="X33:X34"/>
    <mergeCell ref="Y33:Y34"/>
    <mergeCell ref="S41:S44"/>
    <mergeCell ref="T41:T44"/>
    <mergeCell ref="U41:U44"/>
    <mergeCell ref="V41:V44"/>
    <mergeCell ref="O45:O48"/>
    <mergeCell ref="Z33:Z34"/>
    <mergeCell ref="L19:L21"/>
    <mergeCell ref="O19:O21"/>
    <mergeCell ref="L24:L26"/>
    <mergeCell ref="V27:V28"/>
    <mergeCell ref="W27:W28"/>
    <mergeCell ref="AD29:AD30"/>
    <mergeCell ref="AE29:AE30"/>
    <mergeCell ref="AB35:AB38"/>
    <mergeCell ref="AB29:AB30"/>
    <mergeCell ref="AB31:AB32"/>
    <mergeCell ref="AD33:AD34"/>
    <mergeCell ref="AE33:AE34"/>
    <mergeCell ref="R33:R34"/>
    <mergeCell ref="L33:L34"/>
    <mergeCell ref="L35:L38"/>
    <mergeCell ref="L29:L30"/>
    <mergeCell ref="L31:L32"/>
    <mergeCell ref="O33:O34"/>
    <mergeCell ref="O35:O38"/>
    <mergeCell ref="O29:O30"/>
    <mergeCell ref="O31:O32"/>
    <mergeCell ref="O22:O23"/>
    <mergeCell ref="O24:O26"/>
    <mergeCell ref="L27:L28"/>
    <mergeCell ref="AF35:AF38"/>
    <mergeCell ref="AF29:AF30"/>
    <mergeCell ref="AF31:AF32"/>
    <mergeCell ref="AF33:AF34"/>
    <mergeCell ref="AF24:AF26"/>
    <mergeCell ref="X27:X28"/>
    <mergeCell ref="Y27:Y28"/>
    <mergeCell ref="X24:X26"/>
    <mergeCell ref="AA27:AA28"/>
    <mergeCell ref="AB27:AB28"/>
    <mergeCell ref="AC27:AC28"/>
    <mergeCell ref="AD27:AD28"/>
    <mergeCell ref="AE27:AE28"/>
    <mergeCell ref="AF27:AF28"/>
    <mergeCell ref="Z27:Z28"/>
    <mergeCell ref="Y24:Y26"/>
    <mergeCell ref="Z24:Z26"/>
    <mergeCell ref="Z35:Z38"/>
    <mergeCell ref="AA35:AA38"/>
    <mergeCell ref="AA29:AA30"/>
    <mergeCell ref="AA31:AA32"/>
    <mergeCell ref="AC29:AC30"/>
    <mergeCell ref="AC31:AC32"/>
    <mergeCell ref="AD31:AD32"/>
    <mergeCell ref="S29:S30"/>
    <mergeCell ref="T29:T30"/>
    <mergeCell ref="O27:O28"/>
    <mergeCell ref="AE31:AE32"/>
    <mergeCell ref="AC24:AC26"/>
    <mergeCell ref="AD24:AD26"/>
    <mergeCell ref="AC35:AC38"/>
    <mergeCell ref="AD35:AD38"/>
    <mergeCell ref="AE35:AE38"/>
    <mergeCell ref="T27:T28"/>
    <mergeCell ref="U27:U28"/>
    <mergeCell ref="T35:T38"/>
    <mergeCell ref="U35:U38"/>
    <mergeCell ref="S33:S34"/>
    <mergeCell ref="T33:T34"/>
    <mergeCell ref="AE24:AE26"/>
    <mergeCell ref="Y29:Y30"/>
    <mergeCell ref="Z29:Z30"/>
    <mergeCell ref="X29:X30"/>
    <mergeCell ref="X31:X32"/>
    <mergeCell ref="Y31:Y32"/>
    <mergeCell ref="Z31:Z32"/>
    <mergeCell ref="X35:X38"/>
    <mergeCell ref="Y35:Y38"/>
    <mergeCell ref="AD41:AD44"/>
    <mergeCell ref="AC33:AC34"/>
    <mergeCell ref="AA24:AA26"/>
    <mergeCell ref="AB24:AB26"/>
    <mergeCell ref="R35:R38"/>
    <mergeCell ref="S35:S38"/>
    <mergeCell ref="V35:V38"/>
    <mergeCell ref="W35:W38"/>
    <mergeCell ref="R31:R32"/>
    <mergeCell ref="S31:S32"/>
    <mergeCell ref="R27:R28"/>
    <mergeCell ref="S27:S28"/>
    <mergeCell ref="T24:T26"/>
    <mergeCell ref="R24:R26"/>
    <mergeCell ref="S24:S26"/>
    <mergeCell ref="U24:U26"/>
    <mergeCell ref="V24:V26"/>
    <mergeCell ref="W24:W26"/>
    <mergeCell ref="T31:T32"/>
    <mergeCell ref="U31:U32"/>
    <mergeCell ref="W33:W34"/>
    <mergeCell ref="V31:V32"/>
    <mergeCell ref="W31:W32"/>
    <mergeCell ref="R29:R30"/>
    <mergeCell ref="AB33:AB34"/>
    <mergeCell ref="AF75:AF77"/>
    <mergeCell ref="W75:W77"/>
    <mergeCell ref="X75:X77"/>
    <mergeCell ref="AC75:AC77"/>
    <mergeCell ref="V78:V80"/>
    <mergeCell ref="W78:W80"/>
    <mergeCell ref="Y75:Y77"/>
    <mergeCell ref="Z75:Z77"/>
    <mergeCell ref="AC78:AC80"/>
    <mergeCell ref="AD78:AD80"/>
    <mergeCell ref="AE78:AE80"/>
    <mergeCell ref="AF78:AF80"/>
    <mergeCell ref="AA75:AA77"/>
    <mergeCell ref="AB75:AB77"/>
    <mergeCell ref="AD75:AD77"/>
    <mergeCell ref="AE75:AE77"/>
    <mergeCell ref="AF67:AF71"/>
    <mergeCell ref="AC67:AC71"/>
    <mergeCell ref="V67:V71"/>
    <mergeCell ref="AD72:AD74"/>
    <mergeCell ref="AB72:AB74"/>
    <mergeCell ref="AC72:AC74"/>
    <mergeCell ref="W72:W74"/>
    <mergeCell ref="AA67:AA71"/>
    <mergeCell ref="O67:O71"/>
    <mergeCell ref="L67:L71"/>
    <mergeCell ref="R67:R71"/>
    <mergeCell ref="S67:S71"/>
    <mergeCell ref="T67:T71"/>
    <mergeCell ref="U67:U71"/>
    <mergeCell ref="S62:S63"/>
    <mergeCell ref="T62:T63"/>
    <mergeCell ref="U62:U63"/>
    <mergeCell ref="O62:O63"/>
    <mergeCell ref="O64:O66"/>
    <mergeCell ref="R64:R66"/>
    <mergeCell ref="S64:S66"/>
    <mergeCell ref="AF64:AF66"/>
    <mergeCell ref="V64:V66"/>
    <mergeCell ref="W64:W66"/>
    <mergeCell ref="V62:V63"/>
    <mergeCell ref="T64:T66"/>
    <mergeCell ref="U64:U66"/>
    <mergeCell ref="AE62:AE63"/>
    <mergeCell ref="AF62:AF63"/>
    <mergeCell ref="W62:W63"/>
    <mergeCell ref="X62:X63"/>
    <mergeCell ref="Y62:Y63"/>
    <mergeCell ref="Z62:Z63"/>
    <mergeCell ref="AA62:AA63"/>
    <mergeCell ref="Z64:Z66"/>
    <mergeCell ref="AA64:AA66"/>
    <mergeCell ref="X64:X66"/>
    <mergeCell ref="Y64:Y66"/>
    <mergeCell ref="AB57:AB58"/>
    <mergeCell ref="AC57:AC58"/>
    <mergeCell ref="AC64:AC66"/>
    <mergeCell ref="AD64:AD66"/>
    <mergeCell ref="AE64:AE66"/>
    <mergeCell ref="AB64:AB66"/>
    <mergeCell ref="AB59:AB61"/>
    <mergeCell ref="AC59:AC61"/>
    <mergeCell ref="AD59:AD61"/>
    <mergeCell ref="AE59:AE61"/>
    <mergeCell ref="AB62:AB63"/>
    <mergeCell ref="AC62:AC63"/>
    <mergeCell ref="AD62:AD63"/>
    <mergeCell ref="AF59:AF61"/>
    <mergeCell ref="AF55:AF56"/>
    <mergeCell ref="AF53:AF54"/>
    <mergeCell ref="AF57:AF58"/>
    <mergeCell ref="U19:U21"/>
    <mergeCell ref="V19:V21"/>
    <mergeCell ref="W19:W21"/>
    <mergeCell ref="X19:X21"/>
    <mergeCell ref="Y19:Y21"/>
    <mergeCell ref="Z19:Z21"/>
    <mergeCell ref="AA19:AA21"/>
    <mergeCell ref="AA22:AA23"/>
    <mergeCell ref="AD49:AD50"/>
    <mergeCell ref="AE49:AE50"/>
    <mergeCell ref="AB49:AB50"/>
    <mergeCell ref="AC49:AC50"/>
    <mergeCell ref="U29:U30"/>
    <mergeCell ref="V29:V30"/>
    <mergeCell ref="W29:W30"/>
    <mergeCell ref="AE53:AE54"/>
    <mergeCell ref="AD57:AD58"/>
    <mergeCell ref="AE57:AE58"/>
    <mergeCell ref="AB55:AB56"/>
    <mergeCell ref="AC55:AC56"/>
    <mergeCell ref="R19:R21"/>
    <mergeCell ref="R22:R23"/>
    <mergeCell ref="S22:S23"/>
    <mergeCell ref="T22:T23"/>
    <mergeCell ref="V22:V23"/>
    <mergeCell ref="W22:W23"/>
    <mergeCell ref="X22:X23"/>
    <mergeCell ref="Y22:Y23"/>
    <mergeCell ref="Z22:Z23"/>
    <mergeCell ref="U22:U23"/>
    <mergeCell ref="S19:S21"/>
    <mergeCell ref="T19:T21"/>
    <mergeCell ref="B1:B2"/>
    <mergeCell ref="C2:L2"/>
    <mergeCell ref="D4:D7"/>
    <mergeCell ref="E4:E7"/>
    <mergeCell ref="U8:U10"/>
    <mergeCell ref="V8:V10"/>
    <mergeCell ref="W8:W10"/>
    <mergeCell ref="X8:X10"/>
    <mergeCell ref="Y8:Y10"/>
    <mergeCell ref="B8:B10"/>
    <mergeCell ref="C8:C10"/>
    <mergeCell ref="D8:D10"/>
    <mergeCell ref="R8:R10"/>
    <mergeCell ref="S8:S10"/>
    <mergeCell ref="T8:T10"/>
    <mergeCell ref="E8:E10"/>
    <mergeCell ref="L4:L7"/>
    <mergeCell ref="O4:O7"/>
    <mergeCell ref="L15:L18"/>
    <mergeCell ref="T15:T18"/>
    <mergeCell ref="U11:U14"/>
    <mergeCell ref="V11:V14"/>
    <mergeCell ref="W11:W14"/>
    <mergeCell ref="X11:X14"/>
    <mergeCell ref="Y11:Y14"/>
    <mergeCell ref="Z11:Z14"/>
    <mergeCell ref="AA11:AA14"/>
    <mergeCell ref="U15:U18"/>
    <mergeCell ref="V15:V18"/>
    <mergeCell ref="W15:W18"/>
    <mergeCell ref="X15:X18"/>
    <mergeCell ref="Y15:Y18"/>
    <mergeCell ref="Z15:Z18"/>
    <mergeCell ref="AA15:AA18"/>
    <mergeCell ref="O11:O14"/>
    <mergeCell ref="O15:O18"/>
    <mergeCell ref="AF15:AF18"/>
    <mergeCell ref="AE22:AE23"/>
    <mergeCell ref="AF22:AF23"/>
    <mergeCell ref="AF11:AF14"/>
    <mergeCell ref="AF8:AF10"/>
    <mergeCell ref="AF19:AF21"/>
    <mergeCell ref="C15:C18"/>
    <mergeCell ref="D15:D18"/>
    <mergeCell ref="B4:B7"/>
    <mergeCell ref="C4:C7"/>
    <mergeCell ref="B11:B14"/>
    <mergeCell ref="C11:C14"/>
    <mergeCell ref="D11:D14"/>
    <mergeCell ref="E11:E14"/>
    <mergeCell ref="B15:B18"/>
    <mergeCell ref="E15:E18"/>
    <mergeCell ref="R15:R18"/>
    <mergeCell ref="S15:S18"/>
    <mergeCell ref="O8:O10"/>
    <mergeCell ref="L8:L10"/>
    <mergeCell ref="L11:L14"/>
    <mergeCell ref="R11:R14"/>
    <mergeCell ref="S11:S14"/>
    <mergeCell ref="T11:T14"/>
    <mergeCell ref="AB15:AB18"/>
    <mergeCell ref="AC15:AC18"/>
    <mergeCell ref="AB19:AB21"/>
    <mergeCell ref="AC19:AC21"/>
    <mergeCell ref="AD11:AD14"/>
    <mergeCell ref="AE11:AE14"/>
    <mergeCell ref="AC22:AC23"/>
    <mergeCell ref="AC8:AC10"/>
    <mergeCell ref="AD8:AD10"/>
    <mergeCell ref="AE8:AE10"/>
    <mergeCell ref="AD22:AD23"/>
    <mergeCell ref="AD15:AD18"/>
    <mergeCell ref="AD19:AD21"/>
    <mergeCell ref="AE15:AE18"/>
    <mergeCell ref="AE19:AE21"/>
    <mergeCell ref="AB8:AB10"/>
    <mergeCell ref="AB22:AB23"/>
    <mergeCell ref="AB4:AB7"/>
    <mergeCell ref="AC4:AC7"/>
    <mergeCell ref="AD4:AD7"/>
    <mergeCell ref="C1:AF1"/>
    <mergeCell ref="AB2:AF2"/>
    <mergeCell ref="AB11:AB14"/>
    <mergeCell ref="AC11:AC14"/>
    <mergeCell ref="AE4:AE7"/>
    <mergeCell ref="AF4:AF7"/>
    <mergeCell ref="Z8:Z10"/>
    <mergeCell ref="AA8:AA10"/>
    <mergeCell ref="M2:S2"/>
    <mergeCell ref="T2:AA2"/>
    <mergeCell ref="R4:R7"/>
    <mergeCell ref="S4:S7"/>
    <mergeCell ref="T4:T7"/>
    <mergeCell ref="U4:U7"/>
    <mergeCell ref="V4:V7"/>
    <mergeCell ref="W4:W7"/>
    <mergeCell ref="X4:X7"/>
    <mergeCell ref="Y4:Y7"/>
    <mergeCell ref="Z4:Z7"/>
    <mergeCell ref="AA4:AA7"/>
  </mergeCells>
  <dataValidations count="2">
    <dataValidation type="list" allowBlank="1" showErrorMessage="1" sqref="R4 R8 R11 R15 R19 R22 R24 R27 R29 R31 R33 R35 R39 R41 R45 R49 R51 R53 R55 R57 R59 R62 R64 R67 R72 R75 R78 R81 R83 R85 R87" xr:uid="{00000000-0002-0000-0200-000000000000}">
      <formula1>$B$200:$B$201</formula1>
    </dataValidation>
    <dataValidation type="list" allowBlank="1" showErrorMessage="1" sqref="R184" xr:uid="{00000000-0002-0000-0200-000001000000}">
      <formula1>#REF!</formula1>
    </dataValidation>
  </dataValidation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workbookViewId="0"/>
  </sheetViews>
  <sheetFormatPr baseColWidth="10" defaultColWidth="14.42578125" defaultRowHeight="15" customHeight="1" x14ac:dyDescent="0.25"/>
  <cols>
    <col min="1" max="1" width="34.7109375" customWidth="1"/>
    <col min="2" max="2" width="25.5703125" customWidth="1"/>
    <col min="3" max="3" width="48" customWidth="1"/>
    <col min="4" max="4" width="76.7109375" customWidth="1"/>
    <col min="5" max="5" width="20.42578125" customWidth="1"/>
    <col min="6" max="6" width="79.85546875" customWidth="1"/>
    <col min="7" max="7" width="64.28515625" customWidth="1"/>
    <col min="8" max="8" width="18.5703125" customWidth="1"/>
    <col min="9" max="9" width="11.28515625" customWidth="1"/>
    <col min="10" max="10" width="22.28515625" customWidth="1"/>
    <col min="11" max="11" width="19" customWidth="1"/>
    <col min="12" max="12" width="51.7109375" customWidth="1"/>
    <col min="13" max="13" width="23" customWidth="1"/>
    <col min="14" max="14" width="35.5703125" customWidth="1"/>
    <col min="15" max="15" width="38.85546875" customWidth="1"/>
    <col min="16" max="16" width="89" customWidth="1"/>
    <col min="17" max="17" width="87.42578125" customWidth="1"/>
    <col min="18" max="19" width="50.28515625" customWidth="1"/>
    <col min="20" max="20" width="41.42578125" customWidth="1"/>
    <col min="21" max="21" width="22.5703125" customWidth="1"/>
    <col min="22" max="22" width="41.140625" customWidth="1"/>
    <col min="23" max="25" width="24" customWidth="1"/>
    <col min="26" max="26" width="25.7109375" customWidth="1"/>
    <col min="27" max="27" width="15.5703125" customWidth="1"/>
    <col min="28" max="28" width="27.7109375" customWidth="1"/>
    <col min="29" max="29" width="51" customWidth="1"/>
    <col min="30" max="30" width="40.28515625" customWidth="1"/>
    <col min="31" max="31" width="51" customWidth="1"/>
    <col min="32" max="32" width="45.28515625" customWidth="1"/>
  </cols>
  <sheetData>
    <row r="1" spans="1:32" ht="57" customHeight="1" x14ac:dyDescent="0.25">
      <c r="A1" s="147"/>
      <c r="B1" s="93" t="s">
        <v>0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5"/>
    </row>
    <row r="2" spans="1:32" ht="90" customHeight="1" x14ac:dyDescent="0.25">
      <c r="A2" s="82"/>
      <c r="B2" s="100" t="s">
        <v>591</v>
      </c>
      <c r="C2" s="97"/>
      <c r="D2" s="97"/>
      <c r="E2" s="97"/>
      <c r="F2" s="97"/>
      <c r="G2" s="97"/>
      <c r="H2" s="97"/>
      <c r="I2" s="97"/>
      <c r="J2" s="97"/>
      <c r="K2" s="97"/>
      <c r="L2" s="98"/>
      <c r="M2" s="124" t="s">
        <v>286</v>
      </c>
      <c r="N2" s="97"/>
      <c r="O2" s="97"/>
      <c r="P2" s="97"/>
      <c r="Q2" s="97"/>
      <c r="R2" s="97"/>
      <c r="S2" s="98"/>
      <c r="T2" s="100" t="s">
        <v>592</v>
      </c>
      <c r="U2" s="97"/>
      <c r="V2" s="97"/>
      <c r="W2" s="97"/>
      <c r="X2" s="97"/>
      <c r="Y2" s="97"/>
      <c r="Z2" s="97"/>
      <c r="AA2" s="98"/>
      <c r="AB2" s="101" t="s">
        <v>4</v>
      </c>
      <c r="AC2" s="97"/>
      <c r="AD2" s="97"/>
      <c r="AE2" s="97"/>
      <c r="AF2" s="98"/>
    </row>
    <row r="3" spans="1:32" ht="132" customHeight="1" x14ac:dyDescent="0.25">
      <c r="A3" s="3" t="s">
        <v>5</v>
      </c>
      <c r="B3" s="3" t="s">
        <v>6</v>
      </c>
      <c r="C3" s="3" t="s">
        <v>7</v>
      </c>
      <c r="D3" s="3" t="s">
        <v>8</v>
      </c>
      <c r="E3" s="4" t="s">
        <v>9</v>
      </c>
      <c r="F3" s="3" t="s">
        <v>10</v>
      </c>
      <c r="G3" s="3" t="s">
        <v>11</v>
      </c>
      <c r="H3" s="3" t="s">
        <v>12</v>
      </c>
      <c r="I3" s="5" t="s">
        <v>13</v>
      </c>
      <c r="J3" s="3" t="s">
        <v>14</v>
      </c>
      <c r="K3" s="3" t="s">
        <v>15</v>
      </c>
      <c r="L3" s="3" t="s">
        <v>16</v>
      </c>
      <c r="M3" s="6" t="s">
        <v>17</v>
      </c>
      <c r="N3" s="7" t="s">
        <v>18</v>
      </c>
      <c r="O3" s="7" t="s">
        <v>19</v>
      </c>
      <c r="P3" s="3" t="s">
        <v>20</v>
      </c>
      <c r="Q3" s="3" t="s">
        <v>21</v>
      </c>
      <c r="R3" s="8" t="s">
        <v>22</v>
      </c>
      <c r="S3" s="8" t="s">
        <v>23</v>
      </c>
      <c r="T3" s="3" t="s">
        <v>7</v>
      </c>
      <c r="U3" s="3" t="s">
        <v>24</v>
      </c>
      <c r="V3" s="3" t="s">
        <v>25</v>
      </c>
      <c r="W3" s="3" t="s">
        <v>14</v>
      </c>
      <c r="X3" s="3" t="s">
        <v>15</v>
      </c>
      <c r="Y3" s="3" t="s">
        <v>26</v>
      </c>
      <c r="Z3" s="3" t="s">
        <v>27</v>
      </c>
      <c r="AA3" s="3" t="s">
        <v>13</v>
      </c>
      <c r="AB3" s="9" t="s">
        <v>28</v>
      </c>
      <c r="AC3" s="3" t="s">
        <v>29</v>
      </c>
      <c r="AD3" s="4" t="s">
        <v>30</v>
      </c>
      <c r="AE3" s="3" t="s">
        <v>31</v>
      </c>
      <c r="AF3" s="3" t="s">
        <v>32</v>
      </c>
    </row>
    <row r="4" spans="1:32" ht="57" customHeight="1" x14ac:dyDescent="0.25">
      <c r="A4" s="120" t="s">
        <v>593</v>
      </c>
      <c r="B4" s="146" t="s">
        <v>594</v>
      </c>
      <c r="C4" s="120" t="s">
        <v>595</v>
      </c>
      <c r="D4" s="120" t="s">
        <v>596</v>
      </c>
      <c r="E4" s="85">
        <v>132150000</v>
      </c>
      <c r="F4" s="48" t="s">
        <v>597</v>
      </c>
      <c r="G4" s="12" t="s">
        <v>598</v>
      </c>
      <c r="H4" s="12">
        <v>0</v>
      </c>
      <c r="I4" s="12">
        <v>2</v>
      </c>
      <c r="J4" s="12" t="s">
        <v>39</v>
      </c>
      <c r="K4" s="12" t="s">
        <v>40</v>
      </c>
      <c r="L4" s="63" t="s">
        <v>599</v>
      </c>
      <c r="M4" s="64">
        <v>0</v>
      </c>
      <c r="N4" s="12">
        <f t="shared" ref="N4:N17" si="0">IF((M4/I4)&gt;1,1,M4/I4)</f>
        <v>0</v>
      </c>
      <c r="O4" s="81">
        <f>AVERAGE(N4:N5)</f>
        <v>0</v>
      </c>
      <c r="P4" s="81"/>
      <c r="Q4" s="12">
        <f t="shared" ref="Q4:Q17" si="1">0</f>
        <v>0</v>
      </c>
      <c r="R4" s="81"/>
      <c r="S4" s="81"/>
      <c r="T4" s="81" t="s">
        <v>600</v>
      </c>
      <c r="U4" s="81">
        <v>350209400</v>
      </c>
      <c r="V4" s="81" t="s">
        <v>601</v>
      </c>
      <c r="W4" s="81" t="s">
        <v>88</v>
      </c>
      <c r="X4" s="81" t="s">
        <v>40</v>
      </c>
      <c r="Y4" s="81">
        <v>0</v>
      </c>
      <c r="Z4" s="81">
        <v>1</v>
      </c>
      <c r="AA4" s="81">
        <v>0.25</v>
      </c>
      <c r="AB4" s="84">
        <v>0</v>
      </c>
      <c r="AC4" s="83">
        <f>IF((AB4/Z4)&gt;1,1,AB4/Z4)</f>
        <v>0</v>
      </c>
      <c r="AD4" s="85">
        <f>E4</f>
        <v>132150000</v>
      </c>
      <c r="AE4" s="81">
        <f>SUM(Q4:Q5)</f>
        <v>0</v>
      </c>
      <c r="AF4" s="83">
        <f>IF((AE4/AD4)&gt;1,1,AE4/AD4)</f>
        <v>0</v>
      </c>
    </row>
    <row r="5" spans="1:32" ht="57" customHeight="1" x14ac:dyDescent="0.25">
      <c r="A5" s="104"/>
      <c r="B5" s="82"/>
      <c r="C5" s="82"/>
      <c r="D5" s="82"/>
      <c r="E5" s="82"/>
      <c r="F5" s="48" t="s">
        <v>602</v>
      </c>
      <c r="G5" s="12" t="s">
        <v>603</v>
      </c>
      <c r="H5" s="12">
        <v>0</v>
      </c>
      <c r="I5" s="12">
        <v>0.5</v>
      </c>
      <c r="J5" s="12" t="s">
        <v>39</v>
      </c>
      <c r="K5" s="12" t="s">
        <v>40</v>
      </c>
      <c r="L5" s="63" t="s">
        <v>599</v>
      </c>
      <c r="M5" s="64">
        <v>0</v>
      </c>
      <c r="N5" s="12">
        <f t="shared" si="0"/>
        <v>0</v>
      </c>
      <c r="O5" s="82"/>
      <c r="P5" s="82"/>
      <c r="Q5" s="12">
        <f t="shared" si="1"/>
        <v>0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</row>
    <row r="6" spans="1:32" ht="57" customHeight="1" x14ac:dyDescent="0.25">
      <c r="A6" s="104"/>
      <c r="B6" s="113" t="s">
        <v>604</v>
      </c>
      <c r="C6" s="81" t="s">
        <v>605</v>
      </c>
      <c r="D6" s="81" t="s">
        <v>606</v>
      </c>
      <c r="E6" s="85">
        <v>50000000</v>
      </c>
      <c r="F6" s="48" t="s">
        <v>607</v>
      </c>
      <c r="G6" s="12" t="s">
        <v>608</v>
      </c>
      <c r="H6" s="12">
        <v>0</v>
      </c>
      <c r="I6" s="12">
        <v>1</v>
      </c>
      <c r="J6" s="12" t="s">
        <v>39</v>
      </c>
      <c r="K6" s="12" t="s">
        <v>40</v>
      </c>
      <c r="L6" s="63" t="s">
        <v>599</v>
      </c>
      <c r="M6" s="64">
        <v>0</v>
      </c>
      <c r="N6" s="12">
        <f t="shared" si="0"/>
        <v>0</v>
      </c>
      <c r="O6" s="81">
        <f>AVERAGE(N6:N7)</f>
        <v>0</v>
      </c>
      <c r="P6" s="81"/>
      <c r="Q6" s="12">
        <f t="shared" si="1"/>
        <v>0</v>
      </c>
      <c r="R6" s="81"/>
      <c r="S6" s="81"/>
      <c r="T6" s="81" t="s">
        <v>609</v>
      </c>
      <c r="U6" s="81">
        <v>350211300</v>
      </c>
      <c r="V6" s="81" t="s">
        <v>610</v>
      </c>
      <c r="W6" s="115" t="s">
        <v>39</v>
      </c>
      <c r="X6" s="81" t="s">
        <v>40</v>
      </c>
      <c r="Y6" s="115">
        <v>0</v>
      </c>
      <c r="Z6" s="81">
        <v>2</v>
      </c>
      <c r="AA6" s="81">
        <v>1</v>
      </c>
      <c r="AB6" s="84">
        <v>0</v>
      </c>
      <c r="AC6" s="83">
        <f>IF((AB6/Z6)&gt;1,1,AB6/Z6)</f>
        <v>0</v>
      </c>
      <c r="AD6" s="85">
        <f>E6</f>
        <v>50000000</v>
      </c>
      <c r="AE6" s="81">
        <f>SUM(Q6:Q7)</f>
        <v>0</v>
      </c>
      <c r="AF6" s="83">
        <f>IF((AE6/AD6)&gt;1,1,AE6/AD6)</f>
        <v>0</v>
      </c>
    </row>
    <row r="7" spans="1:32" ht="57" customHeight="1" x14ac:dyDescent="0.25">
      <c r="A7" s="104"/>
      <c r="B7" s="82"/>
      <c r="C7" s="82"/>
      <c r="D7" s="82"/>
      <c r="E7" s="82"/>
      <c r="F7" s="48" t="s">
        <v>611</v>
      </c>
      <c r="G7" s="12" t="s">
        <v>612</v>
      </c>
      <c r="H7" s="12">
        <v>0</v>
      </c>
      <c r="I7" s="12">
        <v>2</v>
      </c>
      <c r="J7" s="12" t="s">
        <v>39</v>
      </c>
      <c r="K7" s="12" t="s">
        <v>40</v>
      </c>
      <c r="L7" s="63" t="s">
        <v>599</v>
      </c>
      <c r="M7" s="64">
        <v>0</v>
      </c>
      <c r="N7" s="12">
        <f t="shared" si="0"/>
        <v>0</v>
      </c>
      <c r="O7" s="82"/>
      <c r="P7" s="82"/>
      <c r="Q7" s="12">
        <f t="shared" si="1"/>
        <v>0</v>
      </c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</row>
    <row r="8" spans="1:32" ht="57" customHeight="1" x14ac:dyDescent="0.25">
      <c r="A8" s="104"/>
      <c r="B8" s="113" t="s">
        <v>613</v>
      </c>
      <c r="C8" s="81" t="s">
        <v>614</v>
      </c>
      <c r="D8" s="81" t="s">
        <v>615</v>
      </c>
      <c r="E8" s="85">
        <v>300000000</v>
      </c>
      <c r="F8" s="65" t="s">
        <v>616</v>
      </c>
      <c r="G8" s="12" t="s">
        <v>617</v>
      </c>
      <c r="H8" s="12">
        <v>0</v>
      </c>
      <c r="I8" s="12">
        <v>1</v>
      </c>
      <c r="J8" s="12" t="s">
        <v>39</v>
      </c>
      <c r="K8" s="12" t="s">
        <v>40</v>
      </c>
      <c r="L8" s="63" t="s">
        <v>599</v>
      </c>
      <c r="M8" s="64">
        <v>0</v>
      </c>
      <c r="N8" s="12">
        <f t="shared" si="0"/>
        <v>0</v>
      </c>
      <c r="O8" s="81">
        <f>AVERAGE(N8:N9)</f>
        <v>0</v>
      </c>
      <c r="P8" s="81"/>
      <c r="Q8" s="12">
        <f t="shared" si="1"/>
        <v>0</v>
      </c>
      <c r="R8" s="81"/>
      <c r="S8" s="81"/>
      <c r="T8" s="81" t="s">
        <v>618</v>
      </c>
      <c r="U8" s="81">
        <v>350200301</v>
      </c>
      <c r="V8" s="81" t="s">
        <v>619</v>
      </c>
      <c r="W8" s="148" t="s">
        <v>620</v>
      </c>
      <c r="X8" s="81" t="s">
        <v>40</v>
      </c>
      <c r="Y8" s="115">
        <v>1</v>
      </c>
      <c r="Z8" s="81">
        <v>1</v>
      </c>
      <c r="AA8" s="81">
        <v>1</v>
      </c>
      <c r="AB8" s="84">
        <v>0</v>
      </c>
      <c r="AC8" s="83">
        <f>IF((AB8/Z8)&gt;1,1,AB8/Z8)</f>
        <v>0</v>
      </c>
      <c r="AD8" s="85">
        <f>E8</f>
        <v>300000000</v>
      </c>
      <c r="AE8" s="81">
        <f>SUM(Q8:Q9)</f>
        <v>0</v>
      </c>
      <c r="AF8" s="83">
        <f>IF((AE8/AD8)&gt;1,1,AE8/AD8)</f>
        <v>0</v>
      </c>
    </row>
    <row r="9" spans="1:32" ht="57" customHeight="1" x14ac:dyDescent="0.25">
      <c r="A9" s="104"/>
      <c r="B9" s="82"/>
      <c r="C9" s="82"/>
      <c r="D9" s="82"/>
      <c r="E9" s="82"/>
      <c r="F9" s="65" t="s">
        <v>621</v>
      </c>
      <c r="G9" s="12" t="s">
        <v>622</v>
      </c>
      <c r="H9" s="12">
        <v>0</v>
      </c>
      <c r="I9" s="12">
        <v>1</v>
      </c>
      <c r="J9" s="12" t="s">
        <v>39</v>
      </c>
      <c r="K9" s="12" t="s">
        <v>40</v>
      </c>
      <c r="L9" s="63" t="s">
        <v>599</v>
      </c>
      <c r="M9" s="64">
        <v>0</v>
      </c>
      <c r="N9" s="12">
        <f t="shared" si="0"/>
        <v>0</v>
      </c>
      <c r="O9" s="82"/>
      <c r="P9" s="82"/>
      <c r="Q9" s="12">
        <f t="shared" si="1"/>
        <v>0</v>
      </c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</row>
    <row r="10" spans="1:32" ht="57" customHeight="1" x14ac:dyDescent="0.25">
      <c r="A10" s="104"/>
      <c r="B10" s="113" t="s">
        <v>623</v>
      </c>
      <c r="C10" s="81" t="s">
        <v>624</v>
      </c>
      <c r="D10" s="81" t="s">
        <v>625</v>
      </c>
      <c r="E10" s="85">
        <v>147440780</v>
      </c>
      <c r="F10" s="48" t="s">
        <v>626</v>
      </c>
      <c r="G10" s="12" t="s">
        <v>617</v>
      </c>
      <c r="H10" s="12">
        <v>0</v>
      </c>
      <c r="I10" s="12">
        <v>0.5</v>
      </c>
      <c r="J10" s="12" t="s">
        <v>39</v>
      </c>
      <c r="K10" s="12" t="s">
        <v>40</v>
      </c>
      <c r="L10" s="12" t="s">
        <v>599</v>
      </c>
      <c r="M10" s="64">
        <v>0</v>
      </c>
      <c r="N10" s="12">
        <f t="shared" si="0"/>
        <v>0</v>
      </c>
      <c r="O10" s="81">
        <f>AVERAGE(N10:N11)</f>
        <v>0</v>
      </c>
      <c r="P10" s="81"/>
      <c r="Q10" s="12">
        <f t="shared" si="1"/>
        <v>0</v>
      </c>
      <c r="R10" s="81"/>
      <c r="S10" s="81"/>
      <c r="T10" s="81" t="s">
        <v>627</v>
      </c>
      <c r="U10" s="81">
        <v>359906801</v>
      </c>
      <c r="V10" s="81" t="s">
        <v>80</v>
      </c>
      <c r="W10" s="115" t="s">
        <v>39</v>
      </c>
      <c r="X10" s="81" t="s">
        <v>40</v>
      </c>
      <c r="Y10" s="115">
        <v>0</v>
      </c>
      <c r="Z10" s="81">
        <v>1</v>
      </c>
      <c r="AA10" s="81">
        <v>0.25</v>
      </c>
      <c r="AB10" s="84">
        <v>0</v>
      </c>
      <c r="AC10" s="83">
        <f>IF((AB10/Z10)&gt;1,1,AB10/Z10)</f>
        <v>0</v>
      </c>
      <c r="AD10" s="85">
        <f>E10</f>
        <v>147440780</v>
      </c>
      <c r="AE10" s="81">
        <f>SUM(Q10:Q11)</f>
        <v>0</v>
      </c>
      <c r="AF10" s="83">
        <f>IF((AE10/AD10)&gt;1,1,AE10/AD10)</f>
        <v>0</v>
      </c>
    </row>
    <row r="11" spans="1:32" ht="57" customHeight="1" x14ac:dyDescent="0.25">
      <c r="A11" s="82"/>
      <c r="B11" s="82"/>
      <c r="C11" s="82"/>
      <c r="D11" s="82"/>
      <c r="E11" s="82"/>
      <c r="F11" s="48" t="s">
        <v>628</v>
      </c>
      <c r="G11" s="12" t="s">
        <v>617</v>
      </c>
      <c r="H11" s="12">
        <v>0</v>
      </c>
      <c r="I11" s="21">
        <v>0.5</v>
      </c>
      <c r="J11" s="12" t="s">
        <v>39</v>
      </c>
      <c r="K11" s="12" t="s">
        <v>40</v>
      </c>
      <c r="L11" s="12" t="s">
        <v>599</v>
      </c>
      <c r="M11" s="64">
        <v>0</v>
      </c>
      <c r="N11" s="12">
        <f t="shared" si="0"/>
        <v>0</v>
      </c>
      <c r="O11" s="82"/>
      <c r="P11" s="82"/>
      <c r="Q11" s="12">
        <f t="shared" si="1"/>
        <v>0</v>
      </c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</row>
    <row r="12" spans="1:32" ht="57" customHeight="1" x14ac:dyDescent="0.25">
      <c r="A12" s="81" t="s">
        <v>629</v>
      </c>
      <c r="B12" s="113" t="s">
        <v>630</v>
      </c>
      <c r="C12" s="81" t="s">
        <v>631</v>
      </c>
      <c r="D12" s="81" t="s">
        <v>632</v>
      </c>
      <c r="E12" s="85">
        <v>19000000</v>
      </c>
      <c r="F12" s="48" t="s">
        <v>633</v>
      </c>
      <c r="G12" s="12" t="s">
        <v>608</v>
      </c>
      <c r="H12" s="12">
        <v>0</v>
      </c>
      <c r="I12" s="12">
        <v>1</v>
      </c>
      <c r="J12" s="12" t="s">
        <v>39</v>
      </c>
      <c r="K12" s="12" t="s">
        <v>422</v>
      </c>
      <c r="L12" s="12" t="s">
        <v>171</v>
      </c>
      <c r="M12" s="64">
        <v>0</v>
      </c>
      <c r="N12" s="12">
        <f t="shared" si="0"/>
        <v>0</v>
      </c>
      <c r="O12" s="81">
        <f>AVERAGE(N12:N13)</f>
        <v>0</v>
      </c>
      <c r="P12" s="81"/>
      <c r="Q12" s="12">
        <f t="shared" si="1"/>
        <v>0</v>
      </c>
      <c r="R12" s="81"/>
      <c r="S12" s="81"/>
      <c r="T12" s="81" t="s">
        <v>634</v>
      </c>
      <c r="U12" s="81">
        <v>230200300</v>
      </c>
      <c r="V12" s="81" t="s">
        <v>635</v>
      </c>
      <c r="W12" s="115" t="s">
        <v>88</v>
      </c>
      <c r="X12" s="81" t="s">
        <v>40</v>
      </c>
      <c r="Y12" s="115">
        <v>0</v>
      </c>
      <c r="Z12" s="81">
        <v>4</v>
      </c>
      <c r="AA12" s="81">
        <v>1</v>
      </c>
      <c r="AB12" s="84">
        <v>0</v>
      </c>
      <c r="AC12" s="83">
        <f>IF((AB12/Z12)&gt;1,1,AB12/Z12)</f>
        <v>0</v>
      </c>
      <c r="AD12" s="85">
        <f>E12</f>
        <v>19000000</v>
      </c>
      <c r="AE12" s="81">
        <f>SUM(Q12:Q13)</f>
        <v>0</v>
      </c>
      <c r="AF12" s="83">
        <f>IF((AE12/AD12)&gt;1,1,AE12/AD12)</f>
        <v>0</v>
      </c>
    </row>
    <row r="13" spans="1:32" ht="57" customHeight="1" x14ac:dyDescent="0.25">
      <c r="A13" s="104"/>
      <c r="B13" s="82"/>
      <c r="C13" s="82"/>
      <c r="D13" s="82"/>
      <c r="E13" s="82"/>
      <c r="F13" s="48" t="s">
        <v>636</v>
      </c>
      <c r="G13" s="12" t="s">
        <v>635</v>
      </c>
      <c r="H13" s="12">
        <v>0</v>
      </c>
      <c r="I13" s="12">
        <v>1</v>
      </c>
      <c r="J13" s="12" t="s">
        <v>39</v>
      </c>
      <c r="K13" s="12" t="s">
        <v>422</v>
      </c>
      <c r="L13" s="12" t="s">
        <v>171</v>
      </c>
      <c r="M13" s="64">
        <v>0</v>
      </c>
      <c r="N13" s="12">
        <f t="shared" si="0"/>
        <v>0</v>
      </c>
      <c r="O13" s="82"/>
      <c r="P13" s="82"/>
      <c r="Q13" s="12">
        <f t="shared" si="1"/>
        <v>0</v>
      </c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</row>
    <row r="14" spans="1:32" ht="57" customHeight="1" x14ac:dyDescent="0.25">
      <c r="A14" s="104"/>
      <c r="B14" s="113" t="s">
        <v>637</v>
      </c>
      <c r="C14" s="81" t="s">
        <v>638</v>
      </c>
      <c r="D14" s="81" t="s">
        <v>639</v>
      </c>
      <c r="E14" s="85">
        <v>55000000</v>
      </c>
      <c r="F14" s="66" t="s">
        <v>640</v>
      </c>
      <c r="G14" s="12" t="s">
        <v>641</v>
      </c>
      <c r="H14" s="12">
        <v>0</v>
      </c>
      <c r="I14" s="12">
        <v>30</v>
      </c>
      <c r="J14" s="12" t="s">
        <v>39</v>
      </c>
      <c r="K14" s="12" t="s">
        <v>422</v>
      </c>
      <c r="L14" s="12" t="s">
        <v>642</v>
      </c>
      <c r="M14" s="64">
        <v>0</v>
      </c>
      <c r="N14" s="12">
        <f t="shared" si="0"/>
        <v>0</v>
      </c>
      <c r="O14" s="81">
        <f>AVERAGE(N14:N15)</f>
        <v>0</v>
      </c>
      <c r="P14" s="81"/>
      <c r="Q14" s="12">
        <f t="shared" si="1"/>
        <v>0</v>
      </c>
      <c r="R14" s="81"/>
      <c r="S14" s="81"/>
      <c r="T14" s="81" t="s">
        <v>643</v>
      </c>
      <c r="U14" s="81">
        <v>350202000</v>
      </c>
      <c r="V14" s="81" t="s">
        <v>644</v>
      </c>
      <c r="W14" s="115" t="s">
        <v>39</v>
      </c>
      <c r="X14" s="81" t="s">
        <v>40</v>
      </c>
      <c r="Y14" s="115">
        <v>0</v>
      </c>
      <c r="Z14" s="81">
        <v>160</v>
      </c>
      <c r="AA14" s="81">
        <v>40</v>
      </c>
      <c r="AB14" s="84">
        <v>0</v>
      </c>
      <c r="AC14" s="83">
        <f>IF((AB14/Z14)&gt;1,1,AB14/Z14)</f>
        <v>0</v>
      </c>
      <c r="AD14" s="85">
        <f>E14</f>
        <v>55000000</v>
      </c>
      <c r="AE14" s="81">
        <f>SUM(Q14:Q15)</f>
        <v>0</v>
      </c>
      <c r="AF14" s="83">
        <f>IF((AE14/AD14)&gt;1,1,AE14/AD14)</f>
        <v>0</v>
      </c>
    </row>
    <row r="15" spans="1:32" ht="57" customHeight="1" x14ac:dyDescent="0.25">
      <c r="A15" s="104"/>
      <c r="B15" s="82"/>
      <c r="C15" s="82"/>
      <c r="D15" s="82"/>
      <c r="E15" s="82"/>
      <c r="F15" s="66" t="s">
        <v>645</v>
      </c>
      <c r="G15" s="12" t="s">
        <v>641</v>
      </c>
      <c r="H15" s="12">
        <v>0</v>
      </c>
      <c r="I15" s="12">
        <v>36</v>
      </c>
      <c r="J15" s="12" t="s">
        <v>39</v>
      </c>
      <c r="K15" s="12" t="s">
        <v>422</v>
      </c>
      <c r="L15" s="12" t="s">
        <v>642</v>
      </c>
      <c r="M15" s="64">
        <v>0</v>
      </c>
      <c r="N15" s="12">
        <f t="shared" si="0"/>
        <v>0</v>
      </c>
      <c r="O15" s="82"/>
      <c r="P15" s="82"/>
      <c r="Q15" s="12">
        <f t="shared" si="1"/>
        <v>0</v>
      </c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</row>
    <row r="16" spans="1:32" ht="57" customHeight="1" x14ac:dyDescent="0.25">
      <c r="A16" s="104"/>
      <c r="B16" s="113" t="s">
        <v>646</v>
      </c>
      <c r="C16" s="81" t="s">
        <v>647</v>
      </c>
      <c r="D16" s="81" t="s">
        <v>648</v>
      </c>
      <c r="E16" s="85">
        <v>160000000</v>
      </c>
      <c r="F16" s="48" t="s">
        <v>649</v>
      </c>
      <c r="G16" s="12" t="s">
        <v>650</v>
      </c>
      <c r="H16" s="12">
        <v>0</v>
      </c>
      <c r="I16" s="12">
        <v>1</v>
      </c>
      <c r="J16" s="12" t="s">
        <v>39</v>
      </c>
      <c r="K16" s="12" t="s">
        <v>422</v>
      </c>
      <c r="L16" s="12" t="s">
        <v>171</v>
      </c>
      <c r="M16" s="64">
        <v>0</v>
      </c>
      <c r="N16" s="12">
        <f t="shared" si="0"/>
        <v>0</v>
      </c>
      <c r="O16" s="81">
        <f>AVERAGE(N16:N17)</f>
        <v>0</v>
      </c>
      <c r="P16" s="81"/>
      <c r="Q16" s="12">
        <f t="shared" si="1"/>
        <v>0</v>
      </c>
      <c r="R16" s="81"/>
      <c r="S16" s="81"/>
      <c r="T16" s="81" t="s">
        <v>651</v>
      </c>
      <c r="U16" s="81">
        <v>230102700</v>
      </c>
      <c r="V16" s="81" t="s">
        <v>652</v>
      </c>
      <c r="W16" s="67" t="s">
        <v>39</v>
      </c>
      <c r="X16" s="81" t="s">
        <v>40</v>
      </c>
      <c r="Y16" s="115">
        <v>0</v>
      </c>
      <c r="Z16" s="81">
        <v>200</v>
      </c>
      <c r="AA16" s="81">
        <v>50</v>
      </c>
      <c r="AB16" s="84">
        <v>0</v>
      </c>
      <c r="AC16" s="83">
        <f>IF((AB16/Z16)&gt;1,1,AB16/Z16)</f>
        <v>0</v>
      </c>
      <c r="AD16" s="85">
        <f>E16</f>
        <v>160000000</v>
      </c>
      <c r="AE16" s="81">
        <f>SUM(Q16:Q17)</f>
        <v>0</v>
      </c>
      <c r="AF16" s="83">
        <f>IF((AE16/AD16)&gt;1,1,AE16/AD16)</f>
        <v>0</v>
      </c>
    </row>
    <row r="17" spans="1:32" ht="57" customHeight="1" x14ac:dyDescent="0.25">
      <c r="A17" s="82"/>
      <c r="B17" s="82"/>
      <c r="C17" s="82"/>
      <c r="D17" s="82"/>
      <c r="E17" s="82"/>
      <c r="F17" s="48" t="s">
        <v>653</v>
      </c>
      <c r="G17" s="12" t="s">
        <v>654</v>
      </c>
      <c r="H17" s="12">
        <v>0</v>
      </c>
      <c r="I17" s="12">
        <v>80</v>
      </c>
      <c r="J17" s="12" t="s">
        <v>39</v>
      </c>
      <c r="K17" s="12" t="s">
        <v>422</v>
      </c>
      <c r="L17" s="12" t="s">
        <v>171</v>
      </c>
      <c r="M17" s="64">
        <v>0</v>
      </c>
      <c r="N17" s="12">
        <f t="shared" si="0"/>
        <v>0</v>
      </c>
      <c r="O17" s="82"/>
      <c r="P17" s="82"/>
      <c r="Q17" s="12">
        <f t="shared" si="1"/>
        <v>0</v>
      </c>
      <c r="R17" s="82"/>
      <c r="S17" s="82"/>
      <c r="T17" s="82"/>
      <c r="U17" s="82"/>
      <c r="V17" s="82"/>
      <c r="W17" s="68"/>
      <c r="X17" s="82"/>
      <c r="Y17" s="82"/>
      <c r="Z17" s="82"/>
      <c r="AA17" s="82"/>
      <c r="AB17" s="82"/>
      <c r="AC17" s="82"/>
      <c r="AD17" s="82"/>
      <c r="AE17" s="82"/>
      <c r="AF17" s="82"/>
    </row>
    <row r="18" spans="1:32" ht="57" customHeight="1" x14ac:dyDescent="0.25">
      <c r="A18" s="34"/>
      <c r="B18" s="34"/>
      <c r="C18" s="35"/>
      <c r="D18" s="36"/>
      <c r="E18" s="34"/>
      <c r="F18" s="34"/>
      <c r="G18" s="37"/>
      <c r="H18" s="34"/>
      <c r="I18" s="34"/>
      <c r="J18" s="34"/>
      <c r="K18" s="34"/>
      <c r="L18" s="34"/>
      <c r="M18" s="38" t="s">
        <v>282</v>
      </c>
      <c r="N18" s="39">
        <f t="shared" ref="N18:O18" si="2">AVERAGE(N4:N17)</f>
        <v>0</v>
      </c>
      <c r="O18" s="39">
        <f t="shared" si="2"/>
        <v>0</v>
      </c>
      <c r="P18" s="38" t="s">
        <v>282</v>
      </c>
      <c r="Q18" s="61">
        <f>SUM(Q4:Q17)</f>
        <v>0</v>
      </c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8" t="s">
        <v>282</v>
      </c>
      <c r="AC18" s="39">
        <f>AVERAGE(AC4:AC17)</f>
        <v>0</v>
      </c>
      <c r="AD18" s="41" t="s">
        <v>282</v>
      </c>
      <c r="AE18" s="40">
        <f>SUM(AE4:AE17)</f>
        <v>0</v>
      </c>
      <c r="AF18" s="39">
        <f>AVERAGE(AF4:AF17)</f>
        <v>0</v>
      </c>
    </row>
    <row r="19" spans="1:32" ht="57" customHeight="1" x14ac:dyDescent="0.25">
      <c r="A19" s="56"/>
      <c r="B19" s="56"/>
      <c r="C19" s="56"/>
      <c r="D19" s="56"/>
      <c r="E19" s="57"/>
      <c r="F19" s="58"/>
      <c r="G19" s="56"/>
      <c r="H19" s="56"/>
      <c r="I19" s="59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</row>
    <row r="20" spans="1:32" ht="57" customHeight="1" x14ac:dyDescent="0.25">
      <c r="A20" s="56"/>
      <c r="B20" s="56"/>
      <c r="C20" s="56"/>
      <c r="D20" s="56"/>
      <c r="E20" s="57"/>
      <c r="F20" s="58"/>
      <c r="G20" s="56"/>
      <c r="H20" s="56"/>
      <c r="I20" s="59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</row>
    <row r="21" spans="1:32" ht="57" customHeight="1" x14ac:dyDescent="0.25">
      <c r="A21" s="56"/>
      <c r="B21" s="56"/>
      <c r="C21" s="56"/>
      <c r="D21" s="56"/>
      <c r="E21" s="57"/>
      <c r="F21" s="58"/>
      <c r="G21" s="56"/>
      <c r="H21" s="56"/>
      <c r="I21" s="59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</row>
    <row r="22" spans="1:32" ht="57" customHeight="1" x14ac:dyDescent="0.25">
      <c r="A22" s="56"/>
      <c r="B22" s="56"/>
      <c r="C22" s="56"/>
      <c r="D22" s="56"/>
      <c r="E22" s="57"/>
      <c r="F22" s="58"/>
      <c r="G22" s="56"/>
      <c r="H22" s="56"/>
      <c r="I22" s="59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</row>
    <row r="23" spans="1:32" ht="57" customHeight="1" x14ac:dyDescent="0.25">
      <c r="A23" s="56"/>
      <c r="B23" s="56"/>
      <c r="C23" s="56"/>
      <c r="D23" s="56"/>
      <c r="E23" s="57"/>
      <c r="F23" s="58"/>
      <c r="G23" s="56"/>
      <c r="H23" s="56"/>
      <c r="I23" s="59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</row>
    <row r="24" spans="1:32" ht="57" customHeight="1" x14ac:dyDescent="0.25">
      <c r="A24" s="56"/>
      <c r="B24" s="56"/>
      <c r="C24" s="56"/>
      <c r="D24" s="56"/>
      <c r="E24" s="57"/>
      <c r="F24" s="58"/>
      <c r="G24" s="56"/>
      <c r="H24" s="56"/>
      <c r="I24" s="59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</row>
    <row r="25" spans="1:32" ht="57" customHeight="1" x14ac:dyDescent="0.25">
      <c r="A25" s="56"/>
      <c r="B25" s="56"/>
      <c r="C25" s="56"/>
      <c r="D25" s="56"/>
      <c r="E25" s="57"/>
      <c r="F25" s="58"/>
      <c r="G25" s="56"/>
      <c r="H25" s="56"/>
      <c r="I25" s="59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</row>
    <row r="26" spans="1:32" ht="57" customHeight="1" x14ac:dyDescent="0.25">
      <c r="A26" s="56"/>
      <c r="B26" s="56"/>
      <c r="C26" s="56"/>
      <c r="D26" s="56"/>
      <c r="E26" s="57"/>
      <c r="F26" s="58"/>
      <c r="G26" s="56"/>
      <c r="H26" s="56"/>
      <c r="I26" s="59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</row>
    <row r="27" spans="1:32" ht="57" customHeight="1" x14ac:dyDescent="0.25">
      <c r="A27" s="56"/>
      <c r="B27" s="56"/>
      <c r="C27" s="56"/>
      <c r="D27" s="56"/>
      <c r="E27" s="57"/>
      <c r="F27" s="58"/>
      <c r="G27" s="56"/>
      <c r="H27" s="56"/>
      <c r="I27" s="59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</row>
    <row r="28" spans="1:32" ht="57" customHeight="1" x14ac:dyDescent="0.25">
      <c r="A28" s="56"/>
      <c r="B28" s="56"/>
      <c r="C28" s="56"/>
      <c r="D28" s="56"/>
      <c r="E28" s="57"/>
      <c r="F28" s="58"/>
      <c r="G28" s="56"/>
      <c r="H28" s="56"/>
      <c r="I28" s="59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</row>
    <row r="29" spans="1:32" ht="57" customHeight="1" x14ac:dyDescent="0.25">
      <c r="A29" s="56"/>
      <c r="B29" s="56"/>
      <c r="C29" s="56"/>
      <c r="D29" s="56"/>
      <c r="E29" s="57"/>
      <c r="F29" s="58"/>
      <c r="G29" s="56"/>
      <c r="H29" s="56"/>
      <c r="I29" s="59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</row>
    <row r="30" spans="1:32" ht="57" customHeight="1" x14ac:dyDescent="0.25">
      <c r="A30" s="56"/>
      <c r="B30" s="56"/>
      <c r="C30" s="56"/>
      <c r="D30" s="56"/>
      <c r="E30" s="57"/>
      <c r="F30" s="58"/>
      <c r="G30" s="56"/>
      <c r="H30" s="56"/>
      <c r="I30" s="59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</row>
    <row r="31" spans="1:32" ht="57" customHeight="1" x14ac:dyDescent="0.25">
      <c r="A31" s="56"/>
      <c r="B31" s="56"/>
      <c r="C31" s="56"/>
      <c r="D31" s="56"/>
      <c r="E31" s="57"/>
      <c r="F31" s="58"/>
      <c r="G31" s="56"/>
      <c r="H31" s="56"/>
      <c r="I31" s="59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</row>
    <row r="32" spans="1:32" ht="57" customHeight="1" x14ac:dyDescent="0.25">
      <c r="A32" s="56"/>
      <c r="B32" s="56"/>
      <c r="C32" s="56"/>
      <c r="D32" s="56"/>
      <c r="E32" s="57"/>
      <c r="F32" s="58"/>
      <c r="G32" s="56"/>
      <c r="H32" s="56"/>
      <c r="I32" s="59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</row>
    <row r="33" spans="1:32" ht="57" customHeight="1" x14ac:dyDescent="0.25">
      <c r="A33" s="56"/>
      <c r="B33" s="56"/>
      <c r="C33" s="56"/>
      <c r="D33" s="56"/>
      <c r="E33" s="57"/>
      <c r="F33" s="58"/>
      <c r="G33" s="56"/>
      <c r="H33" s="56"/>
      <c r="I33" s="59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ht="57" customHeight="1" x14ac:dyDescent="0.25">
      <c r="A34" s="56"/>
      <c r="B34" s="56"/>
      <c r="C34" s="56"/>
      <c r="D34" s="56"/>
      <c r="E34" s="57"/>
      <c r="F34" s="58"/>
      <c r="G34" s="56"/>
      <c r="H34" s="56"/>
      <c r="I34" s="59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</row>
    <row r="35" spans="1:32" ht="57" customHeight="1" x14ac:dyDescent="0.25">
      <c r="A35" s="56"/>
      <c r="B35" s="56"/>
      <c r="C35" s="56"/>
      <c r="D35" s="56"/>
      <c r="E35" s="57"/>
      <c r="F35" s="58"/>
      <c r="G35" s="56"/>
      <c r="H35" s="56"/>
      <c r="I35" s="59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</row>
    <row r="36" spans="1:32" ht="57" customHeight="1" x14ac:dyDescent="0.25">
      <c r="A36" s="56"/>
      <c r="B36" s="56"/>
      <c r="C36" s="56"/>
      <c r="D36" s="56"/>
      <c r="E36" s="57"/>
      <c r="F36" s="58"/>
      <c r="G36" s="56"/>
      <c r="H36" s="56"/>
      <c r="I36" s="59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</row>
    <row r="37" spans="1:32" ht="57" customHeight="1" x14ac:dyDescent="0.25">
      <c r="A37" s="56"/>
      <c r="B37" s="56"/>
      <c r="C37" s="56"/>
      <c r="D37" s="56"/>
      <c r="E37" s="57"/>
      <c r="F37" s="58"/>
      <c r="G37" s="56"/>
      <c r="H37" s="56"/>
      <c r="I37" s="59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</row>
    <row r="38" spans="1:32" ht="57" customHeight="1" x14ac:dyDescent="0.25">
      <c r="A38" s="56"/>
      <c r="B38" s="56"/>
      <c r="C38" s="56"/>
      <c r="D38" s="56"/>
      <c r="E38" s="57"/>
      <c r="F38" s="58"/>
      <c r="G38" s="56"/>
      <c r="H38" s="56"/>
      <c r="I38" s="59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</row>
    <row r="39" spans="1:32" ht="57" customHeight="1" x14ac:dyDescent="0.25">
      <c r="A39" s="56"/>
      <c r="B39" s="56"/>
      <c r="C39" s="56"/>
      <c r="D39" s="56"/>
      <c r="E39" s="57"/>
      <c r="F39" s="58"/>
      <c r="G39" s="56"/>
      <c r="H39" s="56"/>
      <c r="I39" s="59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</row>
    <row r="40" spans="1:32" ht="57" customHeight="1" x14ac:dyDescent="0.25">
      <c r="A40" s="56"/>
      <c r="B40" s="56"/>
      <c r="C40" s="56"/>
      <c r="D40" s="56"/>
      <c r="E40" s="57"/>
      <c r="F40" s="58"/>
      <c r="G40" s="56"/>
      <c r="H40" s="56"/>
      <c r="I40" s="59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</row>
    <row r="41" spans="1:32" ht="57" customHeight="1" x14ac:dyDescent="0.25">
      <c r="A41" s="56"/>
      <c r="B41" s="56"/>
      <c r="C41" s="56"/>
      <c r="D41" s="56"/>
      <c r="E41" s="57"/>
      <c r="F41" s="58"/>
      <c r="G41" s="56"/>
      <c r="H41" s="56"/>
      <c r="I41" s="59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</row>
    <row r="42" spans="1:32" ht="57" customHeight="1" x14ac:dyDescent="0.25">
      <c r="A42" s="56"/>
      <c r="B42" s="56"/>
      <c r="C42" s="56"/>
      <c r="D42" s="56"/>
      <c r="E42" s="57"/>
      <c r="F42" s="58"/>
      <c r="G42" s="56"/>
      <c r="H42" s="56"/>
      <c r="I42" s="59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</row>
    <row r="43" spans="1:32" ht="57" customHeight="1" x14ac:dyDescent="0.25">
      <c r="A43" s="56"/>
      <c r="B43" s="56"/>
      <c r="C43" s="56"/>
      <c r="D43" s="56"/>
      <c r="E43" s="57"/>
      <c r="F43" s="58"/>
      <c r="G43" s="56"/>
      <c r="H43" s="56"/>
      <c r="I43" s="59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</row>
    <row r="44" spans="1:32" ht="57" customHeight="1" x14ac:dyDescent="0.25">
      <c r="A44" s="56"/>
      <c r="B44" s="56"/>
      <c r="C44" s="56"/>
      <c r="D44" s="56"/>
      <c r="E44" s="57"/>
      <c r="F44" s="58"/>
      <c r="G44" s="56"/>
      <c r="H44" s="56"/>
      <c r="I44" s="59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</row>
    <row r="45" spans="1:32" ht="57" customHeight="1" x14ac:dyDescent="0.25">
      <c r="A45" s="56"/>
      <c r="B45" s="56"/>
      <c r="C45" s="56"/>
      <c r="D45" s="56"/>
      <c r="E45" s="57"/>
      <c r="F45" s="58"/>
      <c r="G45" s="56"/>
      <c r="H45" s="56"/>
      <c r="I45" s="59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</row>
    <row r="46" spans="1:32" ht="57" customHeight="1" x14ac:dyDescent="0.25">
      <c r="A46" s="56"/>
      <c r="B46" s="56"/>
      <c r="C46" s="56"/>
      <c r="D46" s="56"/>
      <c r="E46" s="57"/>
      <c r="F46" s="58"/>
      <c r="G46" s="56"/>
      <c r="H46" s="56"/>
      <c r="I46" s="59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</row>
    <row r="47" spans="1:32" ht="57" customHeight="1" x14ac:dyDescent="0.25">
      <c r="A47" s="56"/>
      <c r="B47" s="56"/>
      <c r="C47" s="56"/>
      <c r="D47" s="56"/>
      <c r="E47" s="57"/>
      <c r="F47" s="58"/>
      <c r="G47" s="56"/>
      <c r="H47" s="56"/>
      <c r="I47" s="59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</row>
    <row r="48" spans="1:32" ht="57" customHeight="1" x14ac:dyDescent="0.25">
      <c r="A48" s="56"/>
      <c r="B48" s="56"/>
      <c r="C48" s="56"/>
      <c r="D48" s="56"/>
      <c r="E48" s="57"/>
      <c r="F48" s="58"/>
      <c r="G48" s="56"/>
      <c r="H48" s="56"/>
      <c r="I48" s="59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</row>
    <row r="49" spans="1:32" ht="57" customHeight="1" x14ac:dyDescent="0.25">
      <c r="A49" s="56"/>
      <c r="B49" s="56"/>
      <c r="C49" s="56"/>
      <c r="D49" s="56"/>
      <c r="E49" s="57"/>
      <c r="F49" s="58"/>
      <c r="G49" s="56"/>
      <c r="H49" s="56"/>
      <c r="I49" s="59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</row>
    <row r="50" spans="1:32" ht="57" customHeight="1" x14ac:dyDescent="0.25">
      <c r="A50" s="56"/>
      <c r="B50" s="56"/>
      <c r="C50" s="56"/>
      <c r="D50" s="56"/>
      <c r="E50" s="57"/>
      <c r="F50" s="58"/>
      <c r="G50" s="56"/>
      <c r="H50" s="56"/>
      <c r="I50" s="59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</row>
    <row r="51" spans="1:32" ht="57" customHeight="1" x14ac:dyDescent="0.25">
      <c r="A51" s="56"/>
      <c r="B51" s="56"/>
      <c r="C51" s="56"/>
      <c r="D51" s="56"/>
      <c r="E51" s="57"/>
      <c r="F51" s="58"/>
      <c r="G51" s="56"/>
      <c r="H51" s="56"/>
      <c r="I51" s="59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</row>
    <row r="52" spans="1:32" ht="57" customHeight="1" x14ac:dyDescent="0.25">
      <c r="A52" s="56"/>
      <c r="B52" s="56"/>
      <c r="C52" s="56"/>
      <c r="D52" s="56"/>
      <c r="E52" s="57"/>
      <c r="F52" s="58"/>
      <c r="G52" s="56"/>
      <c r="H52" s="56"/>
      <c r="I52" s="59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</row>
    <row r="53" spans="1:32" ht="57" customHeight="1" x14ac:dyDescent="0.25">
      <c r="A53" s="56"/>
      <c r="B53" s="56"/>
      <c r="C53" s="56"/>
      <c r="D53" s="56"/>
      <c r="E53" s="57"/>
      <c r="F53" s="58"/>
      <c r="G53" s="56"/>
      <c r="H53" s="56"/>
      <c r="I53" s="59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</row>
    <row r="54" spans="1:32" ht="57" customHeight="1" x14ac:dyDescent="0.25">
      <c r="A54" s="56"/>
      <c r="B54" s="56"/>
      <c r="C54" s="56"/>
      <c r="D54" s="56"/>
      <c r="E54" s="57"/>
      <c r="F54" s="58"/>
      <c r="G54" s="56"/>
      <c r="H54" s="56"/>
      <c r="I54" s="59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</row>
    <row r="55" spans="1:32" ht="57" customHeight="1" x14ac:dyDescent="0.25">
      <c r="A55" s="56"/>
      <c r="B55" s="56"/>
      <c r="C55" s="56"/>
      <c r="D55" s="56"/>
      <c r="E55" s="57"/>
      <c r="F55" s="58"/>
      <c r="G55" s="56"/>
      <c r="H55" s="56"/>
      <c r="I55" s="59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</row>
    <row r="56" spans="1:32" ht="57" customHeight="1" x14ac:dyDescent="0.25">
      <c r="A56" s="56"/>
      <c r="B56" s="56"/>
      <c r="C56" s="56"/>
      <c r="D56" s="56"/>
      <c r="E56" s="57"/>
      <c r="F56" s="58"/>
      <c r="G56" s="56"/>
      <c r="H56" s="56"/>
      <c r="I56" s="59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</row>
    <row r="57" spans="1:32" ht="57" customHeight="1" x14ac:dyDescent="0.25">
      <c r="A57" s="56"/>
      <c r="B57" s="56"/>
      <c r="C57" s="56"/>
      <c r="D57" s="56"/>
      <c r="E57" s="57"/>
      <c r="F57" s="58"/>
      <c r="G57" s="56"/>
      <c r="H57" s="56"/>
      <c r="I57" s="59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</row>
    <row r="58" spans="1:32" ht="57" customHeight="1" x14ac:dyDescent="0.25">
      <c r="A58" s="56"/>
      <c r="B58" s="56"/>
      <c r="C58" s="56"/>
      <c r="D58" s="56"/>
      <c r="E58" s="57"/>
      <c r="F58" s="58"/>
      <c r="G58" s="56"/>
      <c r="H58" s="56"/>
      <c r="I58" s="59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</row>
    <row r="59" spans="1:32" ht="57" customHeight="1" x14ac:dyDescent="0.25">
      <c r="A59" s="56"/>
      <c r="B59" s="56"/>
      <c r="C59" s="56"/>
      <c r="D59" s="56"/>
      <c r="E59" s="57"/>
      <c r="F59" s="58"/>
      <c r="G59" s="56"/>
      <c r="H59" s="56"/>
      <c r="I59" s="59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</row>
    <row r="60" spans="1:32" ht="57" customHeight="1" x14ac:dyDescent="0.25">
      <c r="A60" s="56"/>
      <c r="B60" s="56"/>
      <c r="C60" s="56"/>
      <c r="D60" s="56"/>
      <c r="E60" s="57"/>
      <c r="F60" s="58"/>
      <c r="G60" s="56"/>
      <c r="H60" s="56"/>
      <c r="I60" s="59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</row>
    <row r="61" spans="1:32" ht="57" customHeight="1" x14ac:dyDescent="0.25">
      <c r="A61" s="56"/>
      <c r="B61" s="56"/>
      <c r="C61" s="56"/>
      <c r="D61" s="56"/>
      <c r="E61" s="57"/>
      <c r="F61" s="58"/>
      <c r="G61" s="56"/>
      <c r="H61" s="56"/>
      <c r="I61" s="59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</row>
    <row r="62" spans="1:32" ht="57" customHeight="1" x14ac:dyDescent="0.25">
      <c r="A62" s="56"/>
      <c r="B62" s="56"/>
      <c r="C62" s="56"/>
      <c r="D62" s="56"/>
      <c r="E62" s="57"/>
      <c r="F62" s="58"/>
      <c r="G62" s="56"/>
      <c r="H62" s="56"/>
      <c r="I62" s="59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</row>
    <row r="63" spans="1:32" ht="57" customHeight="1" x14ac:dyDescent="0.25">
      <c r="A63" s="56"/>
      <c r="B63" s="56"/>
      <c r="C63" s="56"/>
      <c r="D63" s="56"/>
      <c r="E63" s="57"/>
      <c r="F63" s="58"/>
      <c r="G63" s="56"/>
      <c r="H63" s="56"/>
      <c r="I63" s="59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</row>
    <row r="64" spans="1:32" ht="57" customHeight="1" x14ac:dyDescent="0.25">
      <c r="A64" s="56"/>
      <c r="B64" s="56"/>
      <c r="C64" s="56"/>
      <c r="D64" s="56"/>
      <c r="E64" s="57"/>
      <c r="F64" s="58"/>
      <c r="G64" s="56"/>
      <c r="H64" s="56"/>
      <c r="I64" s="59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</row>
    <row r="65" spans="1:32" ht="57" customHeight="1" x14ac:dyDescent="0.25">
      <c r="A65" s="56"/>
      <c r="B65" s="56"/>
      <c r="C65" s="56"/>
      <c r="D65" s="56"/>
      <c r="E65" s="57"/>
      <c r="F65" s="58"/>
      <c r="G65" s="56"/>
      <c r="H65" s="56"/>
      <c r="I65" s="59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</row>
    <row r="66" spans="1:32" ht="57" customHeight="1" x14ac:dyDescent="0.25">
      <c r="A66" s="56"/>
      <c r="B66" s="56"/>
      <c r="C66" s="56"/>
      <c r="D66" s="56"/>
      <c r="E66" s="57"/>
      <c r="F66" s="58"/>
      <c r="G66" s="56"/>
      <c r="H66" s="56"/>
      <c r="I66" s="59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</row>
    <row r="67" spans="1:32" ht="57" customHeight="1" x14ac:dyDescent="0.25">
      <c r="A67" s="56"/>
      <c r="B67" s="56"/>
      <c r="C67" s="56"/>
      <c r="D67" s="56"/>
      <c r="E67" s="57"/>
      <c r="F67" s="58"/>
      <c r="G67" s="56"/>
      <c r="H67" s="56"/>
      <c r="I67" s="59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</row>
    <row r="68" spans="1:32" ht="57" customHeight="1" x14ac:dyDescent="0.25">
      <c r="A68" s="56"/>
      <c r="B68" s="56"/>
      <c r="C68" s="56"/>
      <c r="D68" s="56"/>
      <c r="E68" s="57"/>
      <c r="F68" s="58"/>
      <c r="G68" s="56"/>
      <c r="H68" s="56"/>
      <c r="I68" s="59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</row>
    <row r="69" spans="1:32" ht="57" customHeight="1" x14ac:dyDescent="0.25">
      <c r="A69" s="56"/>
      <c r="B69" s="56"/>
      <c r="C69" s="56"/>
      <c r="D69" s="56"/>
      <c r="E69" s="57"/>
      <c r="F69" s="58"/>
      <c r="G69" s="56"/>
      <c r="H69" s="56"/>
      <c r="I69" s="59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</row>
    <row r="70" spans="1:32" ht="57" customHeight="1" x14ac:dyDescent="0.25">
      <c r="A70" s="56"/>
      <c r="B70" s="56"/>
      <c r="C70" s="56"/>
      <c r="D70" s="56"/>
      <c r="E70" s="57"/>
      <c r="F70" s="58"/>
      <c r="G70" s="56"/>
      <c r="H70" s="56"/>
      <c r="I70" s="59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</row>
    <row r="71" spans="1:32" ht="57" customHeight="1" x14ac:dyDescent="0.25">
      <c r="A71" s="56"/>
      <c r="B71" s="56"/>
      <c r="C71" s="56"/>
      <c r="D71" s="56"/>
      <c r="E71" s="57"/>
      <c r="F71" s="58"/>
      <c r="G71" s="56"/>
      <c r="H71" s="56"/>
      <c r="I71" s="59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</row>
    <row r="72" spans="1:32" ht="57" customHeight="1" x14ac:dyDescent="0.25">
      <c r="A72" s="56"/>
      <c r="B72" s="56"/>
      <c r="C72" s="56"/>
      <c r="D72" s="56"/>
      <c r="E72" s="57"/>
      <c r="F72" s="58"/>
      <c r="G72" s="56"/>
      <c r="H72" s="56"/>
      <c r="I72" s="59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</row>
    <row r="73" spans="1:32" ht="57" customHeight="1" x14ac:dyDescent="0.25">
      <c r="A73" s="56"/>
      <c r="B73" s="56"/>
      <c r="C73" s="56"/>
      <c r="D73" s="56"/>
      <c r="E73" s="57"/>
      <c r="F73" s="58"/>
      <c r="G73" s="56"/>
      <c r="H73" s="56"/>
      <c r="I73" s="59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</row>
    <row r="74" spans="1:32" ht="57" customHeight="1" x14ac:dyDescent="0.25">
      <c r="A74" s="56"/>
      <c r="B74" s="56"/>
      <c r="C74" s="56"/>
      <c r="D74" s="56"/>
      <c r="E74" s="57"/>
      <c r="F74" s="58"/>
      <c r="G74" s="56"/>
      <c r="H74" s="56"/>
      <c r="I74" s="59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</row>
    <row r="75" spans="1:32" ht="57" customHeight="1" x14ac:dyDescent="0.25">
      <c r="A75" s="56"/>
      <c r="B75" s="56"/>
      <c r="C75" s="56"/>
      <c r="D75" s="56"/>
      <c r="E75" s="57"/>
      <c r="F75" s="58"/>
      <c r="G75" s="56"/>
      <c r="H75" s="56"/>
      <c r="I75" s="59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</row>
    <row r="76" spans="1:32" ht="57" customHeight="1" x14ac:dyDescent="0.25">
      <c r="A76" s="56"/>
      <c r="B76" s="56"/>
      <c r="C76" s="56"/>
      <c r="D76" s="56"/>
      <c r="E76" s="57"/>
      <c r="F76" s="58"/>
      <c r="G76" s="56"/>
      <c r="H76" s="56"/>
      <c r="I76" s="59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</row>
    <row r="77" spans="1:32" ht="57" customHeight="1" x14ac:dyDescent="0.25">
      <c r="A77" s="56"/>
      <c r="B77" s="56"/>
      <c r="C77" s="56"/>
      <c r="D77" s="56"/>
      <c r="E77" s="57"/>
      <c r="F77" s="58"/>
      <c r="G77" s="56"/>
      <c r="H77" s="56"/>
      <c r="I77" s="59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</row>
    <row r="78" spans="1:32" ht="57" customHeight="1" x14ac:dyDescent="0.25">
      <c r="A78" s="56"/>
      <c r="B78" s="56"/>
      <c r="C78" s="56"/>
      <c r="D78" s="56"/>
      <c r="E78" s="57"/>
      <c r="F78" s="58"/>
      <c r="G78" s="56"/>
      <c r="H78" s="56"/>
      <c r="I78" s="59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</row>
    <row r="79" spans="1:32" ht="57" customHeight="1" x14ac:dyDescent="0.25">
      <c r="A79" s="56"/>
      <c r="B79" s="56"/>
      <c r="C79" s="56"/>
      <c r="D79" s="56"/>
      <c r="E79" s="57"/>
      <c r="F79" s="58"/>
      <c r="G79" s="56"/>
      <c r="H79" s="56"/>
      <c r="I79" s="59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</row>
    <row r="80" spans="1:32" ht="57" customHeight="1" x14ac:dyDescent="0.25">
      <c r="A80" s="56"/>
      <c r="B80" s="56"/>
      <c r="C80" s="56"/>
      <c r="D80" s="56"/>
      <c r="E80" s="57"/>
      <c r="F80" s="58"/>
      <c r="G80" s="56"/>
      <c r="H80" s="56"/>
      <c r="I80" s="59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</row>
    <row r="81" spans="1:32" ht="57" customHeight="1" x14ac:dyDescent="0.25">
      <c r="A81" s="56"/>
      <c r="B81" s="56"/>
      <c r="C81" s="56"/>
      <c r="D81" s="56"/>
      <c r="E81" s="57"/>
      <c r="F81" s="58"/>
      <c r="G81" s="56"/>
      <c r="H81" s="56"/>
      <c r="I81" s="59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</row>
    <row r="82" spans="1:32" ht="57" customHeight="1" x14ac:dyDescent="0.25">
      <c r="A82" s="56"/>
      <c r="B82" s="56"/>
      <c r="C82" s="56"/>
      <c r="D82" s="56"/>
      <c r="E82" s="57"/>
      <c r="F82" s="58"/>
      <c r="G82" s="56"/>
      <c r="H82" s="56"/>
      <c r="I82" s="59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</row>
    <row r="83" spans="1:32" ht="57" customHeight="1" x14ac:dyDescent="0.25">
      <c r="A83" s="56"/>
      <c r="B83" s="56"/>
      <c r="C83" s="56"/>
      <c r="D83" s="56"/>
      <c r="E83" s="57"/>
      <c r="F83" s="58"/>
      <c r="G83" s="56"/>
      <c r="H83" s="56"/>
      <c r="I83" s="59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</row>
    <row r="84" spans="1:32" ht="57" customHeight="1" x14ac:dyDescent="0.25">
      <c r="A84" s="56"/>
      <c r="B84" s="56"/>
      <c r="C84" s="56"/>
      <c r="D84" s="56"/>
      <c r="E84" s="57"/>
      <c r="F84" s="58"/>
      <c r="G84" s="56"/>
      <c r="H84" s="56"/>
      <c r="I84" s="59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</row>
    <row r="85" spans="1:32" ht="57" customHeight="1" x14ac:dyDescent="0.25">
      <c r="A85" s="56"/>
      <c r="B85" s="56"/>
      <c r="C85" s="56"/>
      <c r="D85" s="56"/>
      <c r="E85" s="57"/>
      <c r="F85" s="58"/>
      <c r="G85" s="56"/>
      <c r="H85" s="56"/>
      <c r="I85" s="59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</row>
    <row r="86" spans="1:32" ht="57" customHeight="1" x14ac:dyDescent="0.25">
      <c r="A86" s="56"/>
      <c r="B86" s="56"/>
      <c r="C86" s="56"/>
      <c r="D86" s="56"/>
      <c r="E86" s="57"/>
      <c r="F86" s="58"/>
      <c r="G86" s="56"/>
      <c r="H86" s="56"/>
      <c r="I86" s="59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</row>
    <row r="87" spans="1:32" ht="57" customHeight="1" x14ac:dyDescent="0.25">
      <c r="A87" s="56"/>
      <c r="B87" s="56"/>
      <c r="C87" s="56"/>
      <c r="D87" s="56"/>
      <c r="E87" s="57"/>
      <c r="F87" s="58"/>
      <c r="G87" s="56"/>
      <c r="H87" s="56"/>
      <c r="I87" s="59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</row>
    <row r="88" spans="1:32" ht="57" customHeight="1" x14ac:dyDescent="0.25">
      <c r="A88" s="56"/>
      <c r="B88" s="56"/>
      <c r="C88" s="56"/>
      <c r="D88" s="56"/>
      <c r="E88" s="57"/>
      <c r="F88" s="58"/>
      <c r="G88" s="56"/>
      <c r="H88" s="56"/>
      <c r="I88" s="59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</row>
    <row r="89" spans="1:32" ht="57" customHeight="1" x14ac:dyDescent="0.25">
      <c r="A89" s="56"/>
      <c r="B89" s="56"/>
      <c r="C89" s="56"/>
      <c r="D89" s="56"/>
      <c r="E89" s="57"/>
      <c r="F89" s="58"/>
      <c r="G89" s="56"/>
      <c r="H89" s="56"/>
      <c r="I89" s="59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</row>
    <row r="90" spans="1:32" ht="57" customHeight="1" x14ac:dyDescent="0.25">
      <c r="A90" s="56"/>
      <c r="B90" s="56"/>
      <c r="C90" s="56"/>
      <c r="D90" s="56"/>
      <c r="E90" s="57"/>
      <c r="F90" s="58"/>
      <c r="G90" s="56"/>
      <c r="H90" s="56"/>
      <c r="I90" s="59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</row>
    <row r="91" spans="1:32" ht="57" customHeight="1" x14ac:dyDescent="0.25">
      <c r="A91" s="56"/>
      <c r="B91" s="56"/>
      <c r="C91" s="56"/>
      <c r="D91" s="56"/>
      <c r="E91" s="57"/>
      <c r="F91" s="58"/>
      <c r="G91" s="56"/>
      <c r="H91" s="56"/>
      <c r="I91" s="59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</row>
    <row r="92" spans="1:32" ht="57" customHeight="1" x14ac:dyDescent="0.25">
      <c r="A92" s="56"/>
      <c r="B92" s="56"/>
      <c r="C92" s="56"/>
      <c r="D92" s="56"/>
      <c r="E92" s="57"/>
      <c r="F92" s="58"/>
      <c r="G92" s="56"/>
      <c r="H92" s="56"/>
      <c r="I92" s="59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</row>
    <row r="93" spans="1:32" ht="57" customHeight="1" x14ac:dyDescent="0.25">
      <c r="A93" s="56"/>
      <c r="B93" s="56"/>
      <c r="C93" s="56"/>
      <c r="D93" s="56"/>
      <c r="E93" s="57"/>
      <c r="F93" s="58"/>
      <c r="G93" s="56"/>
      <c r="H93" s="56"/>
      <c r="I93" s="59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</row>
    <row r="94" spans="1:32" ht="57" customHeight="1" x14ac:dyDescent="0.25">
      <c r="A94" s="56"/>
      <c r="B94" s="56"/>
      <c r="C94" s="56"/>
      <c r="D94" s="56"/>
      <c r="E94" s="57"/>
      <c r="F94" s="58"/>
      <c r="G94" s="56"/>
      <c r="H94" s="56"/>
      <c r="I94" s="59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</row>
    <row r="95" spans="1:32" ht="57" customHeight="1" x14ac:dyDescent="0.25">
      <c r="A95" s="56"/>
      <c r="B95" s="56"/>
      <c r="C95" s="56"/>
      <c r="D95" s="56"/>
      <c r="E95" s="57"/>
      <c r="F95" s="58"/>
      <c r="G95" s="56"/>
      <c r="H95" s="56"/>
      <c r="I95" s="59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</row>
    <row r="96" spans="1:32" ht="57" customHeight="1" x14ac:dyDescent="0.25">
      <c r="A96" s="56"/>
      <c r="B96" s="56"/>
      <c r="C96" s="56"/>
      <c r="D96" s="56"/>
      <c r="E96" s="57"/>
      <c r="F96" s="58"/>
      <c r="G96" s="56"/>
      <c r="H96" s="56"/>
      <c r="I96" s="59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</row>
    <row r="97" spans="1:32" ht="57" customHeight="1" x14ac:dyDescent="0.25">
      <c r="A97" s="56"/>
      <c r="B97" s="56"/>
      <c r="C97" s="56"/>
      <c r="D97" s="56"/>
      <c r="E97" s="57"/>
      <c r="F97" s="58"/>
      <c r="G97" s="56"/>
      <c r="H97" s="56"/>
      <c r="I97" s="59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</row>
    <row r="98" spans="1:32" ht="57" customHeight="1" x14ac:dyDescent="0.25">
      <c r="A98" s="56"/>
      <c r="B98" s="56"/>
      <c r="C98" s="56"/>
      <c r="D98" s="56"/>
      <c r="E98" s="57"/>
      <c r="F98" s="58"/>
      <c r="G98" s="56"/>
      <c r="H98" s="56"/>
      <c r="I98" s="59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</row>
    <row r="99" spans="1:32" ht="57" customHeight="1" x14ac:dyDescent="0.25">
      <c r="A99" s="56"/>
      <c r="B99" s="56"/>
      <c r="C99" s="56"/>
      <c r="D99" s="56"/>
      <c r="E99" s="57"/>
      <c r="F99" s="58"/>
      <c r="G99" s="56"/>
      <c r="H99" s="56"/>
      <c r="I99" s="59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</row>
    <row r="100" spans="1:32" ht="57" customHeight="1" x14ac:dyDescent="0.25">
      <c r="A100" s="56"/>
      <c r="B100" s="56"/>
      <c r="C100" s="56"/>
      <c r="D100" s="56"/>
      <c r="E100" s="57"/>
      <c r="F100" s="58"/>
      <c r="G100" s="56"/>
      <c r="H100" s="56"/>
      <c r="I100" s="59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</row>
    <row r="101" spans="1:32" ht="57" customHeight="1" x14ac:dyDescent="0.25">
      <c r="A101" s="56"/>
      <c r="B101" s="56"/>
      <c r="C101" s="56"/>
      <c r="D101" s="56"/>
      <c r="E101" s="57"/>
      <c r="F101" s="58"/>
      <c r="G101" s="56"/>
      <c r="H101" s="56"/>
      <c r="I101" s="59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</row>
    <row r="102" spans="1:32" ht="57" customHeight="1" x14ac:dyDescent="0.25">
      <c r="A102" s="56"/>
      <c r="B102" s="56"/>
      <c r="C102" s="56"/>
      <c r="D102" s="56"/>
      <c r="E102" s="57"/>
      <c r="F102" s="58"/>
      <c r="G102" s="56"/>
      <c r="H102" s="56"/>
      <c r="I102" s="59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</row>
    <row r="103" spans="1:32" ht="57" customHeight="1" x14ac:dyDescent="0.25">
      <c r="A103" s="56"/>
      <c r="B103" s="56"/>
      <c r="C103" s="56"/>
      <c r="D103" s="56"/>
      <c r="E103" s="57"/>
      <c r="F103" s="58"/>
      <c r="G103" s="56"/>
      <c r="H103" s="56"/>
      <c r="I103" s="59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</row>
    <row r="104" spans="1:32" ht="57" customHeight="1" x14ac:dyDescent="0.25">
      <c r="A104" s="56"/>
      <c r="B104" s="56"/>
      <c r="C104" s="56"/>
      <c r="D104" s="56"/>
      <c r="E104" s="57"/>
      <c r="F104" s="58"/>
      <c r="G104" s="56"/>
      <c r="H104" s="56"/>
      <c r="I104" s="59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</row>
    <row r="105" spans="1:32" ht="57" customHeight="1" x14ac:dyDescent="0.25">
      <c r="A105" s="56"/>
      <c r="B105" s="56"/>
      <c r="C105" s="56"/>
      <c r="D105" s="56"/>
      <c r="E105" s="57"/>
      <c r="F105" s="58"/>
      <c r="G105" s="56"/>
      <c r="H105" s="56"/>
      <c r="I105" s="59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</row>
    <row r="106" spans="1:32" ht="57" customHeight="1" x14ac:dyDescent="0.25">
      <c r="A106" s="56"/>
      <c r="B106" s="56"/>
      <c r="C106" s="56"/>
      <c r="D106" s="56"/>
      <c r="E106" s="57"/>
      <c r="F106" s="58"/>
      <c r="G106" s="56"/>
      <c r="H106" s="56"/>
      <c r="I106" s="59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</row>
    <row r="107" spans="1:32" ht="57" customHeight="1" x14ac:dyDescent="0.25">
      <c r="A107" s="56"/>
      <c r="B107" s="56"/>
      <c r="C107" s="56"/>
      <c r="D107" s="56"/>
      <c r="E107" s="57"/>
      <c r="F107" s="58"/>
      <c r="G107" s="56"/>
      <c r="H107" s="56"/>
      <c r="I107" s="59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</row>
    <row r="108" spans="1:32" ht="57" customHeight="1" x14ac:dyDescent="0.25">
      <c r="A108" s="56"/>
      <c r="B108" s="56"/>
      <c r="C108" s="56"/>
      <c r="D108" s="56"/>
      <c r="E108" s="57"/>
      <c r="F108" s="58"/>
      <c r="G108" s="56"/>
      <c r="H108" s="56"/>
      <c r="I108" s="59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</row>
    <row r="109" spans="1:32" ht="57" customHeight="1" x14ac:dyDescent="0.25">
      <c r="A109" s="56"/>
      <c r="B109" s="56"/>
      <c r="C109" s="56"/>
      <c r="D109" s="56"/>
      <c r="E109" s="57"/>
      <c r="F109" s="58"/>
      <c r="G109" s="56"/>
      <c r="H109" s="56"/>
      <c r="I109" s="59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</row>
    <row r="110" spans="1:32" ht="57" customHeight="1" x14ac:dyDescent="0.25">
      <c r="A110" s="56"/>
      <c r="B110" s="56"/>
      <c r="C110" s="56"/>
      <c r="D110" s="56"/>
      <c r="E110" s="57"/>
      <c r="F110" s="58"/>
      <c r="G110" s="56"/>
      <c r="H110" s="56"/>
      <c r="I110" s="59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</row>
    <row r="111" spans="1:32" ht="57" customHeight="1" x14ac:dyDescent="0.25">
      <c r="A111" s="56"/>
      <c r="B111" s="56"/>
      <c r="C111" s="56"/>
      <c r="D111" s="56"/>
      <c r="E111" s="57"/>
      <c r="F111" s="58"/>
      <c r="G111" s="56"/>
      <c r="H111" s="56"/>
      <c r="I111" s="59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</row>
    <row r="112" spans="1:32" ht="57" customHeight="1" x14ac:dyDescent="0.25">
      <c r="A112" s="56"/>
      <c r="B112" s="56"/>
      <c r="C112" s="56"/>
      <c r="D112" s="56"/>
      <c r="E112" s="57"/>
      <c r="F112" s="58"/>
      <c r="G112" s="56"/>
      <c r="H112" s="56"/>
      <c r="I112" s="59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</row>
    <row r="113" spans="1:32" ht="57" customHeight="1" x14ac:dyDescent="0.25">
      <c r="A113" s="56"/>
      <c r="B113" s="56"/>
      <c r="C113" s="56"/>
      <c r="D113" s="56"/>
      <c r="E113" s="57"/>
      <c r="F113" s="58"/>
      <c r="G113" s="56"/>
      <c r="H113" s="56"/>
      <c r="I113" s="59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</row>
    <row r="114" spans="1:32" ht="57" customHeight="1" x14ac:dyDescent="0.25">
      <c r="A114" s="56"/>
      <c r="B114" s="56"/>
      <c r="C114" s="56"/>
      <c r="D114" s="56"/>
      <c r="E114" s="57"/>
      <c r="F114" s="58"/>
      <c r="G114" s="56"/>
      <c r="H114" s="56"/>
      <c r="I114" s="59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</row>
    <row r="115" spans="1:32" ht="57" customHeight="1" x14ac:dyDescent="0.25">
      <c r="A115" s="56"/>
      <c r="B115" s="56"/>
      <c r="C115" s="56"/>
      <c r="D115" s="56"/>
      <c r="E115" s="57"/>
      <c r="F115" s="58"/>
      <c r="G115" s="56"/>
      <c r="H115" s="56"/>
      <c r="I115" s="59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</row>
    <row r="116" spans="1:32" ht="57" customHeight="1" x14ac:dyDescent="0.25">
      <c r="A116" s="56"/>
      <c r="B116" s="56"/>
      <c r="C116" s="56"/>
      <c r="D116" s="56"/>
      <c r="E116" s="57"/>
      <c r="F116" s="58"/>
      <c r="G116" s="56"/>
      <c r="H116" s="56"/>
      <c r="I116" s="59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</row>
    <row r="117" spans="1:32" ht="57" customHeight="1" x14ac:dyDescent="0.25">
      <c r="A117" s="56"/>
      <c r="B117" s="56"/>
      <c r="C117" s="56"/>
      <c r="D117" s="56"/>
      <c r="E117" s="57"/>
      <c r="F117" s="58"/>
      <c r="G117" s="56"/>
      <c r="H117" s="56"/>
      <c r="I117" s="59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</row>
    <row r="118" spans="1:32" ht="57" customHeight="1" x14ac:dyDescent="0.25">
      <c r="A118" s="56"/>
      <c r="B118" s="56"/>
      <c r="C118" s="56"/>
      <c r="D118" s="56"/>
      <c r="E118" s="57"/>
      <c r="F118" s="58"/>
      <c r="G118" s="56"/>
      <c r="H118" s="56"/>
      <c r="I118" s="59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</row>
    <row r="119" spans="1:32" ht="57" customHeight="1" x14ac:dyDescent="0.25">
      <c r="A119" s="56"/>
      <c r="B119" s="56"/>
      <c r="C119" s="56"/>
      <c r="D119" s="56"/>
      <c r="E119" s="57"/>
      <c r="F119" s="58"/>
      <c r="G119" s="56"/>
      <c r="H119" s="56"/>
      <c r="I119" s="59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</row>
    <row r="120" spans="1:32" ht="57" customHeight="1" x14ac:dyDescent="0.25">
      <c r="A120" s="56"/>
      <c r="B120" s="56"/>
      <c r="C120" s="56"/>
      <c r="D120" s="56"/>
      <c r="E120" s="57"/>
      <c r="F120" s="58"/>
      <c r="G120" s="56"/>
      <c r="H120" s="56"/>
      <c r="I120" s="59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</row>
    <row r="121" spans="1:32" ht="57" customHeight="1" x14ac:dyDescent="0.25">
      <c r="A121" s="56"/>
      <c r="B121" s="56"/>
      <c r="C121" s="56"/>
      <c r="D121" s="56"/>
      <c r="E121" s="57"/>
      <c r="F121" s="58"/>
      <c r="G121" s="56"/>
      <c r="H121" s="56"/>
      <c r="I121" s="59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</row>
    <row r="122" spans="1:32" ht="57" customHeight="1" x14ac:dyDescent="0.25">
      <c r="A122" s="56"/>
      <c r="B122" s="56"/>
      <c r="C122" s="56"/>
      <c r="D122" s="56"/>
      <c r="E122" s="57"/>
      <c r="F122" s="58"/>
      <c r="G122" s="56"/>
      <c r="H122" s="56"/>
      <c r="I122" s="59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</row>
    <row r="123" spans="1:32" ht="57" customHeight="1" x14ac:dyDescent="0.25">
      <c r="A123" s="56"/>
      <c r="B123" s="56"/>
      <c r="C123" s="56"/>
      <c r="D123" s="56"/>
      <c r="E123" s="57"/>
      <c r="F123" s="58"/>
      <c r="G123" s="56"/>
      <c r="H123" s="56"/>
      <c r="I123" s="59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</row>
    <row r="124" spans="1:32" ht="57" customHeight="1" x14ac:dyDescent="0.25">
      <c r="A124" s="56"/>
      <c r="B124" s="56"/>
      <c r="C124" s="56"/>
      <c r="D124" s="56"/>
      <c r="E124" s="57"/>
      <c r="F124" s="58"/>
      <c r="G124" s="56"/>
      <c r="H124" s="56"/>
      <c r="I124" s="59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</row>
    <row r="125" spans="1:32" ht="57" customHeight="1" x14ac:dyDescent="0.25">
      <c r="A125" s="56"/>
      <c r="B125" s="56"/>
      <c r="C125" s="56"/>
      <c r="D125" s="56"/>
      <c r="E125" s="57"/>
      <c r="F125" s="58"/>
      <c r="G125" s="56"/>
      <c r="H125" s="56"/>
      <c r="I125" s="59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</row>
    <row r="126" spans="1:32" ht="57" customHeight="1" x14ac:dyDescent="0.25">
      <c r="A126" s="56"/>
      <c r="B126" s="56"/>
      <c r="C126" s="56"/>
      <c r="D126" s="56"/>
      <c r="E126" s="57"/>
      <c r="F126" s="58"/>
      <c r="G126" s="56"/>
      <c r="H126" s="56"/>
      <c r="I126" s="59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</row>
    <row r="127" spans="1:32" ht="57" customHeight="1" x14ac:dyDescent="0.25">
      <c r="A127" s="56"/>
      <c r="B127" s="56"/>
      <c r="C127" s="56"/>
      <c r="D127" s="56"/>
      <c r="E127" s="57"/>
      <c r="F127" s="58"/>
      <c r="G127" s="56"/>
      <c r="H127" s="56"/>
      <c r="I127" s="59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</row>
    <row r="128" spans="1:32" ht="57" customHeight="1" x14ac:dyDescent="0.25">
      <c r="A128" s="56"/>
      <c r="B128" s="56"/>
      <c r="C128" s="56"/>
      <c r="D128" s="56"/>
      <c r="E128" s="57"/>
      <c r="F128" s="58"/>
      <c r="G128" s="56"/>
      <c r="H128" s="56"/>
      <c r="I128" s="59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</row>
    <row r="129" spans="1:32" ht="57" customHeight="1" x14ac:dyDescent="0.25">
      <c r="A129" s="56"/>
      <c r="B129" s="56"/>
      <c r="C129" s="56"/>
      <c r="D129" s="56"/>
      <c r="E129" s="57"/>
      <c r="F129" s="58"/>
      <c r="G129" s="56"/>
      <c r="H129" s="56"/>
      <c r="I129" s="59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</row>
    <row r="130" spans="1:32" ht="57" customHeight="1" x14ac:dyDescent="0.25">
      <c r="A130" s="56"/>
      <c r="B130" s="56"/>
      <c r="C130" s="56"/>
      <c r="D130" s="56"/>
      <c r="E130" s="57"/>
      <c r="F130" s="58"/>
      <c r="G130" s="56"/>
      <c r="H130" s="56"/>
      <c r="I130" s="59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</row>
    <row r="131" spans="1:32" ht="57" customHeight="1" x14ac:dyDescent="0.25">
      <c r="A131" s="56"/>
      <c r="B131" s="56"/>
      <c r="C131" s="56"/>
      <c r="D131" s="56"/>
      <c r="E131" s="57"/>
      <c r="F131" s="58"/>
      <c r="G131" s="56"/>
      <c r="H131" s="56"/>
      <c r="I131" s="59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</row>
    <row r="132" spans="1:32" ht="57" customHeight="1" x14ac:dyDescent="0.25">
      <c r="A132" s="56"/>
      <c r="B132" s="56"/>
      <c r="C132" s="56"/>
      <c r="D132" s="56"/>
      <c r="E132" s="57"/>
      <c r="F132" s="58"/>
      <c r="G132" s="56"/>
      <c r="H132" s="56"/>
      <c r="I132" s="59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</row>
    <row r="133" spans="1:32" ht="57" customHeight="1" x14ac:dyDescent="0.25">
      <c r="A133" s="56"/>
      <c r="B133" s="56"/>
      <c r="C133" s="56"/>
      <c r="D133" s="56"/>
      <c r="E133" s="57"/>
      <c r="F133" s="58"/>
      <c r="G133" s="56"/>
      <c r="H133" s="56"/>
      <c r="I133" s="59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</row>
    <row r="134" spans="1:32" ht="57" customHeight="1" x14ac:dyDescent="0.25">
      <c r="A134" s="56"/>
      <c r="B134" s="56"/>
      <c r="C134" s="56"/>
      <c r="D134" s="56"/>
      <c r="E134" s="57"/>
      <c r="F134" s="58"/>
      <c r="G134" s="56"/>
      <c r="H134" s="56"/>
      <c r="I134" s="59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</row>
    <row r="135" spans="1:32" ht="57" customHeight="1" x14ac:dyDescent="0.25">
      <c r="A135" s="56"/>
      <c r="B135" s="56"/>
      <c r="C135" s="56"/>
      <c r="D135" s="56"/>
      <c r="E135" s="57"/>
      <c r="F135" s="58"/>
      <c r="G135" s="56"/>
      <c r="H135" s="56"/>
      <c r="I135" s="59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</row>
    <row r="136" spans="1:32" ht="57" customHeight="1" x14ac:dyDescent="0.25">
      <c r="A136" s="56"/>
      <c r="B136" s="56"/>
      <c r="C136" s="56"/>
      <c r="D136" s="56"/>
      <c r="E136" s="57"/>
      <c r="F136" s="58"/>
      <c r="G136" s="56"/>
      <c r="H136" s="56"/>
      <c r="I136" s="59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</row>
    <row r="137" spans="1:32" ht="57" customHeight="1" x14ac:dyDescent="0.25">
      <c r="A137" s="56"/>
      <c r="B137" s="56"/>
      <c r="C137" s="56"/>
      <c r="D137" s="56"/>
      <c r="E137" s="57"/>
      <c r="F137" s="58"/>
      <c r="G137" s="56"/>
      <c r="H137" s="56"/>
      <c r="I137" s="59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</row>
    <row r="138" spans="1:32" ht="57" customHeight="1" x14ac:dyDescent="0.25">
      <c r="A138" s="56"/>
      <c r="B138" s="56"/>
      <c r="C138" s="56"/>
      <c r="D138" s="56"/>
      <c r="E138" s="57"/>
      <c r="F138" s="58"/>
      <c r="G138" s="56"/>
      <c r="H138" s="56"/>
      <c r="I138" s="59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</row>
    <row r="139" spans="1:32" ht="57" customHeight="1" x14ac:dyDescent="0.25">
      <c r="A139" s="56"/>
      <c r="B139" s="56"/>
      <c r="C139" s="56"/>
      <c r="D139" s="56"/>
      <c r="E139" s="57"/>
      <c r="F139" s="58"/>
      <c r="G139" s="56"/>
      <c r="H139" s="56"/>
      <c r="I139" s="59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</row>
    <row r="140" spans="1:32" ht="57" customHeight="1" x14ac:dyDescent="0.25">
      <c r="A140" s="56"/>
      <c r="B140" s="56"/>
      <c r="C140" s="56"/>
      <c r="D140" s="56"/>
      <c r="E140" s="57"/>
      <c r="F140" s="58"/>
      <c r="G140" s="56"/>
      <c r="H140" s="56"/>
      <c r="I140" s="59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</row>
    <row r="141" spans="1:32" ht="57" customHeight="1" x14ac:dyDescent="0.25">
      <c r="A141" s="56"/>
      <c r="B141" s="56"/>
      <c r="C141" s="56"/>
      <c r="D141" s="56"/>
      <c r="E141" s="57"/>
      <c r="F141" s="58"/>
      <c r="G141" s="56"/>
      <c r="H141" s="56"/>
      <c r="I141" s="59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</row>
    <row r="142" spans="1:32" ht="57" customHeight="1" x14ac:dyDescent="0.25">
      <c r="A142" s="56"/>
      <c r="B142" s="56"/>
      <c r="C142" s="56"/>
      <c r="D142" s="56"/>
      <c r="E142" s="57"/>
      <c r="F142" s="58"/>
      <c r="G142" s="56"/>
      <c r="H142" s="56"/>
      <c r="I142" s="59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</row>
    <row r="143" spans="1:32" ht="57" customHeight="1" x14ac:dyDescent="0.25">
      <c r="A143" s="56"/>
      <c r="B143" s="56"/>
      <c r="C143" s="56"/>
      <c r="D143" s="56"/>
      <c r="E143" s="57"/>
      <c r="F143" s="58"/>
      <c r="G143" s="56"/>
      <c r="H143" s="56"/>
      <c r="I143" s="59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</row>
    <row r="144" spans="1:32" ht="57" customHeight="1" x14ac:dyDescent="0.25">
      <c r="A144" s="56"/>
      <c r="B144" s="56"/>
      <c r="C144" s="56"/>
      <c r="D144" s="56"/>
      <c r="E144" s="57"/>
      <c r="F144" s="58"/>
      <c r="G144" s="56"/>
      <c r="H144" s="56"/>
      <c r="I144" s="59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</row>
    <row r="145" spans="1:32" ht="57" customHeight="1" x14ac:dyDescent="0.25">
      <c r="A145" s="56"/>
      <c r="B145" s="56"/>
      <c r="C145" s="56"/>
      <c r="D145" s="56"/>
      <c r="E145" s="57"/>
      <c r="F145" s="58"/>
      <c r="G145" s="56"/>
      <c r="H145" s="56"/>
      <c r="I145" s="59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</row>
    <row r="146" spans="1:32" ht="57" customHeight="1" x14ac:dyDescent="0.25">
      <c r="A146" s="56"/>
      <c r="B146" s="56"/>
      <c r="C146" s="56"/>
      <c r="D146" s="56"/>
      <c r="E146" s="57"/>
      <c r="F146" s="58"/>
      <c r="G146" s="56"/>
      <c r="H146" s="56"/>
      <c r="I146" s="59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</row>
    <row r="147" spans="1:32" ht="57" customHeight="1" x14ac:dyDescent="0.25">
      <c r="A147" s="56"/>
      <c r="B147" s="56"/>
      <c r="C147" s="56"/>
      <c r="D147" s="56"/>
      <c r="E147" s="57"/>
      <c r="F147" s="58"/>
      <c r="G147" s="56"/>
      <c r="H147" s="56"/>
      <c r="I147" s="59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</row>
    <row r="148" spans="1:32" ht="57" customHeight="1" x14ac:dyDescent="0.25">
      <c r="A148" s="56"/>
      <c r="B148" s="56"/>
      <c r="C148" s="56"/>
      <c r="D148" s="56"/>
      <c r="E148" s="57"/>
      <c r="F148" s="58"/>
      <c r="G148" s="56"/>
      <c r="H148" s="56"/>
      <c r="I148" s="59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</row>
    <row r="149" spans="1:32" ht="57" customHeight="1" x14ac:dyDescent="0.25">
      <c r="A149" s="56"/>
      <c r="B149" s="56"/>
      <c r="C149" s="56"/>
      <c r="D149" s="56"/>
      <c r="E149" s="57"/>
      <c r="F149" s="58"/>
      <c r="G149" s="56"/>
      <c r="H149" s="56"/>
      <c r="I149" s="59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</row>
    <row r="150" spans="1:32" ht="57" customHeight="1" x14ac:dyDescent="0.25">
      <c r="A150" s="56"/>
      <c r="B150" s="56"/>
      <c r="C150" s="56"/>
      <c r="D150" s="56"/>
      <c r="E150" s="57"/>
      <c r="F150" s="58"/>
      <c r="G150" s="56"/>
      <c r="H150" s="56"/>
      <c r="I150" s="59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</row>
    <row r="151" spans="1:32" ht="57" customHeight="1" x14ac:dyDescent="0.25">
      <c r="A151" s="56"/>
      <c r="B151" s="56"/>
      <c r="C151" s="56"/>
      <c r="D151" s="56"/>
      <c r="E151" s="57"/>
      <c r="F151" s="58"/>
      <c r="G151" s="56"/>
      <c r="H151" s="56"/>
      <c r="I151" s="59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</row>
    <row r="152" spans="1:32" ht="57" customHeight="1" x14ac:dyDescent="0.25">
      <c r="A152" s="56"/>
      <c r="B152" s="56"/>
      <c r="C152" s="56"/>
      <c r="D152" s="56"/>
      <c r="E152" s="57"/>
      <c r="F152" s="58"/>
      <c r="G152" s="56"/>
      <c r="H152" s="56"/>
      <c r="I152" s="59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</row>
    <row r="153" spans="1:32" ht="57" customHeight="1" x14ac:dyDescent="0.25">
      <c r="A153" s="56"/>
      <c r="B153" s="56"/>
      <c r="C153" s="56"/>
      <c r="D153" s="56"/>
      <c r="E153" s="57"/>
      <c r="F153" s="58"/>
      <c r="G153" s="56"/>
      <c r="H153" s="56"/>
      <c r="I153" s="59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</row>
    <row r="154" spans="1:32" ht="57" customHeight="1" x14ac:dyDescent="0.25">
      <c r="A154" s="56"/>
      <c r="B154" s="56"/>
      <c r="C154" s="56"/>
      <c r="D154" s="56"/>
      <c r="E154" s="57"/>
      <c r="F154" s="58"/>
      <c r="G154" s="56"/>
      <c r="H154" s="56"/>
      <c r="I154" s="59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</row>
    <row r="155" spans="1:32" ht="57" customHeight="1" x14ac:dyDescent="0.25">
      <c r="A155" s="56"/>
      <c r="B155" s="56"/>
      <c r="C155" s="56"/>
      <c r="D155" s="56"/>
      <c r="E155" s="57"/>
      <c r="F155" s="58"/>
      <c r="G155" s="56"/>
      <c r="H155" s="56"/>
      <c r="I155" s="59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</row>
    <row r="156" spans="1:32" ht="57" customHeight="1" x14ac:dyDescent="0.25">
      <c r="A156" s="56"/>
      <c r="B156" s="56"/>
      <c r="C156" s="56"/>
      <c r="D156" s="56"/>
      <c r="E156" s="57"/>
      <c r="F156" s="58"/>
      <c r="G156" s="56"/>
      <c r="H156" s="56"/>
      <c r="I156" s="59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</row>
    <row r="157" spans="1:32" ht="57" customHeight="1" x14ac:dyDescent="0.25">
      <c r="A157" s="56"/>
      <c r="B157" s="56"/>
      <c r="C157" s="56"/>
      <c r="D157" s="56"/>
      <c r="E157" s="57"/>
      <c r="F157" s="58"/>
      <c r="G157" s="56"/>
      <c r="H157" s="56"/>
      <c r="I157" s="59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</row>
    <row r="158" spans="1:32" ht="57" customHeight="1" x14ac:dyDescent="0.25">
      <c r="A158" s="56"/>
      <c r="B158" s="56"/>
      <c r="C158" s="56"/>
      <c r="D158" s="56"/>
      <c r="E158" s="57"/>
      <c r="F158" s="58"/>
      <c r="G158" s="56"/>
      <c r="H158" s="56"/>
      <c r="I158" s="59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</row>
    <row r="159" spans="1:32" ht="57" customHeight="1" x14ac:dyDescent="0.25">
      <c r="A159" s="56"/>
      <c r="B159" s="56"/>
      <c r="C159" s="56"/>
      <c r="D159" s="56"/>
      <c r="E159" s="57"/>
      <c r="F159" s="58"/>
      <c r="G159" s="56"/>
      <c r="H159" s="56"/>
      <c r="I159" s="59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</row>
    <row r="160" spans="1:32" ht="57" customHeight="1" x14ac:dyDescent="0.25">
      <c r="A160" s="56"/>
      <c r="B160" s="56"/>
      <c r="C160" s="56"/>
      <c r="D160" s="56"/>
      <c r="E160" s="57"/>
      <c r="F160" s="58"/>
      <c r="G160" s="56"/>
      <c r="H160" s="56"/>
      <c r="I160" s="59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</row>
    <row r="161" spans="1:32" ht="57" customHeight="1" x14ac:dyDescent="0.25">
      <c r="A161" s="56"/>
      <c r="B161" s="56"/>
      <c r="C161" s="56"/>
      <c r="D161" s="56"/>
      <c r="E161" s="57"/>
      <c r="F161" s="58"/>
      <c r="G161" s="56"/>
      <c r="H161" s="56"/>
      <c r="I161" s="59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</row>
    <row r="162" spans="1:32" ht="57" customHeight="1" x14ac:dyDescent="0.25">
      <c r="A162" s="56"/>
      <c r="B162" s="56"/>
      <c r="C162" s="56"/>
      <c r="D162" s="56"/>
      <c r="E162" s="57"/>
      <c r="F162" s="58"/>
      <c r="G162" s="56"/>
      <c r="H162" s="56"/>
      <c r="I162" s="59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</row>
    <row r="163" spans="1:32" ht="57" customHeight="1" x14ac:dyDescent="0.25">
      <c r="A163" s="56"/>
      <c r="B163" s="56"/>
      <c r="C163" s="56"/>
      <c r="D163" s="56"/>
      <c r="E163" s="57"/>
      <c r="F163" s="58"/>
      <c r="G163" s="56"/>
      <c r="H163" s="56"/>
      <c r="I163" s="59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</row>
    <row r="164" spans="1:32" ht="57" customHeight="1" x14ac:dyDescent="0.25">
      <c r="A164" s="56"/>
      <c r="B164" s="56"/>
      <c r="C164" s="56"/>
      <c r="D164" s="56"/>
      <c r="E164" s="57"/>
      <c r="F164" s="58"/>
      <c r="G164" s="56"/>
      <c r="H164" s="56"/>
      <c r="I164" s="59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</row>
    <row r="165" spans="1:32" ht="57" customHeight="1" x14ac:dyDescent="0.25">
      <c r="A165" s="56"/>
      <c r="B165" s="56"/>
      <c r="C165" s="56"/>
      <c r="D165" s="56"/>
      <c r="E165" s="57"/>
      <c r="F165" s="58"/>
      <c r="G165" s="56"/>
      <c r="H165" s="56"/>
      <c r="I165" s="59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</row>
    <row r="166" spans="1:32" ht="57" customHeight="1" x14ac:dyDescent="0.25">
      <c r="A166" s="56"/>
      <c r="B166" s="56"/>
      <c r="C166" s="56"/>
      <c r="D166" s="56"/>
      <c r="E166" s="57"/>
      <c r="F166" s="58"/>
      <c r="G166" s="56"/>
      <c r="H166" s="56"/>
      <c r="I166" s="59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</row>
    <row r="167" spans="1:32" ht="57" customHeight="1" x14ac:dyDescent="0.25">
      <c r="A167" s="56"/>
      <c r="B167" s="56"/>
      <c r="C167" s="56"/>
      <c r="D167" s="56"/>
      <c r="E167" s="57"/>
      <c r="F167" s="58"/>
      <c r="G167" s="56"/>
      <c r="H167" s="56"/>
      <c r="I167" s="59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</row>
    <row r="168" spans="1:32" ht="57" customHeight="1" x14ac:dyDescent="0.25">
      <c r="A168" s="56"/>
      <c r="B168" s="56"/>
      <c r="C168" s="56"/>
      <c r="D168" s="56"/>
      <c r="E168" s="57"/>
      <c r="F168" s="58"/>
      <c r="G168" s="56"/>
      <c r="H168" s="56"/>
      <c r="I168" s="59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</row>
    <row r="169" spans="1:32" ht="57" customHeight="1" x14ac:dyDescent="0.25">
      <c r="A169" s="56"/>
      <c r="B169" s="56"/>
      <c r="C169" s="56"/>
      <c r="D169" s="56"/>
      <c r="E169" s="57"/>
      <c r="F169" s="58"/>
      <c r="G169" s="56"/>
      <c r="H169" s="56"/>
      <c r="I169" s="59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</row>
    <row r="170" spans="1:32" ht="57" customHeight="1" x14ac:dyDescent="0.25">
      <c r="A170" s="56"/>
      <c r="B170" s="56"/>
      <c r="C170" s="56"/>
      <c r="D170" s="56"/>
      <c r="E170" s="57"/>
      <c r="F170" s="58"/>
      <c r="G170" s="56"/>
      <c r="H170" s="56"/>
      <c r="I170" s="59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</row>
    <row r="171" spans="1:32" ht="57" customHeight="1" x14ac:dyDescent="0.25">
      <c r="A171" s="56"/>
      <c r="B171" s="56"/>
      <c r="C171" s="56"/>
      <c r="D171" s="56"/>
      <c r="E171" s="57"/>
      <c r="F171" s="58"/>
      <c r="G171" s="56"/>
      <c r="H171" s="56"/>
      <c r="I171" s="59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</row>
    <row r="172" spans="1:32" ht="57" customHeight="1" x14ac:dyDescent="0.25">
      <c r="A172" s="56"/>
      <c r="B172" s="56"/>
      <c r="C172" s="56"/>
      <c r="D172" s="56"/>
      <c r="E172" s="57"/>
      <c r="F172" s="58"/>
      <c r="G172" s="56"/>
      <c r="H172" s="56"/>
      <c r="I172" s="59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</row>
    <row r="173" spans="1:32" ht="57" customHeight="1" x14ac:dyDescent="0.25">
      <c r="A173" s="56"/>
      <c r="B173" s="56"/>
      <c r="C173" s="56"/>
      <c r="D173" s="56"/>
      <c r="E173" s="57"/>
      <c r="F173" s="58"/>
      <c r="G173" s="56"/>
      <c r="H173" s="56"/>
      <c r="I173" s="59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</row>
    <row r="174" spans="1:32" ht="57" customHeight="1" x14ac:dyDescent="0.25">
      <c r="A174" s="56"/>
      <c r="B174" s="56"/>
      <c r="C174" s="56"/>
      <c r="D174" s="56"/>
      <c r="E174" s="57"/>
      <c r="F174" s="58"/>
      <c r="G174" s="56"/>
      <c r="H174" s="56"/>
      <c r="I174" s="59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</row>
    <row r="175" spans="1:32" ht="57" customHeight="1" x14ac:dyDescent="0.25">
      <c r="A175" s="56"/>
      <c r="B175" s="56"/>
      <c r="C175" s="56"/>
      <c r="D175" s="56"/>
      <c r="E175" s="57"/>
      <c r="F175" s="58"/>
      <c r="G175" s="56"/>
      <c r="H175" s="56"/>
      <c r="I175" s="59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</row>
    <row r="176" spans="1:32" ht="57" customHeight="1" x14ac:dyDescent="0.25">
      <c r="A176" s="56"/>
      <c r="B176" s="56"/>
      <c r="C176" s="56"/>
      <c r="D176" s="56"/>
      <c r="E176" s="57"/>
      <c r="F176" s="58"/>
      <c r="G176" s="56"/>
      <c r="H176" s="56"/>
      <c r="I176" s="59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</row>
    <row r="177" spans="1:32" ht="57" customHeight="1" x14ac:dyDescent="0.25">
      <c r="A177" s="56"/>
      <c r="B177" s="56"/>
      <c r="C177" s="56"/>
      <c r="D177" s="56"/>
      <c r="E177" s="57"/>
      <c r="F177" s="58"/>
      <c r="G177" s="56"/>
      <c r="H177" s="56"/>
      <c r="I177" s="59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</row>
    <row r="178" spans="1:32" ht="57" customHeight="1" x14ac:dyDescent="0.25">
      <c r="A178" s="56"/>
      <c r="B178" s="56"/>
      <c r="C178" s="56"/>
      <c r="D178" s="56"/>
      <c r="E178" s="57"/>
      <c r="F178" s="58"/>
      <c r="G178" s="56"/>
      <c r="H178" s="56"/>
      <c r="I178" s="59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</row>
    <row r="179" spans="1:32" ht="57" customHeight="1" x14ac:dyDescent="0.25">
      <c r="A179" s="56"/>
      <c r="B179" s="56"/>
      <c r="C179" s="56"/>
      <c r="D179" s="56"/>
      <c r="E179" s="57"/>
      <c r="F179" s="58"/>
      <c r="G179" s="56"/>
      <c r="H179" s="56"/>
      <c r="I179" s="59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</row>
    <row r="180" spans="1:32" ht="57" customHeight="1" x14ac:dyDescent="0.25">
      <c r="A180" s="56"/>
      <c r="B180" s="56"/>
      <c r="C180" s="56"/>
      <c r="D180" s="56"/>
      <c r="E180" s="57"/>
      <c r="F180" s="58"/>
      <c r="G180" s="56"/>
      <c r="H180" s="56"/>
      <c r="I180" s="59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</row>
    <row r="181" spans="1:32" ht="57" customHeight="1" x14ac:dyDescent="0.25">
      <c r="A181" s="56"/>
      <c r="B181" s="56"/>
      <c r="C181" s="56"/>
      <c r="D181" s="56"/>
      <c r="E181" s="57"/>
      <c r="F181" s="58"/>
      <c r="G181" s="56"/>
      <c r="H181" s="56"/>
      <c r="I181" s="59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</row>
    <row r="182" spans="1:32" ht="57" customHeight="1" x14ac:dyDescent="0.25">
      <c r="A182" s="56"/>
      <c r="B182" s="56"/>
      <c r="C182" s="56"/>
      <c r="D182" s="56"/>
      <c r="E182" s="57"/>
      <c r="F182" s="58"/>
      <c r="G182" s="56"/>
      <c r="H182" s="56"/>
      <c r="I182" s="59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</row>
    <row r="183" spans="1:32" ht="57" customHeight="1" x14ac:dyDescent="0.25">
      <c r="A183" s="56"/>
      <c r="B183" s="56"/>
      <c r="C183" s="56"/>
      <c r="D183" s="56"/>
      <c r="E183" s="57"/>
      <c r="F183" s="58"/>
      <c r="G183" s="56"/>
      <c r="H183" s="56"/>
      <c r="I183" s="59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</row>
    <row r="184" spans="1:32" ht="57" customHeight="1" x14ac:dyDescent="0.25">
      <c r="A184" s="56"/>
      <c r="B184" s="56"/>
      <c r="C184" s="56"/>
      <c r="D184" s="56"/>
      <c r="E184" s="57"/>
      <c r="F184" s="58"/>
      <c r="G184" s="56"/>
      <c r="H184" s="56"/>
      <c r="I184" s="59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</row>
    <row r="185" spans="1:32" ht="57" customHeight="1" x14ac:dyDescent="0.25">
      <c r="A185" s="56"/>
      <c r="B185" s="56"/>
      <c r="C185" s="56"/>
      <c r="D185" s="56"/>
      <c r="E185" s="57"/>
      <c r="F185" s="58"/>
      <c r="G185" s="56"/>
      <c r="H185" s="56"/>
      <c r="I185" s="59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</row>
    <row r="186" spans="1:32" ht="57" customHeight="1" x14ac:dyDescent="0.25">
      <c r="A186" s="56"/>
      <c r="B186" s="56"/>
      <c r="C186" s="56"/>
      <c r="D186" s="56"/>
      <c r="E186" s="57"/>
      <c r="F186" s="58"/>
      <c r="G186" s="56"/>
      <c r="H186" s="56"/>
      <c r="I186" s="59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</row>
    <row r="187" spans="1:32" ht="57" customHeight="1" x14ac:dyDescent="0.25">
      <c r="A187" s="56"/>
      <c r="B187" s="56"/>
      <c r="C187" s="56"/>
      <c r="D187" s="56"/>
      <c r="E187" s="57"/>
      <c r="F187" s="58"/>
      <c r="G187" s="56"/>
      <c r="H187" s="56"/>
      <c r="I187" s="59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</row>
    <row r="188" spans="1:32" ht="57" customHeight="1" x14ac:dyDescent="0.25">
      <c r="A188" s="56"/>
      <c r="B188" s="56"/>
      <c r="C188" s="56"/>
      <c r="D188" s="56"/>
      <c r="E188" s="57"/>
      <c r="F188" s="58"/>
      <c r="G188" s="56"/>
      <c r="H188" s="56"/>
      <c r="I188" s="59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</row>
    <row r="189" spans="1:32" ht="57" customHeight="1" x14ac:dyDescent="0.25">
      <c r="A189" s="56"/>
      <c r="B189" s="56"/>
      <c r="C189" s="56"/>
      <c r="D189" s="56"/>
      <c r="E189" s="57"/>
      <c r="F189" s="58"/>
      <c r="G189" s="56"/>
      <c r="H189" s="56"/>
      <c r="I189" s="59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</row>
    <row r="190" spans="1:32" ht="57" customHeight="1" x14ac:dyDescent="0.25">
      <c r="A190" s="56"/>
      <c r="B190" s="56"/>
      <c r="C190" s="56"/>
      <c r="D190" s="56"/>
      <c r="E190" s="57"/>
      <c r="F190" s="58"/>
      <c r="G190" s="56"/>
      <c r="H190" s="56"/>
      <c r="I190" s="59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</row>
    <row r="191" spans="1:32" ht="57" customHeight="1" x14ac:dyDescent="0.25">
      <c r="A191" s="56"/>
      <c r="B191" s="56"/>
      <c r="C191" s="56"/>
      <c r="D191" s="56"/>
      <c r="E191" s="57"/>
      <c r="F191" s="58"/>
      <c r="G191" s="56"/>
      <c r="H191" s="56"/>
      <c r="I191" s="59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</row>
    <row r="192" spans="1:32" ht="57" customHeight="1" x14ac:dyDescent="0.25">
      <c r="A192" s="56"/>
      <c r="B192" s="56"/>
      <c r="C192" s="56"/>
      <c r="D192" s="56"/>
      <c r="E192" s="57"/>
      <c r="F192" s="58"/>
      <c r="G192" s="56"/>
      <c r="H192" s="56"/>
      <c r="I192" s="59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</row>
    <row r="193" spans="1:32" ht="57" customHeight="1" x14ac:dyDescent="0.25">
      <c r="A193" s="56"/>
      <c r="B193" s="56"/>
      <c r="C193" s="56"/>
      <c r="D193" s="56"/>
      <c r="E193" s="57"/>
      <c r="F193" s="58"/>
      <c r="G193" s="56"/>
      <c r="H193" s="56"/>
      <c r="I193" s="59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</row>
    <row r="194" spans="1:32" ht="57" customHeight="1" x14ac:dyDescent="0.25">
      <c r="A194" s="56"/>
      <c r="B194" s="56"/>
      <c r="C194" s="56"/>
      <c r="D194" s="56"/>
      <c r="E194" s="57"/>
      <c r="F194" s="58"/>
      <c r="G194" s="56"/>
      <c r="H194" s="56"/>
      <c r="I194" s="59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</row>
    <row r="195" spans="1:32" ht="57" customHeight="1" x14ac:dyDescent="0.25">
      <c r="A195" s="56"/>
      <c r="B195" s="56"/>
      <c r="C195" s="56"/>
      <c r="D195" s="56"/>
      <c r="E195" s="57"/>
      <c r="F195" s="58"/>
      <c r="G195" s="56"/>
      <c r="H195" s="56"/>
      <c r="I195" s="59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</row>
    <row r="196" spans="1:32" ht="57" customHeight="1" x14ac:dyDescent="0.25">
      <c r="A196" s="56"/>
      <c r="B196" s="56"/>
      <c r="C196" s="56"/>
      <c r="D196" s="56"/>
      <c r="E196" s="57"/>
      <c r="F196" s="58"/>
      <c r="G196" s="56"/>
      <c r="H196" s="56"/>
      <c r="I196" s="59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</row>
    <row r="197" spans="1:32" ht="57" customHeight="1" x14ac:dyDescent="0.25">
      <c r="A197" s="56"/>
      <c r="B197" s="56"/>
      <c r="C197" s="56"/>
      <c r="D197" s="56"/>
      <c r="E197" s="57"/>
      <c r="F197" s="58"/>
      <c r="G197" s="56"/>
      <c r="H197" s="56"/>
      <c r="I197" s="59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</row>
    <row r="198" spans="1:32" ht="57" customHeight="1" x14ac:dyDescent="0.25">
      <c r="A198" s="56"/>
      <c r="B198" s="56"/>
      <c r="C198" s="56"/>
      <c r="D198" s="56"/>
      <c r="E198" s="57"/>
      <c r="F198" s="58"/>
      <c r="G198" s="56"/>
      <c r="H198" s="56"/>
      <c r="I198" s="59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</row>
    <row r="199" spans="1:32" ht="57" customHeight="1" x14ac:dyDescent="0.25">
      <c r="A199" s="56"/>
      <c r="B199" s="56"/>
      <c r="C199" s="56"/>
      <c r="D199" s="56"/>
      <c r="E199" s="57"/>
      <c r="F199" s="58"/>
      <c r="G199" s="56"/>
      <c r="H199" s="56"/>
      <c r="I199" s="59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</row>
    <row r="200" spans="1:32" ht="57" customHeight="1" x14ac:dyDescent="0.25">
      <c r="A200" s="47" t="s">
        <v>283</v>
      </c>
      <c r="B200" s="56"/>
      <c r="C200" s="56"/>
      <c r="D200" s="56"/>
      <c r="E200" s="57"/>
      <c r="F200" s="58"/>
      <c r="G200" s="56"/>
      <c r="H200" s="56"/>
      <c r="I200" s="59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</row>
    <row r="201" spans="1:32" ht="57" customHeight="1" x14ac:dyDescent="0.25">
      <c r="A201" s="47" t="s">
        <v>284</v>
      </c>
      <c r="B201" s="56"/>
      <c r="C201" s="56"/>
      <c r="D201" s="56"/>
      <c r="E201" s="57"/>
      <c r="F201" s="58"/>
      <c r="G201" s="56"/>
      <c r="H201" s="56"/>
      <c r="I201" s="59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</row>
    <row r="202" spans="1:32" ht="57" customHeight="1" x14ac:dyDescent="0.25">
      <c r="A202" s="56"/>
      <c r="B202" s="56"/>
      <c r="C202" s="56"/>
      <c r="D202" s="56"/>
      <c r="E202" s="57"/>
      <c r="F202" s="58"/>
      <c r="G202" s="56"/>
      <c r="H202" s="56"/>
      <c r="I202" s="59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</row>
    <row r="203" spans="1:32" ht="57" customHeight="1" x14ac:dyDescent="0.25">
      <c r="A203" s="56"/>
      <c r="B203" s="56"/>
      <c r="C203" s="56"/>
      <c r="D203" s="56"/>
      <c r="E203" s="57"/>
      <c r="F203" s="58"/>
      <c r="G203" s="56"/>
      <c r="H203" s="56"/>
      <c r="I203" s="59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</row>
    <row r="204" spans="1:32" ht="57" customHeight="1" x14ac:dyDescent="0.25">
      <c r="A204" s="56"/>
      <c r="B204" s="56"/>
      <c r="C204" s="56"/>
      <c r="D204" s="56"/>
      <c r="E204" s="57"/>
      <c r="F204" s="58"/>
      <c r="G204" s="56"/>
      <c r="H204" s="56"/>
      <c r="I204" s="59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</row>
    <row r="205" spans="1:32" ht="57" customHeight="1" x14ac:dyDescent="0.25">
      <c r="A205" s="56"/>
      <c r="B205" s="56"/>
      <c r="C205" s="56"/>
      <c r="D205" s="56"/>
      <c r="E205" s="57"/>
      <c r="F205" s="58"/>
      <c r="G205" s="56"/>
      <c r="H205" s="56"/>
      <c r="I205" s="59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</row>
    <row r="206" spans="1:32" ht="57" customHeight="1" x14ac:dyDescent="0.25">
      <c r="A206" s="56"/>
      <c r="B206" s="56"/>
      <c r="C206" s="56"/>
      <c r="D206" s="56"/>
      <c r="E206" s="57"/>
      <c r="F206" s="58"/>
      <c r="G206" s="56"/>
      <c r="H206" s="56"/>
      <c r="I206" s="59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</row>
    <row r="207" spans="1:32" ht="57" customHeight="1" x14ac:dyDescent="0.25">
      <c r="A207" s="56"/>
      <c r="B207" s="56"/>
      <c r="C207" s="56"/>
      <c r="D207" s="56"/>
      <c r="E207" s="57"/>
      <c r="F207" s="58"/>
      <c r="G207" s="56"/>
      <c r="H207" s="56"/>
      <c r="I207" s="59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</row>
    <row r="208" spans="1:32" ht="57" customHeight="1" x14ac:dyDescent="0.25">
      <c r="A208" s="56"/>
      <c r="B208" s="56"/>
      <c r="C208" s="56"/>
      <c r="D208" s="56"/>
      <c r="E208" s="57"/>
      <c r="F208" s="58"/>
      <c r="G208" s="56"/>
      <c r="H208" s="56"/>
      <c r="I208" s="59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</row>
    <row r="209" spans="1:32" ht="57" customHeight="1" x14ac:dyDescent="0.25">
      <c r="A209" s="56"/>
      <c r="B209" s="56"/>
      <c r="C209" s="56"/>
      <c r="D209" s="56"/>
      <c r="E209" s="57"/>
      <c r="F209" s="58"/>
      <c r="G209" s="56"/>
      <c r="H209" s="56"/>
      <c r="I209" s="59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</row>
    <row r="210" spans="1:32" ht="57" customHeight="1" x14ac:dyDescent="0.25">
      <c r="A210" s="56"/>
      <c r="B210" s="56"/>
      <c r="C210" s="56"/>
      <c r="D210" s="56"/>
      <c r="E210" s="57"/>
      <c r="F210" s="58"/>
      <c r="G210" s="56"/>
      <c r="H210" s="56"/>
      <c r="I210" s="59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</row>
    <row r="211" spans="1:32" ht="57" customHeight="1" x14ac:dyDescent="0.25">
      <c r="A211" s="56"/>
      <c r="B211" s="56"/>
      <c r="C211" s="56"/>
      <c r="D211" s="56"/>
      <c r="E211" s="57"/>
      <c r="F211" s="58"/>
      <c r="G211" s="56"/>
      <c r="H211" s="56"/>
      <c r="I211" s="59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</row>
    <row r="212" spans="1:32" ht="57" customHeight="1" x14ac:dyDescent="0.25">
      <c r="A212" s="56"/>
      <c r="B212" s="56"/>
      <c r="C212" s="56"/>
      <c r="D212" s="56"/>
      <c r="E212" s="57"/>
      <c r="F212" s="58"/>
      <c r="G212" s="56"/>
      <c r="H212" s="56"/>
      <c r="I212" s="59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</row>
    <row r="213" spans="1:32" ht="57" customHeight="1" x14ac:dyDescent="0.25">
      <c r="A213" s="56"/>
      <c r="B213" s="56"/>
      <c r="C213" s="56"/>
      <c r="D213" s="56"/>
      <c r="E213" s="57"/>
      <c r="F213" s="58"/>
      <c r="G213" s="56"/>
      <c r="H213" s="56"/>
      <c r="I213" s="59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</row>
    <row r="214" spans="1:32" ht="57" customHeight="1" x14ac:dyDescent="0.25">
      <c r="A214" s="56"/>
      <c r="B214" s="56"/>
      <c r="C214" s="56"/>
      <c r="D214" s="56"/>
      <c r="E214" s="57"/>
      <c r="F214" s="58"/>
      <c r="G214" s="56"/>
      <c r="H214" s="56"/>
      <c r="I214" s="59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</row>
    <row r="215" spans="1:32" ht="57" customHeight="1" x14ac:dyDescent="0.25">
      <c r="A215" s="56"/>
      <c r="B215" s="56"/>
      <c r="C215" s="56"/>
      <c r="D215" s="56"/>
      <c r="E215" s="57"/>
      <c r="F215" s="58"/>
      <c r="G215" s="56"/>
      <c r="H215" s="56"/>
      <c r="I215" s="59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</row>
    <row r="216" spans="1:32" ht="57" customHeight="1" x14ac:dyDescent="0.25">
      <c r="A216" s="56"/>
      <c r="B216" s="56"/>
      <c r="C216" s="56"/>
      <c r="D216" s="56"/>
      <c r="E216" s="57"/>
      <c r="F216" s="58"/>
      <c r="G216" s="56"/>
      <c r="H216" s="56"/>
      <c r="I216" s="59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</row>
    <row r="217" spans="1:32" ht="57" customHeight="1" x14ac:dyDescent="0.25">
      <c r="A217" s="56"/>
      <c r="B217" s="56"/>
      <c r="C217" s="56"/>
      <c r="D217" s="56"/>
      <c r="E217" s="57"/>
      <c r="F217" s="58"/>
      <c r="G217" s="56"/>
      <c r="H217" s="56"/>
      <c r="I217" s="59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</row>
    <row r="218" spans="1:32" ht="57" customHeight="1" x14ac:dyDescent="0.25">
      <c r="A218" s="56"/>
      <c r="B218" s="56"/>
      <c r="C218" s="56"/>
      <c r="D218" s="56"/>
      <c r="E218" s="57"/>
      <c r="F218" s="58"/>
      <c r="G218" s="56"/>
      <c r="H218" s="56"/>
      <c r="I218" s="59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</row>
    <row r="219" spans="1:32" ht="57" customHeight="1" x14ac:dyDescent="0.25">
      <c r="A219" s="56"/>
      <c r="B219" s="56"/>
      <c r="C219" s="56"/>
      <c r="D219" s="56"/>
      <c r="E219" s="57"/>
      <c r="F219" s="58"/>
      <c r="G219" s="56"/>
      <c r="H219" s="56"/>
      <c r="I219" s="59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</row>
    <row r="220" spans="1:32" ht="57" customHeight="1" x14ac:dyDescent="0.25">
      <c r="A220" s="56"/>
      <c r="B220" s="56"/>
      <c r="C220" s="56"/>
      <c r="D220" s="56"/>
      <c r="E220" s="57"/>
      <c r="F220" s="58"/>
      <c r="G220" s="56"/>
      <c r="H220" s="56"/>
      <c r="I220" s="59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</row>
    <row r="221" spans="1:32" ht="57" customHeight="1" x14ac:dyDescent="0.25">
      <c r="A221" s="56"/>
      <c r="B221" s="56"/>
      <c r="C221" s="56"/>
      <c r="D221" s="56"/>
      <c r="E221" s="57"/>
      <c r="F221" s="58"/>
      <c r="G221" s="56"/>
      <c r="H221" s="56"/>
      <c r="I221" s="59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</row>
    <row r="222" spans="1:32" ht="57" customHeight="1" x14ac:dyDescent="0.25">
      <c r="A222" s="56"/>
      <c r="B222" s="56"/>
      <c r="C222" s="56"/>
      <c r="D222" s="56"/>
      <c r="E222" s="57"/>
      <c r="F222" s="58"/>
      <c r="G222" s="56"/>
      <c r="H222" s="56"/>
      <c r="I222" s="59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</row>
    <row r="223" spans="1:32" ht="57" customHeight="1" x14ac:dyDescent="0.25">
      <c r="A223" s="56"/>
      <c r="B223" s="56"/>
      <c r="C223" s="56"/>
      <c r="D223" s="56"/>
      <c r="E223" s="57"/>
      <c r="F223" s="58"/>
      <c r="G223" s="56"/>
      <c r="H223" s="56"/>
      <c r="I223" s="59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</row>
    <row r="224" spans="1:32" ht="57" customHeight="1" x14ac:dyDescent="0.25">
      <c r="A224" s="56"/>
      <c r="B224" s="56"/>
      <c r="C224" s="56"/>
      <c r="D224" s="56"/>
      <c r="E224" s="57"/>
      <c r="F224" s="58"/>
      <c r="G224" s="56"/>
      <c r="H224" s="56"/>
      <c r="I224" s="59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</row>
    <row r="225" spans="1:32" ht="57" customHeight="1" x14ac:dyDescent="0.25">
      <c r="A225" s="56"/>
      <c r="B225" s="56"/>
      <c r="C225" s="56"/>
      <c r="D225" s="56"/>
      <c r="E225" s="57"/>
      <c r="F225" s="58"/>
      <c r="G225" s="56"/>
      <c r="H225" s="56"/>
      <c r="I225" s="59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</row>
    <row r="226" spans="1:32" ht="57" customHeight="1" x14ac:dyDescent="0.25">
      <c r="A226" s="56"/>
      <c r="B226" s="56"/>
      <c r="C226" s="56"/>
      <c r="D226" s="56"/>
      <c r="E226" s="57"/>
      <c r="F226" s="58"/>
      <c r="G226" s="56"/>
      <c r="H226" s="56"/>
      <c r="I226" s="59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</row>
    <row r="227" spans="1:32" ht="57" customHeight="1" x14ac:dyDescent="0.25">
      <c r="A227" s="56"/>
      <c r="B227" s="56"/>
      <c r="C227" s="56"/>
      <c r="D227" s="56"/>
      <c r="E227" s="57"/>
      <c r="F227" s="58"/>
      <c r="G227" s="56"/>
      <c r="H227" s="56"/>
      <c r="I227" s="59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</row>
    <row r="228" spans="1:32" ht="57" customHeight="1" x14ac:dyDescent="0.25">
      <c r="A228" s="56"/>
      <c r="B228" s="56"/>
      <c r="C228" s="56"/>
      <c r="D228" s="56"/>
      <c r="E228" s="57"/>
      <c r="F228" s="58"/>
      <c r="G228" s="56"/>
      <c r="H228" s="56"/>
      <c r="I228" s="59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</row>
    <row r="229" spans="1:32" ht="57" customHeight="1" x14ac:dyDescent="0.25">
      <c r="A229" s="56"/>
      <c r="B229" s="56"/>
      <c r="C229" s="56"/>
      <c r="D229" s="56"/>
      <c r="E229" s="57"/>
      <c r="F229" s="58"/>
      <c r="G229" s="56"/>
      <c r="H229" s="56"/>
      <c r="I229" s="59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</row>
    <row r="230" spans="1:32" ht="57" customHeight="1" x14ac:dyDescent="0.25">
      <c r="A230" s="56"/>
      <c r="B230" s="56"/>
      <c r="C230" s="56"/>
      <c r="D230" s="56"/>
      <c r="E230" s="57"/>
      <c r="F230" s="58"/>
      <c r="G230" s="56"/>
      <c r="H230" s="56"/>
      <c r="I230" s="59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</row>
    <row r="231" spans="1:32" ht="57" customHeight="1" x14ac:dyDescent="0.25">
      <c r="A231" s="56"/>
      <c r="B231" s="56"/>
      <c r="C231" s="56"/>
      <c r="D231" s="56"/>
      <c r="E231" s="57"/>
      <c r="F231" s="58"/>
      <c r="G231" s="56"/>
      <c r="H231" s="56"/>
      <c r="I231" s="59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</row>
    <row r="232" spans="1:32" ht="57" customHeight="1" x14ac:dyDescent="0.25">
      <c r="A232" s="56"/>
      <c r="B232" s="56"/>
      <c r="C232" s="56"/>
      <c r="D232" s="56"/>
      <c r="E232" s="57"/>
      <c r="F232" s="58"/>
      <c r="G232" s="56"/>
      <c r="H232" s="56"/>
      <c r="I232" s="59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</row>
    <row r="233" spans="1:32" ht="57" customHeight="1" x14ac:dyDescent="0.25">
      <c r="A233" s="56"/>
      <c r="B233" s="56"/>
      <c r="C233" s="56"/>
      <c r="D233" s="56"/>
      <c r="E233" s="57"/>
      <c r="F233" s="58"/>
      <c r="G233" s="56"/>
      <c r="H233" s="56"/>
      <c r="I233" s="59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</row>
    <row r="234" spans="1:32" ht="57" customHeight="1" x14ac:dyDescent="0.25">
      <c r="A234" s="56"/>
      <c r="B234" s="56"/>
      <c r="C234" s="56"/>
      <c r="D234" s="56"/>
      <c r="E234" s="57"/>
      <c r="F234" s="58"/>
      <c r="G234" s="56"/>
      <c r="H234" s="56"/>
      <c r="I234" s="59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</row>
    <row r="235" spans="1:32" ht="57" customHeight="1" x14ac:dyDescent="0.25">
      <c r="A235" s="56"/>
      <c r="B235" s="56"/>
      <c r="C235" s="56"/>
      <c r="D235" s="56"/>
      <c r="E235" s="57"/>
      <c r="F235" s="58"/>
      <c r="G235" s="56"/>
      <c r="H235" s="56"/>
      <c r="I235" s="59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</row>
    <row r="236" spans="1:32" ht="57" customHeight="1" x14ac:dyDescent="0.25">
      <c r="A236" s="56"/>
      <c r="B236" s="56"/>
      <c r="C236" s="56"/>
      <c r="D236" s="56"/>
      <c r="E236" s="57"/>
      <c r="F236" s="58"/>
      <c r="G236" s="56"/>
      <c r="H236" s="56"/>
      <c r="I236" s="59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</row>
    <row r="237" spans="1:32" ht="57" customHeight="1" x14ac:dyDescent="0.25">
      <c r="A237" s="56"/>
      <c r="B237" s="56"/>
      <c r="C237" s="56"/>
      <c r="D237" s="56"/>
      <c r="E237" s="57"/>
      <c r="F237" s="58"/>
      <c r="G237" s="56"/>
      <c r="H237" s="56"/>
      <c r="I237" s="59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</row>
    <row r="238" spans="1:32" ht="57" customHeight="1" x14ac:dyDescent="0.25">
      <c r="A238" s="56"/>
      <c r="B238" s="56"/>
      <c r="C238" s="56"/>
      <c r="D238" s="56"/>
      <c r="E238" s="57"/>
      <c r="F238" s="58"/>
      <c r="G238" s="56"/>
      <c r="H238" s="56"/>
      <c r="I238" s="59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</row>
    <row r="239" spans="1:32" ht="57" customHeight="1" x14ac:dyDescent="0.25">
      <c r="A239" s="56"/>
      <c r="B239" s="56"/>
      <c r="C239" s="56"/>
      <c r="D239" s="56"/>
      <c r="E239" s="57"/>
      <c r="F239" s="58"/>
      <c r="G239" s="56"/>
      <c r="H239" s="56"/>
      <c r="I239" s="59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</row>
    <row r="240" spans="1:32" ht="57" customHeight="1" x14ac:dyDescent="0.25">
      <c r="A240" s="56"/>
      <c r="B240" s="56"/>
      <c r="C240" s="56"/>
      <c r="D240" s="56"/>
      <c r="E240" s="57"/>
      <c r="F240" s="58"/>
      <c r="G240" s="56"/>
      <c r="H240" s="56"/>
      <c r="I240" s="59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</row>
    <row r="241" spans="1:32" ht="57" customHeight="1" x14ac:dyDescent="0.25">
      <c r="A241" s="56"/>
      <c r="B241" s="56"/>
      <c r="C241" s="56"/>
      <c r="D241" s="56"/>
      <c r="E241" s="57"/>
      <c r="F241" s="58"/>
      <c r="G241" s="56"/>
      <c r="H241" s="56"/>
      <c r="I241" s="59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</row>
    <row r="242" spans="1:32" ht="57" customHeight="1" x14ac:dyDescent="0.25">
      <c r="A242" s="56"/>
      <c r="B242" s="56"/>
      <c r="C242" s="56"/>
      <c r="D242" s="56"/>
      <c r="E242" s="57"/>
      <c r="F242" s="58"/>
      <c r="G242" s="56"/>
      <c r="H242" s="56"/>
      <c r="I242" s="59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</row>
    <row r="243" spans="1:32" ht="57" customHeight="1" x14ac:dyDescent="0.25">
      <c r="A243" s="56"/>
      <c r="B243" s="56"/>
      <c r="C243" s="56"/>
      <c r="D243" s="56"/>
      <c r="E243" s="57"/>
      <c r="F243" s="58"/>
      <c r="G243" s="56"/>
      <c r="H243" s="56"/>
      <c r="I243" s="59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</row>
    <row r="244" spans="1:32" ht="57" customHeight="1" x14ac:dyDescent="0.25">
      <c r="A244" s="56"/>
      <c r="B244" s="56"/>
      <c r="C244" s="56"/>
      <c r="D244" s="56"/>
      <c r="E244" s="57"/>
      <c r="F244" s="58"/>
      <c r="G244" s="56"/>
      <c r="H244" s="56"/>
      <c r="I244" s="59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</row>
    <row r="245" spans="1:32" ht="57" customHeight="1" x14ac:dyDescent="0.25">
      <c r="A245" s="56"/>
      <c r="B245" s="56"/>
      <c r="C245" s="56"/>
      <c r="D245" s="56"/>
      <c r="E245" s="57"/>
      <c r="F245" s="58"/>
      <c r="G245" s="56"/>
      <c r="H245" s="56"/>
      <c r="I245" s="59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</row>
    <row r="246" spans="1:32" ht="57" customHeight="1" x14ac:dyDescent="0.25">
      <c r="A246" s="56"/>
      <c r="B246" s="56"/>
      <c r="C246" s="56"/>
      <c r="D246" s="56"/>
      <c r="E246" s="57"/>
      <c r="F246" s="58"/>
      <c r="G246" s="56"/>
      <c r="H246" s="56"/>
      <c r="I246" s="59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</row>
    <row r="247" spans="1:32" ht="57" customHeight="1" x14ac:dyDescent="0.25">
      <c r="A247" s="56"/>
      <c r="B247" s="56"/>
      <c r="C247" s="56"/>
      <c r="D247" s="56"/>
      <c r="E247" s="57"/>
      <c r="F247" s="58"/>
      <c r="G247" s="56"/>
      <c r="H247" s="56"/>
      <c r="I247" s="59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</row>
    <row r="248" spans="1:32" ht="57" customHeight="1" x14ac:dyDescent="0.25">
      <c r="A248" s="56"/>
      <c r="B248" s="56"/>
      <c r="C248" s="56"/>
      <c r="D248" s="56"/>
      <c r="E248" s="57"/>
      <c r="F248" s="58"/>
      <c r="G248" s="56"/>
      <c r="H248" s="56"/>
      <c r="I248" s="59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</row>
    <row r="249" spans="1:32" ht="57" customHeight="1" x14ac:dyDescent="0.25">
      <c r="A249" s="56"/>
      <c r="B249" s="56"/>
      <c r="C249" s="56"/>
      <c r="D249" s="56"/>
      <c r="E249" s="57"/>
      <c r="F249" s="58"/>
      <c r="G249" s="56"/>
      <c r="H249" s="56"/>
      <c r="I249" s="59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</row>
    <row r="250" spans="1:32" ht="57" customHeight="1" x14ac:dyDescent="0.25">
      <c r="A250" s="56"/>
      <c r="B250" s="56"/>
      <c r="C250" s="56"/>
      <c r="D250" s="56"/>
      <c r="E250" s="57"/>
      <c r="F250" s="58"/>
      <c r="G250" s="56"/>
      <c r="H250" s="56"/>
      <c r="I250" s="59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</row>
    <row r="251" spans="1:32" ht="57" customHeight="1" x14ac:dyDescent="0.25">
      <c r="A251" s="56"/>
      <c r="B251" s="56"/>
      <c r="C251" s="56"/>
      <c r="D251" s="56"/>
      <c r="E251" s="57"/>
      <c r="F251" s="58"/>
      <c r="G251" s="56"/>
      <c r="H251" s="56"/>
      <c r="I251" s="59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</row>
    <row r="252" spans="1:32" ht="57" customHeight="1" x14ac:dyDescent="0.25">
      <c r="A252" s="56"/>
      <c r="B252" s="56"/>
      <c r="C252" s="56"/>
      <c r="D252" s="56"/>
      <c r="E252" s="57"/>
      <c r="F252" s="58"/>
      <c r="G252" s="56"/>
      <c r="H252" s="56"/>
      <c r="I252" s="59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</row>
    <row r="253" spans="1:32" ht="57" customHeight="1" x14ac:dyDescent="0.25">
      <c r="A253" s="56"/>
      <c r="B253" s="56"/>
      <c r="C253" s="56"/>
      <c r="D253" s="56"/>
      <c r="E253" s="57"/>
      <c r="F253" s="58"/>
      <c r="G253" s="56"/>
      <c r="H253" s="56"/>
      <c r="I253" s="59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</row>
    <row r="254" spans="1:32" ht="57" customHeight="1" x14ac:dyDescent="0.25">
      <c r="A254" s="56"/>
      <c r="B254" s="56"/>
      <c r="C254" s="56"/>
      <c r="D254" s="56"/>
      <c r="E254" s="57"/>
      <c r="F254" s="58"/>
      <c r="G254" s="56"/>
      <c r="H254" s="56"/>
      <c r="I254" s="59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</row>
    <row r="255" spans="1:32" ht="57" customHeight="1" x14ac:dyDescent="0.25">
      <c r="A255" s="56"/>
      <c r="B255" s="56"/>
      <c r="C255" s="56"/>
      <c r="D255" s="56"/>
      <c r="E255" s="57"/>
      <c r="F255" s="58"/>
      <c r="G255" s="56"/>
      <c r="H255" s="56"/>
      <c r="I255" s="59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</row>
    <row r="256" spans="1:32" ht="57" customHeight="1" x14ac:dyDescent="0.25">
      <c r="A256" s="56"/>
      <c r="B256" s="56"/>
      <c r="C256" s="56"/>
      <c r="D256" s="56"/>
      <c r="E256" s="57"/>
      <c r="F256" s="58"/>
      <c r="G256" s="56"/>
      <c r="H256" s="56"/>
      <c r="I256" s="59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</row>
    <row r="257" spans="1:32" ht="57" customHeight="1" x14ac:dyDescent="0.25">
      <c r="A257" s="56"/>
      <c r="B257" s="56"/>
      <c r="C257" s="56"/>
      <c r="D257" s="56"/>
      <c r="E257" s="57"/>
      <c r="F257" s="58"/>
      <c r="G257" s="56"/>
      <c r="H257" s="56"/>
      <c r="I257" s="59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</row>
    <row r="258" spans="1:32" ht="57" customHeight="1" x14ac:dyDescent="0.25">
      <c r="A258" s="56"/>
      <c r="B258" s="56"/>
      <c r="C258" s="56"/>
      <c r="D258" s="56"/>
      <c r="E258" s="57"/>
      <c r="F258" s="58"/>
      <c r="G258" s="56"/>
      <c r="H258" s="56"/>
      <c r="I258" s="59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</row>
    <row r="259" spans="1:32" ht="57" customHeight="1" x14ac:dyDescent="0.25">
      <c r="A259" s="56"/>
      <c r="B259" s="56"/>
      <c r="C259" s="56"/>
      <c r="D259" s="56"/>
      <c r="E259" s="57"/>
      <c r="F259" s="58"/>
      <c r="G259" s="56"/>
      <c r="H259" s="56"/>
      <c r="I259" s="59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</row>
    <row r="260" spans="1:32" ht="57" customHeight="1" x14ac:dyDescent="0.25">
      <c r="A260" s="56"/>
      <c r="B260" s="56"/>
      <c r="C260" s="56"/>
      <c r="D260" s="56"/>
      <c r="E260" s="57"/>
      <c r="F260" s="58"/>
      <c r="G260" s="56"/>
      <c r="H260" s="56"/>
      <c r="I260" s="59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</row>
    <row r="261" spans="1:32" ht="57" customHeight="1" x14ac:dyDescent="0.25">
      <c r="A261" s="56"/>
      <c r="B261" s="56"/>
      <c r="C261" s="56"/>
      <c r="D261" s="56"/>
      <c r="E261" s="57"/>
      <c r="F261" s="58"/>
      <c r="G261" s="56"/>
      <c r="H261" s="56"/>
      <c r="I261" s="59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</row>
    <row r="262" spans="1:32" ht="57" customHeight="1" x14ac:dyDescent="0.25">
      <c r="A262" s="56"/>
      <c r="B262" s="56"/>
      <c r="C262" s="56"/>
      <c r="D262" s="56"/>
      <c r="E262" s="57"/>
      <c r="F262" s="58"/>
      <c r="G262" s="56"/>
      <c r="H262" s="56"/>
      <c r="I262" s="59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</row>
    <row r="263" spans="1:32" ht="57" customHeight="1" x14ac:dyDescent="0.25">
      <c r="A263" s="56"/>
      <c r="B263" s="56"/>
      <c r="C263" s="56"/>
      <c r="D263" s="56"/>
      <c r="E263" s="57"/>
      <c r="F263" s="58"/>
      <c r="G263" s="56"/>
      <c r="H263" s="56"/>
      <c r="I263" s="59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</row>
    <row r="264" spans="1:32" ht="57" customHeight="1" x14ac:dyDescent="0.25">
      <c r="A264" s="56"/>
      <c r="B264" s="56"/>
      <c r="C264" s="56"/>
      <c r="D264" s="56"/>
      <c r="E264" s="57"/>
      <c r="F264" s="58"/>
      <c r="G264" s="56"/>
      <c r="H264" s="56"/>
      <c r="I264" s="59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</row>
    <row r="265" spans="1:32" ht="57" customHeight="1" x14ac:dyDescent="0.25">
      <c r="A265" s="56"/>
      <c r="B265" s="56"/>
      <c r="C265" s="56"/>
      <c r="D265" s="56"/>
      <c r="E265" s="57"/>
      <c r="F265" s="58"/>
      <c r="G265" s="56"/>
      <c r="H265" s="56"/>
      <c r="I265" s="59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</row>
    <row r="266" spans="1:32" ht="57" customHeight="1" x14ac:dyDescent="0.25">
      <c r="A266" s="56"/>
      <c r="B266" s="56"/>
      <c r="C266" s="56"/>
      <c r="D266" s="56"/>
      <c r="E266" s="57"/>
      <c r="F266" s="58"/>
      <c r="G266" s="56"/>
      <c r="H266" s="56"/>
      <c r="I266" s="59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</row>
    <row r="267" spans="1:32" ht="57" customHeight="1" x14ac:dyDescent="0.25">
      <c r="A267" s="56"/>
      <c r="B267" s="56"/>
      <c r="C267" s="56"/>
      <c r="D267" s="56"/>
      <c r="E267" s="57"/>
      <c r="F267" s="58"/>
      <c r="G267" s="56"/>
      <c r="H267" s="56"/>
      <c r="I267" s="59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</row>
    <row r="268" spans="1:32" ht="57" customHeight="1" x14ac:dyDescent="0.25">
      <c r="A268" s="56"/>
      <c r="B268" s="56"/>
      <c r="C268" s="56"/>
      <c r="D268" s="56"/>
      <c r="E268" s="57"/>
      <c r="F268" s="58"/>
      <c r="G268" s="56"/>
      <c r="H268" s="56"/>
      <c r="I268" s="59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</row>
    <row r="269" spans="1:32" ht="57" customHeight="1" x14ac:dyDescent="0.25">
      <c r="A269" s="56"/>
      <c r="B269" s="56"/>
      <c r="C269" s="56"/>
      <c r="D269" s="56"/>
      <c r="E269" s="57"/>
      <c r="F269" s="58"/>
      <c r="G269" s="56"/>
      <c r="H269" s="56"/>
      <c r="I269" s="59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</row>
    <row r="270" spans="1:32" ht="57" customHeight="1" x14ac:dyDescent="0.25">
      <c r="A270" s="56"/>
      <c r="B270" s="56"/>
      <c r="C270" s="56"/>
      <c r="D270" s="56"/>
      <c r="E270" s="57"/>
      <c r="F270" s="58"/>
      <c r="G270" s="56"/>
      <c r="H270" s="56"/>
      <c r="I270" s="59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</row>
    <row r="271" spans="1:32" ht="57" customHeight="1" x14ac:dyDescent="0.25">
      <c r="A271" s="56"/>
      <c r="B271" s="56"/>
      <c r="C271" s="56"/>
      <c r="D271" s="56"/>
      <c r="E271" s="57"/>
      <c r="F271" s="58"/>
      <c r="G271" s="56"/>
      <c r="H271" s="56"/>
      <c r="I271" s="59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</row>
    <row r="272" spans="1:32" ht="57" customHeight="1" x14ac:dyDescent="0.25">
      <c r="A272" s="56"/>
      <c r="B272" s="56"/>
      <c r="C272" s="56"/>
      <c r="D272" s="56"/>
      <c r="E272" s="57"/>
      <c r="F272" s="58"/>
      <c r="G272" s="56"/>
      <c r="H272" s="56"/>
      <c r="I272" s="59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</row>
    <row r="273" spans="1:32" ht="57" customHeight="1" x14ac:dyDescent="0.25">
      <c r="A273" s="56"/>
      <c r="B273" s="56"/>
      <c r="C273" s="56"/>
      <c r="D273" s="56"/>
      <c r="E273" s="57"/>
      <c r="F273" s="58"/>
      <c r="G273" s="56"/>
      <c r="H273" s="56"/>
      <c r="I273" s="59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</row>
    <row r="274" spans="1:32" ht="57" customHeight="1" x14ac:dyDescent="0.25">
      <c r="A274" s="56"/>
      <c r="B274" s="56"/>
      <c r="C274" s="56"/>
      <c r="D274" s="56"/>
      <c r="E274" s="57"/>
      <c r="F274" s="58"/>
      <c r="G274" s="56"/>
      <c r="H274" s="56"/>
      <c r="I274" s="59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</row>
    <row r="275" spans="1:32" ht="57" customHeight="1" x14ac:dyDescent="0.25">
      <c r="A275" s="56"/>
      <c r="B275" s="56"/>
      <c r="C275" s="56"/>
      <c r="D275" s="56"/>
      <c r="E275" s="57"/>
      <c r="F275" s="58"/>
      <c r="G275" s="56"/>
      <c r="H275" s="56"/>
      <c r="I275" s="59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</row>
    <row r="276" spans="1:32" ht="57" customHeight="1" x14ac:dyDescent="0.25">
      <c r="A276" s="56"/>
      <c r="B276" s="56"/>
      <c r="C276" s="56"/>
      <c r="D276" s="56"/>
      <c r="E276" s="57"/>
      <c r="F276" s="58"/>
      <c r="G276" s="56"/>
      <c r="H276" s="56"/>
      <c r="I276" s="59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</row>
    <row r="277" spans="1:32" ht="57" customHeight="1" x14ac:dyDescent="0.25">
      <c r="A277" s="56"/>
      <c r="B277" s="56"/>
      <c r="C277" s="56"/>
      <c r="D277" s="56"/>
      <c r="E277" s="57"/>
      <c r="F277" s="58"/>
      <c r="G277" s="56"/>
      <c r="H277" s="56"/>
      <c r="I277" s="59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</row>
    <row r="278" spans="1:32" ht="57" customHeight="1" x14ac:dyDescent="0.25">
      <c r="A278" s="56"/>
      <c r="B278" s="56"/>
      <c r="C278" s="56"/>
      <c r="D278" s="56"/>
      <c r="E278" s="57"/>
      <c r="F278" s="58"/>
      <c r="G278" s="56"/>
      <c r="H278" s="56"/>
      <c r="I278" s="59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</row>
    <row r="279" spans="1:32" ht="57" customHeight="1" x14ac:dyDescent="0.25">
      <c r="A279" s="56"/>
      <c r="B279" s="56"/>
      <c r="C279" s="56"/>
      <c r="D279" s="56"/>
      <c r="E279" s="57"/>
      <c r="F279" s="58"/>
      <c r="G279" s="56"/>
      <c r="H279" s="56"/>
      <c r="I279" s="59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</row>
    <row r="280" spans="1:32" ht="57" customHeight="1" x14ac:dyDescent="0.25">
      <c r="A280" s="56"/>
      <c r="B280" s="56"/>
      <c r="C280" s="56"/>
      <c r="D280" s="56"/>
      <c r="E280" s="57"/>
      <c r="F280" s="58"/>
      <c r="G280" s="56"/>
      <c r="H280" s="56"/>
      <c r="I280" s="59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</row>
    <row r="281" spans="1:32" ht="57" customHeight="1" x14ac:dyDescent="0.25">
      <c r="A281" s="56"/>
      <c r="B281" s="56"/>
      <c r="C281" s="56"/>
      <c r="D281" s="56"/>
      <c r="E281" s="57"/>
      <c r="F281" s="58"/>
      <c r="G281" s="56"/>
      <c r="H281" s="56"/>
      <c r="I281" s="59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</row>
    <row r="282" spans="1:32" ht="57" customHeight="1" x14ac:dyDescent="0.25">
      <c r="A282" s="56"/>
      <c r="B282" s="56"/>
      <c r="C282" s="56"/>
      <c r="D282" s="56"/>
      <c r="E282" s="57"/>
      <c r="F282" s="58"/>
      <c r="G282" s="56"/>
      <c r="H282" s="56"/>
      <c r="I282" s="59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</row>
    <row r="283" spans="1:32" ht="57" customHeight="1" x14ac:dyDescent="0.25">
      <c r="A283" s="56"/>
      <c r="B283" s="56"/>
      <c r="C283" s="56"/>
      <c r="D283" s="56"/>
      <c r="E283" s="57"/>
      <c r="F283" s="58"/>
      <c r="G283" s="56"/>
      <c r="H283" s="56"/>
      <c r="I283" s="59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</row>
    <row r="284" spans="1:32" ht="57" customHeight="1" x14ac:dyDescent="0.25">
      <c r="A284" s="56"/>
      <c r="B284" s="56"/>
      <c r="C284" s="56"/>
      <c r="D284" s="56"/>
      <c r="E284" s="57"/>
      <c r="F284" s="58"/>
      <c r="G284" s="56"/>
      <c r="H284" s="56"/>
      <c r="I284" s="59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</row>
    <row r="285" spans="1:32" ht="57" customHeight="1" x14ac:dyDescent="0.25">
      <c r="A285" s="56"/>
      <c r="B285" s="56"/>
      <c r="C285" s="56"/>
      <c r="D285" s="56"/>
      <c r="E285" s="57"/>
      <c r="F285" s="58"/>
      <c r="G285" s="56"/>
      <c r="H285" s="56"/>
      <c r="I285" s="59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</row>
    <row r="286" spans="1:32" ht="57" customHeight="1" x14ac:dyDescent="0.25">
      <c r="A286" s="56"/>
      <c r="B286" s="56"/>
      <c r="C286" s="56"/>
      <c r="D286" s="56"/>
      <c r="E286" s="57"/>
      <c r="F286" s="58"/>
      <c r="G286" s="56"/>
      <c r="H286" s="56"/>
      <c r="I286" s="59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</row>
    <row r="287" spans="1:32" ht="57" customHeight="1" x14ac:dyDescent="0.25">
      <c r="A287" s="56"/>
      <c r="B287" s="56"/>
      <c r="C287" s="56"/>
      <c r="D287" s="56"/>
      <c r="E287" s="57"/>
      <c r="F287" s="58"/>
      <c r="G287" s="56"/>
      <c r="H287" s="56"/>
      <c r="I287" s="59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</row>
    <row r="288" spans="1:32" ht="57" customHeight="1" x14ac:dyDescent="0.25">
      <c r="A288" s="56"/>
      <c r="B288" s="56"/>
      <c r="C288" s="56"/>
      <c r="D288" s="56"/>
      <c r="E288" s="57"/>
      <c r="F288" s="58"/>
      <c r="G288" s="56"/>
      <c r="H288" s="56"/>
      <c r="I288" s="59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</row>
    <row r="289" spans="1:32" ht="57" customHeight="1" x14ac:dyDescent="0.25">
      <c r="A289" s="56"/>
      <c r="B289" s="56"/>
      <c r="C289" s="56"/>
      <c r="D289" s="56"/>
      <c r="E289" s="57"/>
      <c r="F289" s="58"/>
      <c r="G289" s="56"/>
      <c r="H289" s="56"/>
      <c r="I289" s="59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</row>
    <row r="290" spans="1:32" ht="57" customHeight="1" x14ac:dyDescent="0.25">
      <c r="A290" s="56"/>
      <c r="B290" s="56"/>
      <c r="C290" s="56"/>
      <c r="D290" s="56"/>
      <c r="E290" s="57"/>
      <c r="F290" s="58"/>
      <c r="G290" s="56"/>
      <c r="H290" s="56"/>
      <c r="I290" s="59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</row>
    <row r="291" spans="1:32" ht="57" customHeight="1" x14ac:dyDescent="0.25">
      <c r="A291" s="56"/>
      <c r="B291" s="56"/>
      <c r="C291" s="56"/>
      <c r="D291" s="56"/>
      <c r="E291" s="57"/>
      <c r="F291" s="58"/>
      <c r="G291" s="56"/>
      <c r="H291" s="56"/>
      <c r="I291" s="59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</row>
    <row r="292" spans="1:32" ht="57" customHeight="1" x14ac:dyDescent="0.25">
      <c r="A292" s="56"/>
      <c r="B292" s="56"/>
      <c r="C292" s="56"/>
      <c r="D292" s="56"/>
      <c r="E292" s="57"/>
      <c r="F292" s="58"/>
      <c r="G292" s="56"/>
      <c r="H292" s="56"/>
      <c r="I292" s="59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</row>
    <row r="293" spans="1:32" ht="57" customHeight="1" x14ac:dyDescent="0.25">
      <c r="A293" s="56"/>
      <c r="B293" s="56"/>
      <c r="C293" s="56"/>
      <c r="D293" s="56"/>
      <c r="E293" s="57"/>
      <c r="F293" s="58"/>
      <c r="G293" s="56"/>
      <c r="H293" s="56"/>
      <c r="I293" s="59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</row>
    <row r="294" spans="1:32" ht="57" customHeight="1" x14ac:dyDescent="0.25">
      <c r="A294" s="56"/>
      <c r="B294" s="56"/>
      <c r="C294" s="56"/>
      <c r="D294" s="56"/>
      <c r="E294" s="57"/>
      <c r="F294" s="58"/>
      <c r="G294" s="56"/>
      <c r="H294" s="56"/>
      <c r="I294" s="59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</row>
    <row r="295" spans="1:32" ht="57" customHeight="1" x14ac:dyDescent="0.25">
      <c r="A295" s="56"/>
      <c r="B295" s="56"/>
      <c r="C295" s="56"/>
      <c r="D295" s="56"/>
      <c r="E295" s="57"/>
      <c r="F295" s="58"/>
      <c r="G295" s="56"/>
      <c r="H295" s="56"/>
      <c r="I295" s="59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</row>
    <row r="296" spans="1:32" ht="57" customHeight="1" x14ac:dyDescent="0.25">
      <c r="A296" s="56"/>
      <c r="B296" s="56"/>
      <c r="C296" s="56"/>
      <c r="D296" s="56"/>
      <c r="E296" s="57"/>
      <c r="F296" s="58"/>
      <c r="G296" s="56"/>
      <c r="H296" s="56"/>
      <c r="I296" s="59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</row>
    <row r="297" spans="1:32" ht="57" customHeight="1" x14ac:dyDescent="0.25">
      <c r="A297" s="56"/>
      <c r="B297" s="56"/>
      <c r="C297" s="56"/>
      <c r="D297" s="56"/>
      <c r="E297" s="57"/>
      <c r="F297" s="58"/>
      <c r="G297" s="56"/>
      <c r="H297" s="56"/>
      <c r="I297" s="59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</row>
    <row r="298" spans="1:32" ht="57" customHeight="1" x14ac:dyDescent="0.25">
      <c r="A298" s="56"/>
      <c r="B298" s="56"/>
      <c r="C298" s="56"/>
      <c r="D298" s="56"/>
      <c r="E298" s="57"/>
      <c r="F298" s="58"/>
      <c r="G298" s="56"/>
      <c r="H298" s="56"/>
      <c r="I298" s="59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</row>
    <row r="299" spans="1:32" ht="57" customHeight="1" x14ac:dyDescent="0.25">
      <c r="A299" s="56"/>
      <c r="B299" s="56"/>
      <c r="C299" s="56"/>
      <c r="D299" s="56"/>
      <c r="E299" s="57"/>
      <c r="F299" s="58"/>
      <c r="G299" s="56"/>
      <c r="H299" s="56"/>
      <c r="I299" s="59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</row>
    <row r="300" spans="1:32" ht="57" customHeight="1" x14ac:dyDescent="0.25">
      <c r="A300" s="56"/>
      <c r="B300" s="56"/>
      <c r="C300" s="56"/>
      <c r="D300" s="56"/>
      <c r="E300" s="57"/>
      <c r="F300" s="58"/>
      <c r="G300" s="56"/>
      <c r="H300" s="56"/>
      <c r="I300" s="59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</row>
    <row r="301" spans="1:32" ht="57" customHeight="1" x14ac:dyDescent="0.25">
      <c r="A301" s="56"/>
      <c r="B301" s="56"/>
      <c r="C301" s="56"/>
      <c r="D301" s="56"/>
      <c r="E301" s="57"/>
      <c r="F301" s="58"/>
      <c r="G301" s="56"/>
      <c r="H301" s="56"/>
      <c r="I301" s="59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</row>
    <row r="302" spans="1:32" ht="57" customHeight="1" x14ac:dyDescent="0.25">
      <c r="A302" s="56"/>
      <c r="B302" s="56"/>
      <c r="C302" s="56"/>
      <c r="D302" s="56"/>
      <c r="E302" s="57"/>
      <c r="F302" s="58"/>
      <c r="G302" s="56"/>
      <c r="H302" s="56"/>
      <c r="I302" s="59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</row>
    <row r="303" spans="1:32" ht="57" customHeight="1" x14ac:dyDescent="0.25">
      <c r="A303" s="56"/>
      <c r="B303" s="56"/>
      <c r="C303" s="56"/>
      <c r="D303" s="56"/>
      <c r="E303" s="57"/>
      <c r="F303" s="58"/>
      <c r="G303" s="56"/>
      <c r="H303" s="56"/>
      <c r="I303" s="59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</row>
    <row r="304" spans="1:32" ht="57" customHeight="1" x14ac:dyDescent="0.25">
      <c r="A304" s="56"/>
      <c r="B304" s="56"/>
      <c r="C304" s="56"/>
      <c r="D304" s="56"/>
      <c r="E304" s="57"/>
      <c r="F304" s="58"/>
      <c r="G304" s="56"/>
      <c r="H304" s="56"/>
      <c r="I304" s="59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</row>
    <row r="305" spans="1:32" ht="57" customHeight="1" x14ac:dyDescent="0.25">
      <c r="A305" s="56"/>
      <c r="B305" s="56"/>
      <c r="C305" s="56"/>
      <c r="D305" s="56"/>
      <c r="E305" s="57"/>
      <c r="F305" s="58"/>
      <c r="G305" s="56"/>
      <c r="H305" s="56"/>
      <c r="I305" s="59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</row>
    <row r="306" spans="1:32" ht="57" customHeight="1" x14ac:dyDescent="0.25">
      <c r="A306" s="56"/>
      <c r="B306" s="56"/>
      <c r="C306" s="56"/>
      <c r="D306" s="56"/>
      <c r="E306" s="57"/>
      <c r="F306" s="58"/>
      <c r="G306" s="56"/>
      <c r="H306" s="56"/>
      <c r="I306" s="59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</row>
    <row r="307" spans="1:32" ht="57" customHeight="1" x14ac:dyDescent="0.25">
      <c r="A307" s="56"/>
      <c r="B307" s="56"/>
      <c r="C307" s="56"/>
      <c r="D307" s="56"/>
      <c r="E307" s="57"/>
      <c r="F307" s="58"/>
      <c r="G307" s="56"/>
      <c r="H307" s="56"/>
      <c r="I307" s="59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</row>
    <row r="308" spans="1:32" ht="57" customHeight="1" x14ac:dyDescent="0.25">
      <c r="A308" s="56"/>
      <c r="B308" s="56"/>
      <c r="C308" s="56"/>
      <c r="D308" s="56"/>
      <c r="E308" s="57"/>
      <c r="F308" s="58"/>
      <c r="G308" s="56"/>
      <c r="H308" s="56"/>
      <c r="I308" s="59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</row>
    <row r="309" spans="1:32" ht="57" customHeight="1" x14ac:dyDescent="0.25">
      <c r="A309" s="56"/>
      <c r="B309" s="56"/>
      <c r="C309" s="56"/>
      <c r="D309" s="56"/>
      <c r="E309" s="57"/>
      <c r="F309" s="58"/>
      <c r="G309" s="56"/>
      <c r="H309" s="56"/>
      <c r="I309" s="59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</row>
    <row r="310" spans="1:32" ht="57" customHeight="1" x14ac:dyDescent="0.25">
      <c r="A310" s="56"/>
      <c r="B310" s="56"/>
      <c r="C310" s="56"/>
      <c r="D310" s="56"/>
      <c r="E310" s="57"/>
      <c r="F310" s="58"/>
      <c r="G310" s="56"/>
      <c r="H310" s="56"/>
      <c r="I310" s="59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</row>
    <row r="311" spans="1:32" ht="57" customHeight="1" x14ac:dyDescent="0.25">
      <c r="A311" s="56"/>
      <c r="B311" s="56"/>
      <c r="C311" s="56"/>
      <c r="D311" s="56"/>
      <c r="E311" s="57"/>
      <c r="F311" s="58"/>
      <c r="G311" s="56"/>
      <c r="H311" s="56"/>
      <c r="I311" s="59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</row>
    <row r="312" spans="1:32" ht="57" customHeight="1" x14ac:dyDescent="0.25">
      <c r="A312" s="56"/>
      <c r="B312" s="56"/>
      <c r="C312" s="56"/>
      <c r="D312" s="56"/>
      <c r="E312" s="57"/>
      <c r="F312" s="58"/>
      <c r="G312" s="56"/>
      <c r="H312" s="56"/>
      <c r="I312" s="59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</row>
    <row r="313" spans="1:32" ht="57" customHeight="1" x14ac:dyDescent="0.25">
      <c r="A313" s="56"/>
      <c r="B313" s="56"/>
      <c r="C313" s="56"/>
      <c r="D313" s="56"/>
      <c r="E313" s="57"/>
      <c r="F313" s="58"/>
      <c r="G313" s="56"/>
      <c r="H313" s="56"/>
      <c r="I313" s="59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</row>
    <row r="314" spans="1:32" ht="57" customHeight="1" x14ac:dyDescent="0.25">
      <c r="A314" s="56"/>
      <c r="B314" s="56"/>
      <c r="C314" s="56"/>
      <c r="D314" s="56"/>
      <c r="E314" s="57"/>
      <c r="F314" s="58"/>
      <c r="G314" s="56"/>
      <c r="H314" s="56"/>
      <c r="I314" s="59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</row>
    <row r="315" spans="1:32" ht="57" customHeight="1" x14ac:dyDescent="0.25">
      <c r="A315" s="56"/>
      <c r="B315" s="56"/>
      <c r="C315" s="56"/>
      <c r="D315" s="56"/>
      <c r="E315" s="57"/>
      <c r="F315" s="58"/>
      <c r="G315" s="56"/>
      <c r="H315" s="56"/>
      <c r="I315" s="59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</row>
    <row r="316" spans="1:32" ht="57" customHeight="1" x14ac:dyDescent="0.25">
      <c r="A316" s="56"/>
      <c r="B316" s="56"/>
      <c r="C316" s="56"/>
      <c r="D316" s="56"/>
      <c r="E316" s="57"/>
      <c r="F316" s="58"/>
      <c r="G316" s="56"/>
      <c r="H316" s="56"/>
      <c r="I316" s="59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</row>
    <row r="317" spans="1:32" ht="57" customHeight="1" x14ac:dyDescent="0.25">
      <c r="A317" s="56"/>
      <c r="B317" s="56"/>
      <c r="C317" s="56"/>
      <c r="D317" s="56"/>
      <c r="E317" s="57"/>
      <c r="F317" s="58"/>
      <c r="G317" s="56"/>
      <c r="H317" s="56"/>
      <c r="I317" s="59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</row>
    <row r="318" spans="1:32" ht="57" customHeight="1" x14ac:dyDescent="0.25">
      <c r="A318" s="56"/>
      <c r="B318" s="56"/>
      <c r="C318" s="56"/>
      <c r="D318" s="56"/>
      <c r="E318" s="57"/>
      <c r="F318" s="58"/>
      <c r="G318" s="56"/>
      <c r="H318" s="56"/>
      <c r="I318" s="59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</row>
    <row r="319" spans="1:32" ht="57" customHeight="1" x14ac:dyDescent="0.25">
      <c r="A319" s="56"/>
      <c r="B319" s="56"/>
      <c r="C319" s="56"/>
      <c r="D319" s="56"/>
      <c r="E319" s="57"/>
      <c r="F319" s="58"/>
      <c r="G319" s="56"/>
      <c r="H319" s="56"/>
      <c r="I319" s="59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</row>
    <row r="320" spans="1:32" ht="57" customHeight="1" x14ac:dyDescent="0.25">
      <c r="A320" s="56"/>
      <c r="B320" s="56"/>
      <c r="C320" s="56"/>
      <c r="D320" s="56"/>
      <c r="E320" s="57"/>
      <c r="F320" s="58"/>
      <c r="G320" s="56"/>
      <c r="H320" s="56"/>
      <c r="I320" s="59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</row>
    <row r="321" spans="1:32" ht="57" customHeight="1" x14ac:dyDescent="0.25">
      <c r="A321" s="56"/>
      <c r="B321" s="56"/>
      <c r="C321" s="56"/>
      <c r="D321" s="56"/>
      <c r="E321" s="57"/>
      <c r="F321" s="58"/>
      <c r="G321" s="56"/>
      <c r="H321" s="56"/>
      <c r="I321" s="59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</row>
    <row r="322" spans="1:32" ht="57" customHeight="1" x14ac:dyDescent="0.25">
      <c r="A322" s="56"/>
      <c r="B322" s="56"/>
      <c r="C322" s="56"/>
      <c r="D322" s="56"/>
      <c r="E322" s="57"/>
      <c r="F322" s="58"/>
      <c r="G322" s="56"/>
      <c r="H322" s="56"/>
      <c r="I322" s="59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</row>
    <row r="323" spans="1:32" ht="57" customHeight="1" x14ac:dyDescent="0.25">
      <c r="A323" s="56"/>
      <c r="B323" s="56"/>
      <c r="C323" s="56"/>
      <c r="D323" s="56"/>
      <c r="E323" s="57"/>
      <c r="F323" s="58"/>
      <c r="G323" s="56"/>
      <c r="H323" s="56"/>
      <c r="I323" s="59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</row>
    <row r="324" spans="1:32" ht="57" customHeight="1" x14ac:dyDescent="0.25">
      <c r="A324" s="56"/>
      <c r="B324" s="56"/>
      <c r="C324" s="56"/>
      <c r="D324" s="56"/>
      <c r="E324" s="57"/>
      <c r="F324" s="58"/>
      <c r="G324" s="56"/>
      <c r="H324" s="56"/>
      <c r="I324" s="59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</row>
    <row r="325" spans="1:32" ht="57" customHeight="1" x14ac:dyDescent="0.25">
      <c r="A325" s="56"/>
      <c r="B325" s="56"/>
      <c r="C325" s="56"/>
      <c r="D325" s="56"/>
      <c r="E325" s="57"/>
      <c r="F325" s="58"/>
      <c r="G325" s="56"/>
      <c r="H325" s="56"/>
      <c r="I325" s="59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</row>
    <row r="326" spans="1:32" ht="57" customHeight="1" x14ac:dyDescent="0.25">
      <c r="A326" s="56"/>
      <c r="B326" s="56"/>
      <c r="C326" s="56"/>
      <c r="D326" s="56"/>
      <c r="E326" s="57"/>
      <c r="F326" s="58"/>
      <c r="G326" s="56"/>
      <c r="H326" s="56"/>
      <c r="I326" s="59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</row>
    <row r="327" spans="1:32" ht="57" customHeight="1" x14ac:dyDescent="0.25">
      <c r="A327" s="56"/>
      <c r="B327" s="56"/>
      <c r="C327" s="56"/>
      <c r="D327" s="56"/>
      <c r="E327" s="57"/>
      <c r="F327" s="58"/>
      <c r="G327" s="56"/>
      <c r="H327" s="56"/>
      <c r="I327" s="59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</row>
    <row r="328" spans="1:32" ht="57" customHeight="1" x14ac:dyDescent="0.25">
      <c r="A328" s="56"/>
      <c r="B328" s="56"/>
      <c r="C328" s="56"/>
      <c r="D328" s="56"/>
      <c r="E328" s="57"/>
      <c r="F328" s="58"/>
      <c r="G328" s="56"/>
      <c r="H328" s="56"/>
      <c r="I328" s="59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</row>
    <row r="329" spans="1:32" ht="57" customHeight="1" x14ac:dyDescent="0.25">
      <c r="A329" s="56"/>
      <c r="B329" s="56"/>
      <c r="C329" s="56"/>
      <c r="D329" s="56"/>
      <c r="E329" s="57"/>
      <c r="F329" s="58"/>
      <c r="G329" s="56"/>
      <c r="H329" s="56"/>
      <c r="I329" s="59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</row>
    <row r="330" spans="1:32" ht="57" customHeight="1" x14ac:dyDescent="0.25">
      <c r="A330" s="56"/>
      <c r="B330" s="56"/>
      <c r="C330" s="56"/>
      <c r="D330" s="56"/>
      <c r="E330" s="57"/>
      <c r="F330" s="58"/>
      <c r="G330" s="56"/>
      <c r="H330" s="56"/>
      <c r="I330" s="59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</row>
    <row r="331" spans="1:32" ht="57" customHeight="1" x14ac:dyDescent="0.25">
      <c r="A331" s="56"/>
      <c r="B331" s="56"/>
      <c r="C331" s="56"/>
      <c r="D331" s="56"/>
      <c r="E331" s="57"/>
      <c r="F331" s="58"/>
      <c r="G331" s="56"/>
      <c r="H331" s="56"/>
      <c r="I331" s="59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</row>
    <row r="332" spans="1:32" ht="57" customHeight="1" x14ac:dyDescent="0.25">
      <c r="A332" s="56"/>
      <c r="B332" s="56"/>
      <c r="C332" s="56"/>
      <c r="D332" s="56"/>
      <c r="E332" s="57"/>
      <c r="F332" s="58"/>
      <c r="G332" s="56"/>
      <c r="H332" s="56"/>
      <c r="I332" s="59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</row>
    <row r="333" spans="1:32" ht="57" customHeight="1" x14ac:dyDescent="0.25">
      <c r="A333" s="56"/>
      <c r="B333" s="56"/>
      <c r="C333" s="56"/>
      <c r="D333" s="56"/>
      <c r="E333" s="57"/>
      <c r="F333" s="58"/>
      <c r="G333" s="56"/>
      <c r="H333" s="56"/>
      <c r="I333" s="59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</row>
    <row r="334" spans="1:32" ht="57" customHeight="1" x14ac:dyDescent="0.25">
      <c r="A334" s="56"/>
      <c r="B334" s="56"/>
      <c r="C334" s="56"/>
      <c r="D334" s="56"/>
      <c r="E334" s="57"/>
      <c r="F334" s="58"/>
      <c r="G334" s="56"/>
      <c r="H334" s="56"/>
      <c r="I334" s="59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</row>
    <row r="335" spans="1:32" ht="57" customHeight="1" x14ac:dyDescent="0.25">
      <c r="A335" s="56"/>
      <c r="B335" s="56"/>
      <c r="C335" s="56"/>
      <c r="D335" s="56"/>
      <c r="E335" s="57"/>
      <c r="F335" s="58"/>
      <c r="G335" s="56"/>
      <c r="H335" s="56"/>
      <c r="I335" s="59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</row>
    <row r="336" spans="1:32" ht="57" customHeight="1" x14ac:dyDescent="0.25">
      <c r="A336" s="56"/>
      <c r="B336" s="56"/>
      <c r="C336" s="56"/>
      <c r="D336" s="56"/>
      <c r="E336" s="57"/>
      <c r="F336" s="58"/>
      <c r="G336" s="56"/>
      <c r="H336" s="56"/>
      <c r="I336" s="59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</row>
    <row r="337" spans="1:32" ht="57" customHeight="1" x14ac:dyDescent="0.25">
      <c r="A337" s="56"/>
      <c r="B337" s="56"/>
      <c r="C337" s="56"/>
      <c r="D337" s="56"/>
      <c r="E337" s="57"/>
      <c r="F337" s="58"/>
      <c r="G337" s="56"/>
      <c r="H337" s="56"/>
      <c r="I337" s="59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</row>
    <row r="338" spans="1:32" ht="57" customHeight="1" x14ac:dyDescent="0.25">
      <c r="A338" s="56"/>
      <c r="B338" s="56"/>
      <c r="C338" s="56"/>
      <c r="D338" s="56"/>
      <c r="E338" s="57"/>
      <c r="F338" s="58"/>
      <c r="G338" s="56"/>
      <c r="H338" s="56"/>
      <c r="I338" s="59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</row>
    <row r="339" spans="1:32" ht="57" customHeight="1" x14ac:dyDescent="0.25">
      <c r="A339" s="56"/>
      <c r="B339" s="56"/>
      <c r="C339" s="56"/>
      <c r="D339" s="56"/>
      <c r="E339" s="57"/>
      <c r="F339" s="58"/>
      <c r="G339" s="56"/>
      <c r="H339" s="56"/>
      <c r="I339" s="59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</row>
    <row r="340" spans="1:32" ht="57" customHeight="1" x14ac:dyDescent="0.25">
      <c r="A340" s="56"/>
      <c r="B340" s="56"/>
      <c r="C340" s="56"/>
      <c r="D340" s="56"/>
      <c r="E340" s="57"/>
      <c r="F340" s="58"/>
      <c r="G340" s="56"/>
      <c r="H340" s="56"/>
      <c r="I340" s="59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</row>
    <row r="341" spans="1:32" ht="57" customHeight="1" x14ac:dyDescent="0.25">
      <c r="A341" s="56"/>
      <c r="B341" s="56"/>
      <c r="C341" s="56"/>
      <c r="D341" s="56"/>
      <c r="E341" s="57"/>
      <c r="F341" s="58"/>
      <c r="G341" s="56"/>
      <c r="H341" s="56"/>
      <c r="I341" s="59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</row>
    <row r="342" spans="1:32" ht="57" customHeight="1" x14ac:dyDescent="0.25">
      <c r="A342" s="56"/>
      <c r="B342" s="56"/>
      <c r="C342" s="56"/>
      <c r="D342" s="56"/>
      <c r="E342" s="57"/>
      <c r="F342" s="58"/>
      <c r="G342" s="56"/>
      <c r="H342" s="56"/>
      <c r="I342" s="59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</row>
    <row r="343" spans="1:32" ht="57" customHeight="1" x14ac:dyDescent="0.25">
      <c r="A343" s="56"/>
      <c r="B343" s="56"/>
      <c r="C343" s="56"/>
      <c r="D343" s="56"/>
      <c r="E343" s="57"/>
      <c r="F343" s="58"/>
      <c r="G343" s="56"/>
      <c r="H343" s="56"/>
      <c r="I343" s="59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</row>
    <row r="344" spans="1:32" ht="57" customHeight="1" x14ac:dyDescent="0.25">
      <c r="A344" s="56"/>
      <c r="B344" s="56"/>
      <c r="C344" s="56"/>
      <c r="D344" s="56"/>
      <c r="E344" s="57"/>
      <c r="F344" s="58"/>
      <c r="G344" s="56"/>
      <c r="H344" s="56"/>
      <c r="I344" s="59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</row>
    <row r="345" spans="1:32" ht="57" customHeight="1" x14ac:dyDescent="0.25">
      <c r="A345" s="56"/>
      <c r="B345" s="56"/>
      <c r="C345" s="56"/>
      <c r="D345" s="56"/>
      <c r="E345" s="57"/>
      <c r="F345" s="58"/>
      <c r="G345" s="56"/>
      <c r="H345" s="56"/>
      <c r="I345" s="59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</row>
    <row r="346" spans="1:32" ht="57" customHeight="1" x14ac:dyDescent="0.25">
      <c r="A346" s="56"/>
      <c r="B346" s="56"/>
      <c r="C346" s="56"/>
      <c r="D346" s="56"/>
      <c r="E346" s="57"/>
      <c r="F346" s="58"/>
      <c r="G346" s="56"/>
      <c r="H346" s="56"/>
      <c r="I346" s="59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</row>
    <row r="347" spans="1:32" ht="57" customHeight="1" x14ac:dyDescent="0.25">
      <c r="A347" s="56"/>
      <c r="B347" s="56"/>
      <c r="C347" s="56"/>
      <c r="D347" s="56"/>
      <c r="E347" s="57"/>
      <c r="F347" s="58"/>
      <c r="G347" s="56"/>
      <c r="H347" s="56"/>
      <c r="I347" s="59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</row>
    <row r="348" spans="1:32" ht="57" customHeight="1" x14ac:dyDescent="0.25">
      <c r="A348" s="56"/>
      <c r="B348" s="56"/>
      <c r="C348" s="56"/>
      <c r="D348" s="56"/>
      <c r="E348" s="57"/>
      <c r="F348" s="58"/>
      <c r="G348" s="56"/>
      <c r="H348" s="56"/>
      <c r="I348" s="59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</row>
    <row r="349" spans="1:32" ht="57" customHeight="1" x14ac:dyDescent="0.25">
      <c r="A349" s="56"/>
      <c r="B349" s="56"/>
      <c r="C349" s="56"/>
      <c r="D349" s="56"/>
      <c r="E349" s="57"/>
      <c r="F349" s="58"/>
      <c r="G349" s="56"/>
      <c r="H349" s="56"/>
      <c r="I349" s="59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</row>
    <row r="350" spans="1:32" ht="57" customHeight="1" x14ac:dyDescent="0.25">
      <c r="A350" s="56"/>
      <c r="B350" s="56"/>
      <c r="C350" s="56"/>
      <c r="D350" s="56"/>
      <c r="E350" s="57"/>
      <c r="F350" s="58"/>
      <c r="G350" s="56"/>
      <c r="H350" s="56"/>
      <c r="I350" s="59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</row>
    <row r="351" spans="1:32" ht="57" customHeight="1" x14ac:dyDescent="0.25">
      <c r="A351" s="56"/>
      <c r="B351" s="56"/>
      <c r="C351" s="56"/>
      <c r="D351" s="56"/>
      <c r="E351" s="57"/>
      <c r="F351" s="58"/>
      <c r="G351" s="56"/>
      <c r="H351" s="56"/>
      <c r="I351" s="59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</row>
    <row r="352" spans="1:32" ht="57" customHeight="1" x14ac:dyDescent="0.25">
      <c r="A352" s="56"/>
      <c r="B352" s="56"/>
      <c r="C352" s="56"/>
      <c r="D352" s="56"/>
      <c r="E352" s="57"/>
      <c r="F352" s="58"/>
      <c r="G352" s="56"/>
      <c r="H352" s="56"/>
      <c r="I352" s="59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</row>
    <row r="353" spans="1:32" ht="57" customHeight="1" x14ac:dyDescent="0.25">
      <c r="A353" s="56"/>
      <c r="B353" s="56"/>
      <c r="C353" s="56"/>
      <c r="D353" s="56"/>
      <c r="E353" s="57"/>
      <c r="F353" s="58"/>
      <c r="G353" s="56"/>
      <c r="H353" s="56"/>
      <c r="I353" s="59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</row>
    <row r="354" spans="1:32" ht="57" customHeight="1" x14ac:dyDescent="0.25">
      <c r="A354" s="56"/>
      <c r="B354" s="56"/>
      <c r="C354" s="56"/>
      <c r="D354" s="56"/>
      <c r="E354" s="57"/>
      <c r="F354" s="58"/>
      <c r="G354" s="56"/>
      <c r="H354" s="56"/>
      <c r="I354" s="59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</row>
    <row r="355" spans="1:32" ht="57" customHeight="1" x14ac:dyDescent="0.25">
      <c r="A355" s="56"/>
      <c r="B355" s="56"/>
      <c r="C355" s="56"/>
      <c r="D355" s="56"/>
      <c r="E355" s="57"/>
      <c r="F355" s="58"/>
      <c r="G355" s="56"/>
      <c r="H355" s="56"/>
      <c r="I355" s="59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</row>
    <row r="356" spans="1:32" ht="57" customHeight="1" x14ac:dyDescent="0.25">
      <c r="A356" s="56"/>
      <c r="B356" s="56"/>
      <c r="C356" s="56"/>
      <c r="D356" s="56"/>
      <c r="E356" s="57"/>
      <c r="F356" s="58"/>
      <c r="G356" s="56"/>
      <c r="H356" s="56"/>
      <c r="I356" s="59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</row>
    <row r="357" spans="1:32" ht="57" customHeight="1" x14ac:dyDescent="0.25">
      <c r="A357" s="56"/>
      <c r="B357" s="56"/>
      <c r="C357" s="56"/>
      <c r="D357" s="56"/>
      <c r="E357" s="57"/>
      <c r="F357" s="58"/>
      <c r="G357" s="56"/>
      <c r="H357" s="56"/>
      <c r="I357" s="59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</row>
    <row r="358" spans="1:32" ht="57" customHeight="1" x14ac:dyDescent="0.25">
      <c r="A358" s="56"/>
      <c r="B358" s="56"/>
      <c r="C358" s="56"/>
      <c r="D358" s="56"/>
      <c r="E358" s="57"/>
      <c r="F358" s="58"/>
      <c r="G358" s="56"/>
      <c r="H358" s="56"/>
      <c r="I358" s="59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</row>
    <row r="359" spans="1:32" ht="57" customHeight="1" x14ac:dyDescent="0.25">
      <c r="A359" s="56"/>
      <c r="B359" s="56"/>
      <c r="C359" s="56"/>
      <c r="D359" s="56"/>
      <c r="E359" s="57"/>
      <c r="F359" s="58"/>
      <c r="G359" s="56"/>
      <c r="H359" s="56"/>
      <c r="I359" s="59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</row>
    <row r="360" spans="1:32" ht="57" customHeight="1" x14ac:dyDescent="0.25">
      <c r="A360" s="56"/>
      <c r="B360" s="56"/>
      <c r="C360" s="56"/>
      <c r="D360" s="56"/>
      <c r="E360" s="57"/>
      <c r="F360" s="58"/>
      <c r="G360" s="56"/>
      <c r="H360" s="56"/>
      <c r="I360" s="59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</row>
    <row r="361" spans="1:32" ht="57" customHeight="1" x14ac:dyDescent="0.25">
      <c r="A361" s="56"/>
      <c r="B361" s="56"/>
      <c r="C361" s="56"/>
      <c r="D361" s="56"/>
      <c r="E361" s="57"/>
      <c r="F361" s="58"/>
      <c r="G361" s="56"/>
      <c r="H361" s="56"/>
      <c r="I361" s="59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</row>
    <row r="362" spans="1:32" ht="57" customHeight="1" x14ac:dyDescent="0.25">
      <c r="A362" s="56"/>
      <c r="B362" s="56"/>
      <c r="C362" s="56"/>
      <c r="D362" s="56"/>
      <c r="E362" s="57"/>
      <c r="F362" s="58"/>
      <c r="G362" s="56"/>
      <c r="H362" s="56"/>
      <c r="I362" s="59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</row>
    <row r="363" spans="1:32" ht="57" customHeight="1" x14ac:dyDescent="0.25">
      <c r="A363" s="56"/>
      <c r="B363" s="56"/>
      <c r="C363" s="56"/>
      <c r="D363" s="56"/>
      <c r="E363" s="57"/>
      <c r="F363" s="58"/>
      <c r="G363" s="56"/>
      <c r="H363" s="56"/>
      <c r="I363" s="59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</row>
    <row r="364" spans="1:32" ht="57" customHeight="1" x14ac:dyDescent="0.25">
      <c r="A364" s="56"/>
      <c r="B364" s="56"/>
      <c r="C364" s="56"/>
      <c r="D364" s="56"/>
      <c r="E364" s="57"/>
      <c r="F364" s="58"/>
      <c r="G364" s="56"/>
      <c r="H364" s="56"/>
      <c r="I364" s="59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</row>
    <row r="365" spans="1:32" ht="57" customHeight="1" x14ac:dyDescent="0.25">
      <c r="A365" s="56"/>
      <c r="B365" s="56"/>
      <c r="C365" s="56"/>
      <c r="D365" s="56"/>
      <c r="E365" s="57"/>
      <c r="F365" s="58"/>
      <c r="G365" s="56"/>
      <c r="H365" s="56"/>
      <c r="I365" s="59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</row>
    <row r="366" spans="1:32" ht="57" customHeight="1" x14ac:dyDescent="0.25">
      <c r="A366" s="56"/>
      <c r="B366" s="56"/>
      <c r="C366" s="56"/>
      <c r="D366" s="56"/>
      <c r="E366" s="57"/>
      <c r="F366" s="58"/>
      <c r="G366" s="56"/>
      <c r="H366" s="56"/>
      <c r="I366" s="59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</row>
    <row r="367" spans="1:32" ht="57" customHeight="1" x14ac:dyDescent="0.25">
      <c r="A367" s="56"/>
      <c r="B367" s="56"/>
      <c r="C367" s="56"/>
      <c r="D367" s="56"/>
      <c r="E367" s="57"/>
      <c r="F367" s="58"/>
      <c r="G367" s="56"/>
      <c r="H367" s="56"/>
      <c r="I367" s="59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</row>
    <row r="368" spans="1:32" ht="57" customHeight="1" x14ac:dyDescent="0.25">
      <c r="A368" s="56"/>
      <c r="B368" s="56"/>
      <c r="C368" s="56"/>
      <c r="D368" s="56"/>
      <c r="E368" s="57"/>
      <c r="F368" s="58"/>
      <c r="G368" s="56"/>
      <c r="H368" s="56"/>
      <c r="I368" s="59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</row>
    <row r="369" spans="1:32" ht="57" customHeight="1" x14ac:dyDescent="0.25">
      <c r="A369" s="56"/>
      <c r="B369" s="56"/>
      <c r="C369" s="56"/>
      <c r="D369" s="56"/>
      <c r="E369" s="57"/>
      <c r="F369" s="58"/>
      <c r="G369" s="56"/>
      <c r="H369" s="56"/>
      <c r="I369" s="59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</row>
    <row r="370" spans="1:32" ht="57" customHeight="1" x14ac:dyDescent="0.25">
      <c r="A370" s="56"/>
      <c r="B370" s="56"/>
      <c r="C370" s="56"/>
      <c r="D370" s="56"/>
      <c r="E370" s="57"/>
      <c r="F370" s="58"/>
      <c r="G370" s="56"/>
      <c r="H370" s="56"/>
      <c r="I370" s="59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</row>
    <row r="371" spans="1:32" ht="57" customHeight="1" x14ac:dyDescent="0.25">
      <c r="A371" s="56"/>
      <c r="B371" s="56"/>
      <c r="C371" s="56"/>
      <c r="D371" s="56"/>
      <c r="E371" s="57"/>
      <c r="F371" s="58"/>
      <c r="G371" s="56"/>
      <c r="H371" s="56"/>
      <c r="I371" s="59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</row>
    <row r="372" spans="1:32" ht="57" customHeight="1" x14ac:dyDescent="0.25">
      <c r="A372" s="56"/>
      <c r="B372" s="56"/>
      <c r="C372" s="56"/>
      <c r="D372" s="56"/>
      <c r="E372" s="57"/>
      <c r="F372" s="58"/>
      <c r="G372" s="56"/>
      <c r="H372" s="56"/>
      <c r="I372" s="59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</row>
    <row r="373" spans="1:32" ht="57" customHeight="1" x14ac:dyDescent="0.25">
      <c r="A373" s="56"/>
      <c r="B373" s="56"/>
      <c r="C373" s="56"/>
      <c r="D373" s="56"/>
      <c r="E373" s="57"/>
      <c r="F373" s="58"/>
      <c r="G373" s="56"/>
      <c r="H373" s="56"/>
      <c r="I373" s="59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</row>
    <row r="374" spans="1:32" ht="57" customHeight="1" x14ac:dyDescent="0.25">
      <c r="A374" s="56"/>
      <c r="B374" s="56"/>
      <c r="C374" s="56"/>
      <c r="D374" s="56"/>
      <c r="E374" s="57"/>
      <c r="F374" s="58"/>
      <c r="G374" s="56"/>
      <c r="H374" s="56"/>
      <c r="I374" s="59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</row>
    <row r="375" spans="1:32" ht="57" customHeight="1" x14ac:dyDescent="0.25">
      <c r="A375" s="56"/>
      <c r="B375" s="56"/>
      <c r="C375" s="56"/>
      <c r="D375" s="56"/>
      <c r="E375" s="57"/>
      <c r="F375" s="58"/>
      <c r="G375" s="56"/>
      <c r="H375" s="56"/>
      <c r="I375" s="59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</row>
    <row r="376" spans="1:32" ht="57" customHeight="1" x14ac:dyDescent="0.25">
      <c r="A376" s="56"/>
      <c r="B376" s="56"/>
      <c r="C376" s="56"/>
      <c r="D376" s="56"/>
      <c r="E376" s="57"/>
      <c r="F376" s="58"/>
      <c r="G376" s="56"/>
      <c r="H376" s="56"/>
      <c r="I376" s="59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</row>
    <row r="377" spans="1:32" ht="57" customHeight="1" x14ac:dyDescent="0.25">
      <c r="A377" s="56"/>
      <c r="B377" s="56"/>
      <c r="C377" s="56"/>
      <c r="D377" s="56"/>
      <c r="E377" s="57"/>
      <c r="F377" s="58"/>
      <c r="G377" s="56"/>
      <c r="H377" s="56"/>
      <c r="I377" s="59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</row>
    <row r="378" spans="1:32" ht="57" customHeight="1" x14ac:dyDescent="0.25">
      <c r="A378" s="56"/>
      <c r="B378" s="56"/>
      <c r="C378" s="56"/>
      <c r="D378" s="56"/>
      <c r="E378" s="57"/>
      <c r="F378" s="58"/>
      <c r="G378" s="56"/>
      <c r="H378" s="56"/>
      <c r="I378" s="59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</row>
    <row r="379" spans="1:32" ht="57" customHeight="1" x14ac:dyDescent="0.25">
      <c r="A379" s="56"/>
      <c r="B379" s="56"/>
      <c r="C379" s="56"/>
      <c r="D379" s="56"/>
      <c r="E379" s="57"/>
      <c r="F379" s="58"/>
      <c r="G379" s="56"/>
      <c r="H379" s="56"/>
      <c r="I379" s="59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</row>
    <row r="380" spans="1:32" ht="57" customHeight="1" x14ac:dyDescent="0.25">
      <c r="A380" s="56"/>
      <c r="B380" s="56"/>
      <c r="C380" s="56"/>
      <c r="D380" s="56"/>
      <c r="E380" s="57"/>
      <c r="F380" s="58"/>
      <c r="G380" s="56"/>
      <c r="H380" s="56"/>
      <c r="I380" s="59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</row>
    <row r="381" spans="1:32" ht="57" customHeight="1" x14ac:dyDescent="0.25">
      <c r="A381" s="56"/>
      <c r="B381" s="56"/>
      <c r="C381" s="56"/>
      <c r="D381" s="56"/>
      <c r="E381" s="57"/>
      <c r="F381" s="58"/>
      <c r="G381" s="56"/>
      <c r="H381" s="56"/>
      <c r="I381" s="59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</row>
    <row r="382" spans="1:32" ht="57" customHeight="1" x14ac:dyDescent="0.25">
      <c r="A382" s="56"/>
      <c r="B382" s="56"/>
      <c r="C382" s="56"/>
      <c r="D382" s="56"/>
      <c r="E382" s="57"/>
      <c r="F382" s="58"/>
      <c r="G382" s="56"/>
      <c r="H382" s="56"/>
      <c r="I382" s="59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</row>
    <row r="383" spans="1:32" ht="57" customHeight="1" x14ac:dyDescent="0.25">
      <c r="A383" s="56"/>
      <c r="B383" s="56"/>
      <c r="C383" s="56"/>
      <c r="D383" s="56"/>
      <c r="E383" s="57"/>
      <c r="F383" s="58"/>
      <c r="G383" s="56"/>
      <c r="H383" s="56"/>
      <c r="I383" s="59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</row>
    <row r="384" spans="1:32" ht="57" customHeight="1" x14ac:dyDescent="0.25">
      <c r="A384" s="56"/>
      <c r="B384" s="56"/>
      <c r="C384" s="56"/>
      <c r="D384" s="56"/>
      <c r="E384" s="57"/>
      <c r="F384" s="58"/>
      <c r="G384" s="56"/>
      <c r="H384" s="56"/>
      <c r="I384" s="59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</row>
    <row r="385" spans="1:32" ht="57" customHeight="1" x14ac:dyDescent="0.25">
      <c r="A385" s="56"/>
      <c r="B385" s="56"/>
      <c r="C385" s="56"/>
      <c r="D385" s="56"/>
      <c r="E385" s="57"/>
      <c r="F385" s="58"/>
      <c r="G385" s="56"/>
      <c r="H385" s="56"/>
      <c r="I385" s="59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</row>
    <row r="386" spans="1:32" ht="57" customHeight="1" x14ac:dyDescent="0.25">
      <c r="A386" s="56"/>
      <c r="B386" s="56"/>
      <c r="C386" s="56"/>
      <c r="D386" s="56"/>
      <c r="E386" s="57"/>
      <c r="F386" s="58"/>
      <c r="G386" s="56"/>
      <c r="H386" s="56"/>
      <c r="I386" s="59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</row>
    <row r="387" spans="1:32" ht="57" customHeight="1" x14ac:dyDescent="0.25">
      <c r="A387" s="56"/>
      <c r="B387" s="56"/>
      <c r="C387" s="56"/>
      <c r="D387" s="56"/>
      <c r="E387" s="57"/>
      <c r="F387" s="58"/>
      <c r="G387" s="56"/>
      <c r="H387" s="56"/>
      <c r="I387" s="59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</row>
    <row r="388" spans="1:32" ht="57" customHeight="1" x14ac:dyDescent="0.25">
      <c r="A388" s="56"/>
      <c r="B388" s="56"/>
      <c r="C388" s="56"/>
      <c r="D388" s="56"/>
      <c r="E388" s="57"/>
      <c r="F388" s="58"/>
      <c r="G388" s="56"/>
      <c r="H388" s="56"/>
      <c r="I388" s="59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</row>
    <row r="389" spans="1:32" ht="57" customHeight="1" x14ac:dyDescent="0.25">
      <c r="A389" s="56"/>
      <c r="B389" s="56"/>
      <c r="C389" s="56"/>
      <c r="D389" s="56"/>
      <c r="E389" s="57"/>
      <c r="F389" s="58"/>
      <c r="G389" s="56"/>
      <c r="H389" s="56"/>
      <c r="I389" s="59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</row>
    <row r="390" spans="1:32" ht="57" customHeight="1" x14ac:dyDescent="0.25">
      <c r="A390" s="56"/>
      <c r="B390" s="56"/>
      <c r="C390" s="56"/>
      <c r="D390" s="56"/>
      <c r="E390" s="57"/>
      <c r="F390" s="58"/>
      <c r="G390" s="56"/>
      <c r="H390" s="56"/>
      <c r="I390" s="59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</row>
    <row r="391" spans="1:32" ht="57" customHeight="1" x14ac:dyDescent="0.25">
      <c r="A391" s="56"/>
      <c r="B391" s="56"/>
      <c r="C391" s="56"/>
      <c r="D391" s="56"/>
      <c r="E391" s="57"/>
      <c r="F391" s="58"/>
      <c r="G391" s="56"/>
      <c r="H391" s="56"/>
      <c r="I391" s="59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</row>
    <row r="392" spans="1:32" ht="57" customHeight="1" x14ac:dyDescent="0.25">
      <c r="A392" s="56"/>
      <c r="B392" s="56"/>
      <c r="C392" s="56"/>
      <c r="D392" s="56"/>
      <c r="E392" s="57"/>
      <c r="F392" s="58"/>
      <c r="G392" s="56"/>
      <c r="H392" s="56"/>
      <c r="I392" s="59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</row>
    <row r="393" spans="1:32" ht="57" customHeight="1" x14ac:dyDescent="0.25">
      <c r="A393" s="56"/>
      <c r="B393" s="56"/>
      <c r="C393" s="56"/>
      <c r="D393" s="56"/>
      <c r="E393" s="57"/>
      <c r="F393" s="58"/>
      <c r="G393" s="56"/>
      <c r="H393" s="56"/>
      <c r="I393" s="59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</row>
    <row r="394" spans="1:32" ht="57" customHeight="1" x14ac:dyDescent="0.25">
      <c r="A394" s="56"/>
      <c r="B394" s="56"/>
      <c r="C394" s="56"/>
      <c r="D394" s="56"/>
      <c r="E394" s="57"/>
      <c r="F394" s="58"/>
      <c r="G394" s="56"/>
      <c r="H394" s="56"/>
      <c r="I394" s="59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</row>
    <row r="395" spans="1:32" ht="57" customHeight="1" x14ac:dyDescent="0.25">
      <c r="A395" s="56"/>
      <c r="B395" s="56"/>
      <c r="C395" s="56"/>
      <c r="D395" s="56"/>
      <c r="E395" s="57"/>
      <c r="F395" s="58"/>
      <c r="G395" s="56"/>
      <c r="H395" s="56"/>
      <c r="I395" s="59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</row>
    <row r="396" spans="1:32" ht="57" customHeight="1" x14ac:dyDescent="0.25">
      <c r="A396" s="56"/>
      <c r="B396" s="56"/>
      <c r="C396" s="56"/>
      <c r="D396" s="56"/>
      <c r="E396" s="57"/>
      <c r="F396" s="58"/>
      <c r="G396" s="56"/>
      <c r="H396" s="56"/>
      <c r="I396" s="59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</row>
    <row r="397" spans="1:32" ht="57" customHeight="1" x14ac:dyDescent="0.25">
      <c r="A397" s="56"/>
      <c r="B397" s="56"/>
      <c r="C397" s="56"/>
      <c r="D397" s="56"/>
      <c r="E397" s="57"/>
      <c r="F397" s="58"/>
      <c r="G397" s="56"/>
      <c r="H397" s="56"/>
      <c r="I397" s="59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</row>
    <row r="398" spans="1:32" ht="57" customHeight="1" x14ac:dyDescent="0.25">
      <c r="A398" s="56"/>
      <c r="B398" s="56"/>
      <c r="C398" s="56"/>
      <c r="D398" s="56"/>
      <c r="E398" s="57"/>
      <c r="F398" s="58"/>
      <c r="G398" s="56"/>
      <c r="H398" s="56"/>
      <c r="I398" s="59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</row>
    <row r="399" spans="1:32" ht="57" customHeight="1" x14ac:dyDescent="0.25">
      <c r="A399" s="56"/>
      <c r="B399" s="56"/>
      <c r="C399" s="56"/>
      <c r="D399" s="56"/>
      <c r="E399" s="57"/>
      <c r="F399" s="58"/>
      <c r="G399" s="56"/>
      <c r="H399" s="56"/>
      <c r="I399" s="59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</row>
    <row r="400" spans="1:32" ht="57" customHeight="1" x14ac:dyDescent="0.25">
      <c r="A400" s="56"/>
      <c r="B400" s="56"/>
      <c r="C400" s="56"/>
      <c r="D400" s="56"/>
      <c r="E400" s="57"/>
      <c r="F400" s="58"/>
      <c r="G400" s="56"/>
      <c r="H400" s="56"/>
      <c r="I400" s="59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</row>
    <row r="401" spans="1:32" ht="57" customHeight="1" x14ac:dyDescent="0.25">
      <c r="A401" s="56"/>
      <c r="B401" s="56"/>
      <c r="C401" s="56"/>
      <c r="D401" s="56"/>
      <c r="E401" s="57"/>
      <c r="F401" s="58"/>
      <c r="G401" s="56"/>
      <c r="H401" s="56"/>
      <c r="I401" s="59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</row>
    <row r="402" spans="1:32" ht="57" customHeight="1" x14ac:dyDescent="0.25">
      <c r="A402" s="56"/>
      <c r="B402" s="56"/>
      <c r="C402" s="56"/>
      <c r="D402" s="56"/>
      <c r="E402" s="57"/>
      <c r="F402" s="58"/>
      <c r="G402" s="56"/>
      <c r="H402" s="56"/>
      <c r="I402" s="59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</row>
    <row r="403" spans="1:32" ht="57" customHeight="1" x14ac:dyDescent="0.25">
      <c r="A403" s="56"/>
      <c r="B403" s="56"/>
      <c r="C403" s="56"/>
      <c r="D403" s="56"/>
      <c r="E403" s="57"/>
      <c r="F403" s="58"/>
      <c r="G403" s="56"/>
      <c r="H403" s="56"/>
      <c r="I403" s="59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</row>
    <row r="404" spans="1:32" ht="57" customHeight="1" x14ac:dyDescent="0.25">
      <c r="A404" s="56"/>
      <c r="B404" s="56"/>
      <c r="C404" s="56"/>
      <c r="D404" s="56"/>
      <c r="E404" s="57"/>
      <c r="F404" s="58"/>
      <c r="G404" s="56"/>
      <c r="H404" s="56"/>
      <c r="I404" s="59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</row>
    <row r="405" spans="1:32" ht="57" customHeight="1" x14ac:dyDescent="0.25">
      <c r="A405" s="56"/>
      <c r="B405" s="56"/>
      <c r="C405" s="56"/>
      <c r="D405" s="56"/>
      <c r="E405" s="57"/>
      <c r="F405" s="58"/>
      <c r="G405" s="56"/>
      <c r="H405" s="56"/>
      <c r="I405" s="59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</row>
    <row r="406" spans="1:32" ht="57" customHeight="1" x14ac:dyDescent="0.25">
      <c r="A406" s="56"/>
      <c r="B406" s="56"/>
      <c r="C406" s="56"/>
      <c r="D406" s="56"/>
      <c r="E406" s="57"/>
      <c r="F406" s="58"/>
      <c r="G406" s="56"/>
      <c r="H406" s="56"/>
      <c r="I406" s="59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</row>
    <row r="407" spans="1:32" ht="57" customHeight="1" x14ac:dyDescent="0.25">
      <c r="A407" s="56"/>
      <c r="B407" s="56"/>
      <c r="C407" s="56"/>
      <c r="D407" s="56"/>
      <c r="E407" s="57"/>
      <c r="F407" s="58"/>
      <c r="G407" s="56"/>
      <c r="H407" s="56"/>
      <c r="I407" s="59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</row>
    <row r="408" spans="1:32" ht="57" customHeight="1" x14ac:dyDescent="0.25">
      <c r="A408" s="56"/>
      <c r="B408" s="56"/>
      <c r="C408" s="56"/>
      <c r="D408" s="56"/>
      <c r="E408" s="57"/>
      <c r="F408" s="58"/>
      <c r="G408" s="56"/>
      <c r="H408" s="56"/>
      <c r="I408" s="59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</row>
    <row r="409" spans="1:32" ht="57" customHeight="1" x14ac:dyDescent="0.25">
      <c r="A409" s="56"/>
      <c r="B409" s="56"/>
      <c r="C409" s="56"/>
      <c r="D409" s="56"/>
      <c r="E409" s="57"/>
      <c r="F409" s="58"/>
      <c r="G409" s="56"/>
      <c r="H409" s="56"/>
      <c r="I409" s="59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</row>
    <row r="410" spans="1:32" ht="57" customHeight="1" x14ac:dyDescent="0.25">
      <c r="A410" s="56"/>
      <c r="B410" s="56"/>
      <c r="C410" s="56"/>
      <c r="D410" s="56"/>
      <c r="E410" s="57"/>
      <c r="F410" s="58"/>
      <c r="G410" s="56"/>
      <c r="H410" s="56"/>
      <c r="I410" s="59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</row>
    <row r="411" spans="1:32" ht="57" customHeight="1" x14ac:dyDescent="0.25">
      <c r="A411" s="56"/>
      <c r="B411" s="56"/>
      <c r="C411" s="56"/>
      <c r="D411" s="56"/>
      <c r="E411" s="57"/>
      <c r="F411" s="58"/>
      <c r="G411" s="56"/>
      <c r="H411" s="56"/>
      <c r="I411" s="59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</row>
    <row r="412" spans="1:32" ht="57" customHeight="1" x14ac:dyDescent="0.25">
      <c r="A412" s="56"/>
      <c r="B412" s="56"/>
      <c r="C412" s="56"/>
      <c r="D412" s="56"/>
      <c r="E412" s="57"/>
      <c r="F412" s="58"/>
      <c r="G412" s="56"/>
      <c r="H412" s="56"/>
      <c r="I412" s="59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</row>
    <row r="413" spans="1:32" ht="57" customHeight="1" x14ac:dyDescent="0.25">
      <c r="A413" s="56"/>
      <c r="B413" s="56"/>
      <c r="C413" s="56"/>
      <c r="D413" s="56"/>
      <c r="E413" s="57"/>
      <c r="F413" s="58"/>
      <c r="G413" s="56"/>
      <c r="H413" s="56"/>
      <c r="I413" s="59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</row>
    <row r="414" spans="1:32" ht="57" customHeight="1" x14ac:dyDescent="0.25">
      <c r="A414" s="56"/>
      <c r="B414" s="56"/>
      <c r="C414" s="56"/>
      <c r="D414" s="56"/>
      <c r="E414" s="57"/>
      <c r="F414" s="58"/>
      <c r="G414" s="56"/>
      <c r="H414" s="56"/>
      <c r="I414" s="59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</row>
    <row r="415" spans="1:32" ht="57" customHeight="1" x14ac:dyDescent="0.25">
      <c r="A415" s="56"/>
      <c r="B415" s="56"/>
      <c r="C415" s="56"/>
      <c r="D415" s="56"/>
      <c r="E415" s="57"/>
      <c r="F415" s="58"/>
      <c r="G415" s="56"/>
      <c r="H415" s="56"/>
      <c r="I415" s="59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</row>
    <row r="416" spans="1:32" ht="57" customHeight="1" x14ac:dyDescent="0.25">
      <c r="A416" s="56"/>
      <c r="B416" s="56"/>
      <c r="C416" s="56"/>
      <c r="D416" s="56"/>
      <c r="E416" s="57"/>
      <c r="F416" s="58"/>
      <c r="G416" s="56"/>
      <c r="H416" s="56"/>
      <c r="I416" s="59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</row>
    <row r="417" spans="1:32" ht="57" customHeight="1" x14ac:dyDescent="0.25">
      <c r="A417" s="56"/>
      <c r="B417" s="56"/>
      <c r="C417" s="56"/>
      <c r="D417" s="56"/>
      <c r="E417" s="57"/>
      <c r="F417" s="58"/>
      <c r="G417" s="56"/>
      <c r="H417" s="56"/>
      <c r="I417" s="59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</row>
    <row r="418" spans="1:32" ht="57" customHeight="1" x14ac:dyDescent="0.25">
      <c r="A418" s="56"/>
      <c r="B418" s="56"/>
      <c r="C418" s="56"/>
      <c r="D418" s="56"/>
      <c r="E418" s="57"/>
      <c r="F418" s="58"/>
      <c r="G418" s="56"/>
      <c r="H418" s="56"/>
      <c r="I418" s="59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</row>
    <row r="419" spans="1:32" ht="57" customHeight="1" x14ac:dyDescent="0.25">
      <c r="A419" s="56"/>
      <c r="B419" s="56"/>
      <c r="C419" s="56"/>
      <c r="D419" s="56"/>
      <c r="E419" s="57"/>
      <c r="F419" s="58"/>
      <c r="G419" s="56"/>
      <c r="H419" s="56"/>
      <c r="I419" s="59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</row>
    <row r="420" spans="1:32" ht="57" customHeight="1" x14ac:dyDescent="0.25">
      <c r="A420" s="56"/>
      <c r="B420" s="56"/>
      <c r="C420" s="56"/>
      <c r="D420" s="56"/>
      <c r="E420" s="57"/>
      <c r="F420" s="58"/>
      <c r="G420" s="56"/>
      <c r="H420" s="56"/>
      <c r="I420" s="59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</row>
    <row r="421" spans="1:32" ht="57" customHeight="1" x14ac:dyDescent="0.25">
      <c r="A421" s="56"/>
      <c r="B421" s="56"/>
      <c r="C421" s="56"/>
      <c r="D421" s="56"/>
      <c r="E421" s="57"/>
      <c r="F421" s="58"/>
      <c r="G421" s="56"/>
      <c r="H421" s="56"/>
      <c r="I421" s="59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</row>
    <row r="422" spans="1:32" ht="57" customHeight="1" x14ac:dyDescent="0.25">
      <c r="A422" s="56"/>
      <c r="B422" s="56"/>
      <c r="C422" s="56"/>
      <c r="D422" s="56"/>
      <c r="E422" s="57"/>
      <c r="F422" s="58"/>
      <c r="G422" s="56"/>
      <c r="H422" s="56"/>
      <c r="I422" s="59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</row>
    <row r="423" spans="1:32" ht="57" customHeight="1" x14ac:dyDescent="0.25">
      <c r="A423" s="56"/>
      <c r="B423" s="56"/>
      <c r="C423" s="56"/>
      <c r="D423" s="56"/>
      <c r="E423" s="57"/>
      <c r="F423" s="58"/>
      <c r="G423" s="56"/>
      <c r="H423" s="56"/>
      <c r="I423" s="59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</row>
    <row r="424" spans="1:32" ht="57" customHeight="1" x14ac:dyDescent="0.25">
      <c r="A424" s="56"/>
      <c r="B424" s="56"/>
      <c r="C424" s="56"/>
      <c r="D424" s="56"/>
      <c r="E424" s="57"/>
      <c r="F424" s="58"/>
      <c r="G424" s="56"/>
      <c r="H424" s="56"/>
      <c r="I424" s="59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</row>
    <row r="425" spans="1:32" ht="57" customHeight="1" x14ac:dyDescent="0.25">
      <c r="A425" s="56"/>
      <c r="B425" s="56"/>
      <c r="C425" s="56"/>
      <c r="D425" s="56"/>
      <c r="E425" s="57"/>
      <c r="F425" s="58"/>
      <c r="G425" s="56"/>
      <c r="H425" s="56"/>
      <c r="I425" s="59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</row>
    <row r="426" spans="1:32" ht="57" customHeight="1" x14ac:dyDescent="0.25">
      <c r="A426" s="56"/>
      <c r="B426" s="56"/>
      <c r="C426" s="56"/>
      <c r="D426" s="56"/>
      <c r="E426" s="57"/>
      <c r="F426" s="58"/>
      <c r="G426" s="56"/>
      <c r="H426" s="56"/>
      <c r="I426" s="59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</row>
    <row r="427" spans="1:32" ht="57" customHeight="1" x14ac:dyDescent="0.25">
      <c r="A427" s="56"/>
      <c r="B427" s="56"/>
      <c r="C427" s="56"/>
      <c r="D427" s="56"/>
      <c r="E427" s="57"/>
      <c r="F427" s="58"/>
      <c r="G427" s="56"/>
      <c r="H427" s="56"/>
      <c r="I427" s="59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</row>
    <row r="428" spans="1:32" ht="57" customHeight="1" x14ac:dyDescent="0.25">
      <c r="A428" s="56"/>
      <c r="B428" s="56"/>
      <c r="C428" s="56"/>
      <c r="D428" s="56"/>
      <c r="E428" s="57"/>
      <c r="F428" s="58"/>
      <c r="G428" s="56"/>
      <c r="H428" s="56"/>
      <c r="I428" s="59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</row>
    <row r="429" spans="1:32" ht="57" customHeight="1" x14ac:dyDescent="0.25">
      <c r="A429" s="56"/>
      <c r="B429" s="56"/>
      <c r="C429" s="56"/>
      <c r="D429" s="56"/>
      <c r="E429" s="57"/>
      <c r="F429" s="58"/>
      <c r="G429" s="56"/>
      <c r="H429" s="56"/>
      <c r="I429" s="59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</row>
    <row r="430" spans="1:32" ht="57" customHeight="1" x14ac:dyDescent="0.25">
      <c r="A430" s="56"/>
      <c r="B430" s="56"/>
      <c r="C430" s="56"/>
      <c r="D430" s="56"/>
      <c r="E430" s="57"/>
      <c r="F430" s="58"/>
      <c r="G430" s="56"/>
      <c r="H430" s="56"/>
      <c r="I430" s="59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</row>
    <row r="431" spans="1:32" ht="57" customHeight="1" x14ac:dyDescent="0.25">
      <c r="A431" s="56"/>
      <c r="B431" s="56"/>
      <c r="C431" s="56"/>
      <c r="D431" s="56"/>
      <c r="E431" s="57"/>
      <c r="F431" s="58"/>
      <c r="G431" s="56"/>
      <c r="H431" s="56"/>
      <c r="I431" s="59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</row>
    <row r="432" spans="1:32" ht="57" customHeight="1" x14ac:dyDescent="0.25">
      <c r="A432" s="56"/>
      <c r="B432" s="56"/>
      <c r="C432" s="56"/>
      <c r="D432" s="56"/>
      <c r="E432" s="57"/>
      <c r="F432" s="58"/>
      <c r="G432" s="56"/>
      <c r="H432" s="56"/>
      <c r="I432" s="59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</row>
    <row r="433" spans="1:32" ht="57" customHeight="1" x14ac:dyDescent="0.25">
      <c r="A433" s="56"/>
      <c r="B433" s="56"/>
      <c r="C433" s="56"/>
      <c r="D433" s="56"/>
      <c r="E433" s="57"/>
      <c r="F433" s="58"/>
      <c r="G433" s="56"/>
      <c r="H433" s="56"/>
      <c r="I433" s="59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</row>
    <row r="434" spans="1:32" ht="57" customHeight="1" x14ac:dyDescent="0.25">
      <c r="A434" s="56"/>
      <c r="B434" s="56"/>
      <c r="C434" s="56"/>
      <c r="D434" s="56"/>
      <c r="E434" s="57"/>
      <c r="F434" s="58"/>
      <c r="G434" s="56"/>
      <c r="H434" s="56"/>
      <c r="I434" s="59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</row>
    <row r="435" spans="1:32" ht="57" customHeight="1" x14ac:dyDescent="0.25">
      <c r="A435" s="56"/>
      <c r="B435" s="56"/>
      <c r="C435" s="56"/>
      <c r="D435" s="56"/>
      <c r="E435" s="57"/>
      <c r="F435" s="58"/>
      <c r="G435" s="56"/>
      <c r="H435" s="56"/>
      <c r="I435" s="59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</row>
    <row r="436" spans="1:32" ht="57" customHeight="1" x14ac:dyDescent="0.25">
      <c r="A436" s="56"/>
      <c r="B436" s="56"/>
      <c r="C436" s="56"/>
      <c r="D436" s="56"/>
      <c r="E436" s="57"/>
      <c r="F436" s="58"/>
      <c r="G436" s="56"/>
      <c r="H436" s="56"/>
      <c r="I436" s="59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</row>
    <row r="437" spans="1:32" ht="57" customHeight="1" x14ac:dyDescent="0.25">
      <c r="A437" s="56"/>
      <c r="B437" s="56"/>
      <c r="C437" s="56"/>
      <c r="D437" s="56"/>
      <c r="E437" s="57"/>
      <c r="F437" s="58"/>
      <c r="G437" s="56"/>
      <c r="H437" s="56"/>
      <c r="I437" s="59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</row>
    <row r="438" spans="1:32" ht="57" customHeight="1" x14ac:dyDescent="0.25">
      <c r="A438" s="56"/>
      <c r="B438" s="56"/>
      <c r="C438" s="56"/>
      <c r="D438" s="56"/>
      <c r="E438" s="57"/>
      <c r="F438" s="58"/>
      <c r="G438" s="56"/>
      <c r="H438" s="56"/>
      <c r="I438" s="59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</row>
    <row r="439" spans="1:32" ht="57" customHeight="1" x14ac:dyDescent="0.25">
      <c r="A439" s="56"/>
      <c r="B439" s="56"/>
      <c r="C439" s="56"/>
      <c r="D439" s="56"/>
      <c r="E439" s="57"/>
      <c r="F439" s="58"/>
      <c r="G439" s="56"/>
      <c r="H439" s="56"/>
      <c r="I439" s="59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</row>
    <row r="440" spans="1:32" ht="57" customHeight="1" x14ac:dyDescent="0.25">
      <c r="A440" s="56"/>
      <c r="B440" s="56"/>
      <c r="C440" s="56"/>
      <c r="D440" s="56"/>
      <c r="E440" s="57"/>
      <c r="F440" s="58"/>
      <c r="G440" s="56"/>
      <c r="H440" s="56"/>
      <c r="I440" s="59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</row>
    <row r="441" spans="1:32" ht="57" customHeight="1" x14ac:dyDescent="0.25">
      <c r="A441" s="56"/>
      <c r="B441" s="56"/>
      <c r="C441" s="56"/>
      <c r="D441" s="56"/>
      <c r="E441" s="57"/>
      <c r="F441" s="58"/>
      <c r="G441" s="56"/>
      <c r="H441" s="56"/>
      <c r="I441" s="59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</row>
    <row r="442" spans="1:32" ht="57" customHeight="1" x14ac:dyDescent="0.25">
      <c r="A442" s="56"/>
      <c r="B442" s="56"/>
      <c r="C442" s="56"/>
      <c r="D442" s="56"/>
      <c r="E442" s="57"/>
      <c r="F442" s="58"/>
      <c r="G442" s="56"/>
      <c r="H442" s="56"/>
      <c r="I442" s="59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</row>
    <row r="443" spans="1:32" ht="57" customHeight="1" x14ac:dyDescent="0.25">
      <c r="A443" s="56"/>
      <c r="B443" s="56"/>
      <c r="C443" s="56"/>
      <c r="D443" s="56"/>
      <c r="E443" s="57"/>
      <c r="F443" s="58"/>
      <c r="G443" s="56"/>
      <c r="H443" s="56"/>
      <c r="I443" s="59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</row>
    <row r="444" spans="1:32" ht="57" customHeight="1" x14ac:dyDescent="0.25">
      <c r="A444" s="56"/>
      <c r="B444" s="56"/>
      <c r="C444" s="56"/>
      <c r="D444" s="56"/>
      <c r="E444" s="57"/>
      <c r="F444" s="58"/>
      <c r="G444" s="56"/>
      <c r="H444" s="56"/>
      <c r="I444" s="59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</row>
    <row r="445" spans="1:32" ht="57" customHeight="1" x14ac:dyDescent="0.25">
      <c r="A445" s="56"/>
      <c r="B445" s="56"/>
      <c r="C445" s="56"/>
      <c r="D445" s="56"/>
      <c r="E445" s="57"/>
      <c r="F445" s="58"/>
      <c r="G445" s="56"/>
      <c r="H445" s="56"/>
      <c r="I445" s="59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</row>
    <row r="446" spans="1:32" ht="57" customHeight="1" x14ac:dyDescent="0.25">
      <c r="A446" s="56"/>
      <c r="B446" s="56"/>
      <c r="C446" s="56"/>
      <c r="D446" s="56"/>
      <c r="E446" s="57"/>
      <c r="F446" s="58"/>
      <c r="G446" s="56"/>
      <c r="H446" s="56"/>
      <c r="I446" s="59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</row>
    <row r="447" spans="1:32" ht="57" customHeight="1" x14ac:dyDescent="0.25">
      <c r="A447" s="56"/>
      <c r="B447" s="56"/>
      <c r="C447" s="56"/>
      <c r="D447" s="56"/>
      <c r="E447" s="57"/>
      <c r="F447" s="58"/>
      <c r="G447" s="56"/>
      <c r="H447" s="56"/>
      <c r="I447" s="59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</row>
    <row r="448" spans="1:32" ht="57" customHeight="1" x14ac:dyDescent="0.25">
      <c r="A448" s="56"/>
      <c r="B448" s="56"/>
      <c r="C448" s="56"/>
      <c r="D448" s="56"/>
      <c r="E448" s="57"/>
      <c r="F448" s="58"/>
      <c r="G448" s="56"/>
      <c r="H448" s="56"/>
      <c r="I448" s="59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</row>
    <row r="449" spans="1:32" ht="57" customHeight="1" x14ac:dyDescent="0.25">
      <c r="A449" s="56"/>
      <c r="B449" s="56"/>
      <c r="C449" s="56"/>
      <c r="D449" s="56"/>
      <c r="E449" s="57"/>
      <c r="F449" s="58"/>
      <c r="G449" s="56"/>
      <c r="H449" s="56"/>
      <c r="I449" s="59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</row>
    <row r="450" spans="1:32" ht="57" customHeight="1" x14ac:dyDescent="0.25">
      <c r="A450" s="56"/>
      <c r="B450" s="56"/>
      <c r="C450" s="56"/>
      <c r="D450" s="56"/>
      <c r="E450" s="57"/>
      <c r="F450" s="58"/>
      <c r="G450" s="56"/>
      <c r="H450" s="56"/>
      <c r="I450" s="59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</row>
    <row r="451" spans="1:32" ht="57" customHeight="1" x14ac:dyDescent="0.25">
      <c r="A451" s="56"/>
      <c r="B451" s="56"/>
      <c r="C451" s="56"/>
      <c r="D451" s="56"/>
      <c r="E451" s="57"/>
      <c r="F451" s="58"/>
      <c r="G451" s="56"/>
      <c r="H451" s="56"/>
      <c r="I451" s="59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</row>
    <row r="452" spans="1:32" ht="57" customHeight="1" x14ac:dyDescent="0.25">
      <c r="A452" s="56"/>
      <c r="B452" s="56"/>
      <c r="C452" s="56"/>
      <c r="D452" s="56"/>
      <c r="E452" s="57"/>
      <c r="F452" s="58"/>
      <c r="G452" s="56"/>
      <c r="H452" s="56"/>
      <c r="I452" s="59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</row>
    <row r="453" spans="1:32" ht="57" customHeight="1" x14ac:dyDescent="0.25">
      <c r="A453" s="56"/>
      <c r="B453" s="56"/>
      <c r="C453" s="56"/>
      <c r="D453" s="56"/>
      <c r="E453" s="57"/>
      <c r="F453" s="58"/>
      <c r="G453" s="56"/>
      <c r="H453" s="56"/>
      <c r="I453" s="59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</row>
    <row r="454" spans="1:32" ht="57" customHeight="1" x14ac:dyDescent="0.25">
      <c r="A454" s="56"/>
      <c r="B454" s="56"/>
      <c r="C454" s="56"/>
      <c r="D454" s="56"/>
      <c r="E454" s="57"/>
      <c r="F454" s="58"/>
      <c r="G454" s="56"/>
      <c r="H454" s="56"/>
      <c r="I454" s="59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</row>
    <row r="455" spans="1:32" ht="57" customHeight="1" x14ac:dyDescent="0.25">
      <c r="A455" s="56"/>
      <c r="B455" s="56"/>
      <c r="C455" s="56"/>
      <c r="D455" s="56"/>
      <c r="E455" s="57"/>
      <c r="F455" s="58"/>
      <c r="G455" s="56"/>
      <c r="H455" s="56"/>
      <c r="I455" s="59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</row>
    <row r="456" spans="1:32" ht="57" customHeight="1" x14ac:dyDescent="0.25">
      <c r="A456" s="56"/>
      <c r="B456" s="56"/>
      <c r="C456" s="56"/>
      <c r="D456" s="56"/>
      <c r="E456" s="57"/>
      <c r="F456" s="58"/>
      <c r="G456" s="56"/>
      <c r="H456" s="56"/>
      <c r="I456" s="59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</row>
    <row r="457" spans="1:32" ht="57" customHeight="1" x14ac:dyDescent="0.25">
      <c r="A457" s="56"/>
      <c r="B457" s="56"/>
      <c r="C457" s="56"/>
      <c r="D457" s="56"/>
      <c r="E457" s="57"/>
      <c r="F457" s="58"/>
      <c r="G457" s="56"/>
      <c r="H457" s="56"/>
      <c r="I457" s="59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</row>
    <row r="458" spans="1:32" ht="57" customHeight="1" x14ac:dyDescent="0.25">
      <c r="A458" s="56"/>
      <c r="B458" s="56"/>
      <c r="C458" s="56"/>
      <c r="D458" s="56"/>
      <c r="E458" s="57"/>
      <c r="F458" s="58"/>
      <c r="G458" s="56"/>
      <c r="H458" s="56"/>
      <c r="I458" s="59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</row>
    <row r="459" spans="1:32" ht="57" customHeight="1" x14ac:dyDescent="0.25">
      <c r="A459" s="56"/>
      <c r="B459" s="56"/>
      <c r="C459" s="56"/>
      <c r="D459" s="56"/>
      <c r="E459" s="57"/>
      <c r="F459" s="58"/>
      <c r="G459" s="56"/>
      <c r="H459" s="56"/>
      <c r="I459" s="59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</row>
    <row r="460" spans="1:32" ht="57" customHeight="1" x14ac:dyDescent="0.25">
      <c r="A460" s="56"/>
      <c r="B460" s="56"/>
      <c r="C460" s="56"/>
      <c r="D460" s="56"/>
      <c r="E460" s="57"/>
      <c r="F460" s="58"/>
      <c r="G460" s="56"/>
      <c r="H460" s="56"/>
      <c r="I460" s="59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</row>
    <row r="461" spans="1:32" ht="57" customHeight="1" x14ac:dyDescent="0.25">
      <c r="A461" s="56"/>
      <c r="B461" s="56"/>
      <c r="C461" s="56"/>
      <c r="D461" s="56"/>
      <c r="E461" s="57"/>
      <c r="F461" s="58"/>
      <c r="G461" s="56"/>
      <c r="H461" s="56"/>
      <c r="I461" s="59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</row>
    <row r="462" spans="1:32" ht="57" customHeight="1" x14ac:dyDescent="0.25">
      <c r="A462" s="56"/>
      <c r="B462" s="56"/>
      <c r="C462" s="56"/>
      <c r="D462" s="56"/>
      <c r="E462" s="57"/>
      <c r="F462" s="58"/>
      <c r="G462" s="56"/>
      <c r="H462" s="56"/>
      <c r="I462" s="59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</row>
    <row r="463" spans="1:32" ht="57" customHeight="1" x14ac:dyDescent="0.25">
      <c r="A463" s="56"/>
      <c r="B463" s="56"/>
      <c r="C463" s="56"/>
      <c r="D463" s="56"/>
      <c r="E463" s="57"/>
      <c r="F463" s="58"/>
      <c r="G463" s="56"/>
      <c r="H463" s="56"/>
      <c r="I463" s="59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</row>
    <row r="464" spans="1:32" ht="57" customHeight="1" x14ac:dyDescent="0.25">
      <c r="A464" s="56"/>
      <c r="B464" s="56"/>
      <c r="C464" s="56"/>
      <c r="D464" s="56"/>
      <c r="E464" s="57"/>
      <c r="F464" s="58"/>
      <c r="G464" s="56"/>
      <c r="H464" s="56"/>
      <c r="I464" s="59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</row>
    <row r="465" spans="1:32" ht="57" customHeight="1" x14ac:dyDescent="0.25">
      <c r="A465" s="56"/>
      <c r="B465" s="56"/>
      <c r="C465" s="56"/>
      <c r="D465" s="56"/>
      <c r="E465" s="57"/>
      <c r="F465" s="58"/>
      <c r="G465" s="56"/>
      <c r="H465" s="56"/>
      <c r="I465" s="59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</row>
    <row r="466" spans="1:32" ht="57" customHeight="1" x14ac:dyDescent="0.25">
      <c r="A466" s="56"/>
      <c r="B466" s="56"/>
      <c r="C466" s="56"/>
      <c r="D466" s="56"/>
      <c r="E466" s="57"/>
      <c r="F466" s="58"/>
      <c r="G466" s="56"/>
      <c r="H466" s="56"/>
      <c r="I466" s="59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</row>
    <row r="467" spans="1:32" ht="57" customHeight="1" x14ac:dyDescent="0.25">
      <c r="A467" s="56"/>
      <c r="B467" s="56"/>
      <c r="C467" s="56"/>
      <c r="D467" s="56"/>
      <c r="E467" s="57"/>
      <c r="F467" s="58"/>
      <c r="G467" s="56"/>
      <c r="H467" s="56"/>
      <c r="I467" s="59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</row>
    <row r="468" spans="1:32" ht="57" customHeight="1" x14ac:dyDescent="0.25">
      <c r="A468" s="56"/>
      <c r="B468" s="56"/>
      <c r="C468" s="56"/>
      <c r="D468" s="56"/>
      <c r="E468" s="57"/>
      <c r="F468" s="58"/>
      <c r="G468" s="56"/>
      <c r="H468" s="56"/>
      <c r="I468" s="59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</row>
    <row r="469" spans="1:32" ht="57" customHeight="1" x14ac:dyDescent="0.25">
      <c r="A469" s="56"/>
      <c r="B469" s="56"/>
      <c r="C469" s="56"/>
      <c r="D469" s="56"/>
      <c r="E469" s="57"/>
      <c r="F469" s="58"/>
      <c r="G469" s="56"/>
      <c r="H469" s="56"/>
      <c r="I469" s="59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</row>
    <row r="470" spans="1:32" ht="57" customHeight="1" x14ac:dyDescent="0.25">
      <c r="A470" s="56"/>
      <c r="B470" s="56"/>
      <c r="C470" s="56"/>
      <c r="D470" s="56"/>
      <c r="E470" s="57"/>
      <c r="F470" s="58"/>
      <c r="G470" s="56"/>
      <c r="H470" s="56"/>
      <c r="I470" s="59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</row>
    <row r="471" spans="1:32" ht="57" customHeight="1" x14ac:dyDescent="0.25">
      <c r="A471" s="56"/>
      <c r="B471" s="56"/>
      <c r="C471" s="56"/>
      <c r="D471" s="56"/>
      <c r="E471" s="57"/>
      <c r="F471" s="58"/>
      <c r="G471" s="56"/>
      <c r="H471" s="56"/>
      <c r="I471" s="59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</row>
    <row r="472" spans="1:32" ht="57" customHeight="1" x14ac:dyDescent="0.25">
      <c r="A472" s="56"/>
      <c r="B472" s="56"/>
      <c r="C472" s="56"/>
      <c r="D472" s="56"/>
      <c r="E472" s="57"/>
      <c r="F472" s="58"/>
      <c r="G472" s="56"/>
      <c r="H472" s="56"/>
      <c r="I472" s="59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</row>
    <row r="473" spans="1:32" ht="57" customHeight="1" x14ac:dyDescent="0.25">
      <c r="A473" s="56"/>
      <c r="B473" s="56"/>
      <c r="C473" s="56"/>
      <c r="D473" s="56"/>
      <c r="E473" s="57"/>
      <c r="F473" s="58"/>
      <c r="G473" s="56"/>
      <c r="H473" s="56"/>
      <c r="I473" s="59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</row>
    <row r="474" spans="1:32" ht="57" customHeight="1" x14ac:dyDescent="0.25">
      <c r="A474" s="56"/>
      <c r="B474" s="56"/>
      <c r="C474" s="56"/>
      <c r="D474" s="56"/>
      <c r="E474" s="57"/>
      <c r="F474" s="58"/>
      <c r="G474" s="56"/>
      <c r="H474" s="56"/>
      <c r="I474" s="59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</row>
    <row r="475" spans="1:32" ht="57" customHeight="1" x14ac:dyDescent="0.25">
      <c r="A475" s="56"/>
      <c r="B475" s="56"/>
      <c r="C475" s="56"/>
      <c r="D475" s="56"/>
      <c r="E475" s="57"/>
      <c r="F475" s="58"/>
      <c r="G475" s="56"/>
      <c r="H475" s="56"/>
      <c r="I475" s="59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</row>
    <row r="476" spans="1:32" ht="57" customHeight="1" x14ac:dyDescent="0.25">
      <c r="A476" s="56"/>
      <c r="B476" s="56"/>
      <c r="C476" s="56"/>
      <c r="D476" s="56"/>
      <c r="E476" s="57"/>
      <c r="F476" s="58"/>
      <c r="G476" s="56"/>
      <c r="H476" s="56"/>
      <c r="I476" s="59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</row>
    <row r="477" spans="1:32" ht="57" customHeight="1" x14ac:dyDescent="0.25">
      <c r="A477" s="56"/>
      <c r="B477" s="56"/>
      <c r="C477" s="56"/>
      <c r="D477" s="56"/>
      <c r="E477" s="57"/>
      <c r="F477" s="58"/>
      <c r="G477" s="56"/>
      <c r="H477" s="56"/>
      <c r="I477" s="59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</row>
    <row r="478" spans="1:32" ht="57" customHeight="1" x14ac:dyDescent="0.25">
      <c r="A478" s="56"/>
      <c r="B478" s="56"/>
      <c r="C478" s="56"/>
      <c r="D478" s="56"/>
      <c r="E478" s="57"/>
      <c r="F478" s="58"/>
      <c r="G478" s="56"/>
      <c r="H478" s="56"/>
      <c r="I478" s="59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</row>
    <row r="479" spans="1:32" ht="57" customHeight="1" x14ac:dyDescent="0.25">
      <c r="A479" s="56"/>
      <c r="B479" s="56"/>
      <c r="C479" s="56"/>
      <c r="D479" s="56"/>
      <c r="E479" s="57"/>
      <c r="F479" s="58"/>
      <c r="G479" s="56"/>
      <c r="H479" s="56"/>
      <c r="I479" s="59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</row>
    <row r="480" spans="1:32" ht="57" customHeight="1" x14ac:dyDescent="0.25">
      <c r="A480" s="56"/>
      <c r="B480" s="56"/>
      <c r="C480" s="56"/>
      <c r="D480" s="56"/>
      <c r="E480" s="57"/>
      <c r="F480" s="58"/>
      <c r="G480" s="56"/>
      <c r="H480" s="56"/>
      <c r="I480" s="59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</row>
    <row r="481" spans="1:32" ht="57" customHeight="1" x14ac:dyDescent="0.25">
      <c r="A481" s="56"/>
      <c r="B481" s="56"/>
      <c r="C481" s="56"/>
      <c r="D481" s="56"/>
      <c r="E481" s="57"/>
      <c r="F481" s="58"/>
      <c r="G481" s="56"/>
      <c r="H481" s="56"/>
      <c r="I481" s="59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</row>
    <row r="482" spans="1:32" ht="57" customHeight="1" x14ac:dyDescent="0.25">
      <c r="A482" s="56"/>
      <c r="B482" s="56"/>
      <c r="C482" s="56"/>
      <c r="D482" s="56"/>
      <c r="E482" s="57"/>
      <c r="F482" s="58"/>
      <c r="G482" s="56"/>
      <c r="H482" s="56"/>
      <c r="I482" s="59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</row>
    <row r="483" spans="1:32" ht="57" customHeight="1" x14ac:dyDescent="0.25">
      <c r="A483" s="56"/>
      <c r="B483" s="56"/>
      <c r="C483" s="56"/>
      <c r="D483" s="56"/>
      <c r="E483" s="57"/>
      <c r="F483" s="58"/>
      <c r="G483" s="56"/>
      <c r="H483" s="56"/>
      <c r="I483" s="59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</row>
    <row r="484" spans="1:32" ht="57" customHeight="1" x14ac:dyDescent="0.25">
      <c r="A484" s="56"/>
      <c r="B484" s="56"/>
      <c r="C484" s="56"/>
      <c r="D484" s="56"/>
      <c r="E484" s="57"/>
      <c r="F484" s="58"/>
      <c r="G484" s="56"/>
      <c r="H484" s="56"/>
      <c r="I484" s="59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</row>
    <row r="485" spans="1:32" ht="57" customHeight="1" x14ac:dyDescent="0.25">
      <c r="A485" s="56"/>
      <c r="B485" s="56"/>
      <c r="C485" s="56"/>
      <c r="D485" s="56"/>
      <c r="E485" s="57"/>
      <c r="F485" s="58"/>
      <c r="G485" s="56"/>
      <c r="H485" s="56"/>
      <c r="I485" s="59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</row>
    <row r="486" spans="1:32" ht="57" customHeight="1" x14ac:dyDescent="0.25">
      <c r="A486" s="56"/>
      <c r="B486" s="56"/>
      <c r="C486" s="56"/>
      <c r="D486" s="56"/>
      <c r="E486" s="57"/>
      <c r="F486" s="58"/>
      <c r="G486" s="56"/>
      <c r="H486" s="56"/>
      <c r="I486" s="59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</row>
    <row r="487" spans="1:32" ht="57" customHeight="1" x14ac:dyDescent="0.25">
      <c r="A487" s="56"/>
      <c r="B487" s="56"/>
      <c r="C487" s="56"/>
      <c r="D487" s="56"/>
      <c r="E487" s="57"/>
      <c r="F487" s="58"/>
      <c r="G487" s="56"/>
      <c r="H487" s="56"/>
      <c r="I487" s="59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</row>
    <row r="488" spans="1:32" ht="57" customHeight="1" x14ac:dyDescent="0.25">
      <c r="A488" s="56"/>
      <c r="B488" s="56"/>
      <c r="C488" s="56"/>
      <c r="D488" s="56"/>
      <c r="E488" s="57"/>
      <c r="F488" s="58"/>
      <c r="G488" s="56"/>
      <c r="H488" s="56"/>
      <c r="I488" s="59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</row>
    <row r="489" spans="1:32" ht="57" customHeight="1" x14ac:dyDescent="0.25">
      <c r="A489" s="56"/>
      <c r="B489" s="56"/>
      <c r="C489" s="56"/>
      <c r="D489" s="56"/>
      <c r="E489" s="57"/>
      <c r="F489" s="58"/>
      <c r="G489" s="56"/>
      <c r="H489" s="56"/>
      <c r="I489" s="59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</row>
    <row r="490" spans="1:32" ht="57" customHeight="1" x14ac:dyDescent="0.25">
      <c r="A490" s="56"/>
      <c r="B490" s="56"/>
      <c r="C490" s="56"/>
      <c r="D490" s="56"/>
      <c r="E490" s="57"/>
      <c r="F490" s="58"/>
      <c r="G490" s="56"/>
      <c r="H490" s="56"/>
      <c r="I490" s="59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</row>
    <row r="491" spans="1:32" ht="57" customHeight="1" x14ac:dyDescent="0.25">
      <c r="A491" s="56"/>
      <c r="B491" s="56"/>
      <c r="C491" s="56"/>
      <c r="D491" s="56"/>
      <c r="E491" s="57"/>
      <c r="F491" s="58"/>
      <c r="G491" s="56"/>
      <c r="H491" s="56"/>
      <c r="I491" s="59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</row>
    <row r="492" spans="1:32" ht="57" customHeight="1" x14ac:dyDescent="0.25">
      <c r="A492" s="56"/>
      <c r="B492" s="56"/>
      <c r="C492" s="56"/>
      <c r="D492" s="56"/>
      <c r="E492" s="57"/>
      <c r="F492" s="58"/>
      <c r="G492" s="56"/>
      <c r="H492" s="56"/>
      <c r="I492" s="59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</row>
    <row r="493" spans="1:32" ht="57" customHeight="1" x14ac:dyDescent="0.25">
      <c r="A493" s="56"/>
      <c r="B493" s="56"/>
      <c r="C493" s="56"/>
      <c r="D493" s="56"/>
      <c r="E493" s="57"/>
      <c r="F493" s="58"/>
      <c r="G493" s="56"/>
      <c r="H493" s="56"/>
      <c r="I493" s="59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</row>
    <row r="494" spans="1:32" ht="57" customHeight="1" x14ac:dyDescent="0.25">
      <c r="A494" s="56"/>
      <c r="B494" s="56"/>
      <c r="C494" s="56"/>
      <c r="D494" s="56"/>
      <c r="E494" s="57"/>
      <c r="F494" s="58"/>
      <c r="G494" s="56"/>
      <c r="H494" s="56"/>
      <c r="I494" s="59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</row>
    <row r="495" spans="1:32" ht="57" customHeight="1" x14ac:dyDescent="0.25">
      <c r="A495" s="56"/>
      <c r="B495" s="56"/>
      <c r="C495" s="56"/>
      <c r="D495" s="56"/>
      <c r="E495" s="57"/>
      <c r="F495" s="58"/>
      <c r="G495" s="56"/>
      <c r="H495" s="56"/>
      <c r="I495" s="59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</row>
    <row r="496" spans="1:32" ht="57" customHeight="1" x14ac:dyDescent="0.25">
      <c r="A496" s="56"/>
      <c r="B496" s="56"/>
      <c r="C496" s="56"/>
      <c r="D496" s="56"/>
      <c r="E496" s="57"/>
      <c r="F496" s="58"/>
      <c r="G496" s="56"/>
      <c r="H496" s="56"/>
      <c r="I496" s="59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</row>
    <row r="497" spans="1:32" ht="57" customHeight="1" x14ac:dyDescent="0.25">
      <c r="A497" s="56"/>
      <c r="B497" s="56"/>
      <c r="C497" s="56"/>
      <c r="D497" s="56"/>
      <c r="E497" s="57"/>
      <c r="F497" s="58"/>
      <c r="G497" s="56"/>
      <c r="H497" s="56"/>
      <c r="I497" s="59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</row>
    <row r="498" spans="1:32" ht="57" customHeight="1" x14ac:dyDescent="0.25">
      <c r="A498" s="56"/>
      <c r="B498" s="56"/>
      <c r="C498" s="56"/>
      <c r="D498" s="56"/>
      <c r="E498" s="57"/>
      <c r="F498" s="58"/>
      <c r="G498" s="56"/>
      <c r="H498" s="56"/>
      <c r="I498" s="59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</row>
    <row r="499" spans="1:32" ht="57" customHeight="1" x14ac:dyDescent="0.25">
      <c r="A499" s="56"/>
      <c r="B499" s="56"/>
      <c r="C499" s="56"/>
      <c r="D499" s="56"/>
      <c r="E499" s="57"/>
      <c r="F499" s="58"/>
      <c r="G499" s="56"/>
      <c r="H499" s="56"/>
      <c r="I499" s="59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</row>
    <row r="500" spans="1:32" ht="57" customHeight="1" x14ac:dyDescent="0.25">
      <c r="A500" s="56"/>
      <c r="B500" s="56"/>
      <c r="C500" s="56"/>
      <c r="D500" s="56"/>
      <c r="E500" s="57"/>
      <c r="F500" s="58"/>
      <c r="G500" s="56"/>
      <c r="H500" s="56"/>
      <c r="I500" s="59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</row>
    <row r="501" spans="1:32" ht="57" customHeight="1" x14ac:dyDescent="0.25">
      <c r="A501" s="56"/>
      <c r="B501" s="56"/>
      <c r="C501" s="56"/>
      <c r="D501" s="56"/>
      <c r="E501" s="57"/>
      <c r="F501" s="58"/>
      <c r="G501" s="56"/>
      <c r="H501" s="56"/>
      <c r="I501" s="59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</row>
    <row r="502" spans="1:32" ht="57" customHeight="1" x14ac:dyDescent="0.25">
      <c r="A502" s="56"/>
      <c r="B502" s="56"/>
      <c r="C502" s="56"/>
      <c r="D502" s="56"/>
      <c r="E502" s="57"/>
      <c r="F502" s="58"/>
      <c r="G502" s="56"/>
      <c r="H502" s="56"/>
      <c r="I502" s="59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</row>
    <row r="503" spans="1:32" ht="57" customHeight="1" x14ac:dyDescent="0.25">
      <c r="A503" s="56"/>
      <c r="B503" s="56"/>
      <c r="C503" s="56"/>
      <c r="D503" s="56"/>
      <c r="E503" s="57"/>
      <c r="F503" s="58"/>
      <c r="G503" s="56"/>
      <c r="H503" s="56"/>
      <c r="I503" s="59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</row>
    <row r="504" spans="1:32" ht="57" customHeight="1" x14ac:dyDescent="0.25">
      <c r="A504" s="56"/>
      <c r="B504" s="56"/>
      <c r="C504" s="56"/>
      <c r="D504" s="56"/>
      <c r="E504" s="57"/>
      <c r="F504" s="58"/>
      <c r="G504" s="56"/>
      <c r="H504" s="56"/>
      <c r="I504" s="59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</row>
    <row r="505" spans="1:32" ht="57" customHeight="1" x14ac:dyDescent="0.25">
      <c r="A505" s="56"/>
      <c r="B505" s="56"/>
      <c r="C505" s="56"/>
      <c r="D505" s="56"/>
      <c r="E505" s="57"/>
      <c r="F505" s="58"/>
      <c r="G505" s="56"/>
      <c r="H505" s="56"/>
      <c r="I505" s="59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</row>
    <row r="506" spans="1:32" ht="57" customHeight="1" x14ac:dyDescent="0.25">
      <c r="A506" s="56"/>
      <c r="B506" s="56"/>
      <c r="C506" s="56"/>
      <c r="D506" s="56"/>
      <c r="E506" s="57"/>
      <c r="F506" s="58"/>
      <c r="G506" s="56"/>
      <c r="H506" s="56"/>
      <c r="I506" s="59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</row>
    <row r="507" spans="1:32" ht="57" customHeight="1" x14ac:dyDescent="0.25">
      <c r="A507" s="56"/>
      <c r="B507" s="56"/>
      <c r="C507" s="56"/>
      <c r="D507" s="56"/>
      <c r="E507" s="57"/>
      <c r="F507" s="58"/>
      <c r="G507" s="56"/>
      <c r="H507" s="56"/>
      <c r="I507" s="59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</row>
    <row r="508" spans="1:32" ht="57" customHeight="1" x14ac:dyDescent="0.25">
      <c r="A508" s="56"/>
      <c r="B508" s="56"/>
      <c r="C508" s="56"/>
      <c r="D508" s="56"/>
      <c r="E508" s="57"/>
      <c r="F508" s="58"/>
      <c r="G508" s="56"/>
      <c r="H508" s="56"/>
      <c r="I508" s="59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</row>
    <row r="509" spans="1:32" ht="57" customHeight="1" x14ac:dyDescent="0.25">
      <c r="A509" s="56"/>
      <c r="B509" s="56"/>
      <c r="C509" s="56"/>
      <c r="D509" s="56"/>
      <c r="E509" s="57"/>
      <c r="F509" s="58"/>
      <c r="G509" s="56"/>
      <c r="H509" s="56"/>
      <c r="I509" s="59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</row>
    <row r="510" spans="1:32" ht="57" customHeight="1" x14ac:dyDescent="0.25">
      <c r="A510" s="56"/>
      <c r="B510" s="56"/>
      <c r="C510" s="56"/>
      <c r="D510" s="56"/>
      <c r="E510" s="57"/>
      <c r="F510" s="58"/>
      <c r="G510" s="56"/>
      <c r="H510" s="56"/>
      <c r="I510" s="59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</row>
    <row r="511" spans="1:32" ht="57" customHeight="1" x14ac:dyDescent="0.25">
      <c r="A511" s="56"/>
      <c r="B511" s="56"/>
      <c r="C511" s="56"/>
      <c r="D511" s="56"/>
      <c r="E511" s="57"/>
      <c r="F511" s="58"/>
      <c r="G511" s="56"/>
      <c r="H511" s="56"/>
      <c r="I511" s="59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</row>
    <row r="512" spans="1:32" ht="57" customHeight="1" x14ac:dyDescent="0.25">
      <c r="A512" s="56"/>
      <c r="B512" s="56"/>
      <c r="C512" s="56"/>
      <c r="D512" s="56"/>
      <c r="E512" s="57"/>
      <c r="F512" s="58"/>
      <c r="G512" s="56"/>
      <c r="H512" s="56"/>
      <c r="I512" s="59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</row>
    <row r="513" spans="1:32" ht="57" customHeight="1" x14ac:dyDescent="0.25">
      <c r="A513" s="56"/>
      <c r="B513" s="56"/>
      <c r="C513" s="56"/>
      <c r="D513" s="56"/>
      <c r="E513" s="57"/>
      <c r="F513" s="58"/>
      <c r="G513" s="56"/>
      <c r="H513" s="56"/>
      <c r="I513" s="59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</row>
    <row r="514" spans="1:32" ht="57" customHeight="1" x14ac:dyDescent="0.25">
      <c r="A514" s="56"/>
      <c r="B514" s="56"/>
      <c r="C514" s="56"/>
      <c r="D514" s="56"/>
      <c r="E514" s="57"/>
      <c r="F514" s="58"/>
      <c r="G514" s="56"/>
      <c r="H514" s="56"/>
      <c r="I514" s="59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</row>
    <row r="515" spans="1:32" ht="57" customHeight="1" x14ac:dyDescent="0.25">
      <c r="A515" s="56"/>
      <c r="B515" s="56"/>
      <c r="C515" s="56"/>
      <c r="D515" s="56"/>
      <c r="E515" s="57"/>
      <c r="F515" s="58"/>
      <c r="G515" s="56"/>
      <c r="H515" s="56"/>
      <c r="I515" s="59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</row>
    <row r="516" spans="1:32" ht="57" customHeight="1" x14ac:dyDescent="0.25">
      <c r="A516" s="56"/>
      <c r="B516" s="56"/>
      <c r="C516" s="56"/>
      <c r="D516" s="56"/>
      <c r="E516" s="57"/>
      <c r="F516" s="58"/>
      <c r="G516" s="56"/>
      <c r="H516" s="56"/>
      <c r="I516" s="59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</row>
    <row r="517" spans="1:32" ht="57" customHeight="1" x14ac:dyDescent="0.25">
      <c r="A517" s="56"/>
      <c r="B517" s="56"/>
      <c r="C517" s="56"/>
      <c r="D517" s="56"/>
      <c r="E517" s="57"/>
      <c r="F517" s="58"/>
      <c r="G517" s="56"/>
      <c r="H517" s="56"/>
      <c r="I517" s="59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</row>
    <row r="518" spans="1:32" ht="57" customHeight="1" x14ac:dyDescent="0.25">
      <c r="A518" s="56"/>
      <c r="B518" s="56"/>
      <c r="C518" s="56"/>
      <c r="D518" s="56"/>
      <c r="E518" s="57"/>
      <c r="F518" s="58"/>
      <c r="G518" s="56"/>
      <c r="H518" s="56"/>
      <c r="I518" s="59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</row>
    <row r="519" spans="1:32" ht="57" customHeight="1" x14ac:dyDescent="0.25">
      <c r="A519" s="56"/>
      <c r="B519" s="56"/>
      <c r="C519" s="56"/>
      <c r="D519" s="56"/>
      <c r="E519" s="57"/>
      <c r="F519" s="58"/>
      <c r="G519" s="56"/>
      <c r="H519" s="56"/>
      <c r="I519" s="59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</row>
    <row r="520" spans="1:32" ht="57" customHeight="1" x14ac:dyDescent="0.25">
      <c r="A520" s="56"/>
      <c r="B520" s="56"/>
      <c r="C520" s="56"/>
      <c r="D520" s="56"/>
      <c r="E520" s="57"/>
      <c r="F520" s="58"/>
      <c r="G520" s="56"/>
      <c r="H520" s="56"/>
      <c r="I520" s="59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</row>
    <row r="521" spans="1:32" ht="57" customHeight="1" x14ac:dyDescent="0.25">
      <c r="A521" s="56"/>
      <c r="B521" s="56"/>
      <c r="C521" s="56"/>
      <c r="D521" s="56"/>
      <c r="E521" s="57"/>
      <c r="F521" s="58"/>
      <c r="G521" s="56"/>
      <c r="H521" s="56"/>
      <c r="I521" s="59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</row>
    <row r="522" spans="1:32" ht="57" customHeight="1" x14ac:dyDescent="0.25">
      <c r="A522" s="56"/>
      <c r="B522" s="56"/>
      <c r="C522" s="56"/>
      <c r="D522" s="56"/>
      <c r="E522" s="57"/>
      <c r="F522" s="58"/>
      <c r="G522" s="56"/>
      <c r="H522" s="56"/>
      <c r="I522" s="59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</row>
    <row r="523" spans="1:32" ht="57" customHeight="1" x14ac:dyDescent="0.25">
      <c r="A523" s="56"/>
      <c r="B523" s="56"/>
      <c r="C523" s="56"/>
      <c r="D523" s="56"/>
      <c r="E523" s="57"/>
      <c r="F523" s="58"/>
      <c r="G523" s="56"/>
      <c r="H523" s="56"/>
      <c r="I523" s="59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</row>
    <row r="524" spans="1:32" ht="57" customHeight="1" x14ac:dyDescent="0.25">
      <c r="A524" s="56"/>
      <c r="B524" s="56"/>
      <c r="C524" s="56"/>
      <c r="D524" s="56"/>
      <c r="E524" s="57"/>
      <c r="F524" s="58"/>
      <c r="G524" s="56"/>
      <c r="H524" s="56"/>
      <c r="I524" s="59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</row>
    <row r="525" spans="1:32" ht="57" customHeight="1" x14ac:dyDescent="0.25">
      <c r="A525" s="56"/>
      <c r="B525" s="56"/>
      <c r="C525" s="56"/>
      <c r="D525" s="56"/>
      <c r="E525" s="57"/>
      <c r="F525" s="58"/>
      <c r="G525" s="56"/>
      <c r="H525" s="56"/>
      <c r="I525" s="59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</row>
    <row r="526" spans="1:32" ht="57" customHeight="1" x14ac:dyDescent="0.25">
      <c r="A526" s="56"/>
      <c r="B526" s="56"/>
      <c r="C526" s="56"/>
      <c r="D526" s="56"/>
      <c r="E526" s="57"/>
      <c r="F526" s="58"/>
      <c r="G526" s="56"/>
      <c r="H526" s="56"/>
      <c r="I526" s="59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</row>
    <row r="527" spans="1:32" ht="57" customHeight="1" x14ac:dyDescent="0.25">
      <c r="A527" s="56"/>
      <c r="B527" s="56"/>
      <c r="C527" s="56"/>
      <c r="D527" s="56"/>
      <c r="E527" s="57"/>
      <c r="F527" s="58"/>
      <c r="G527" s="56"/>
      <c r="H527" s="56"/>
      <c r="I527" s="59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</row>
    <row r="528" spans="1:32" ht="57" customHeight="1" x14ac:dyDescent="0.25">
      <c r="A528" s="56"/>
      <c r="B528" s="56"/>
      <c r="C528" s="56"/>
      <c r="D528" s="56"/>
      <c r="E528" s="57"/>
      <c r="F528" s="58"/>
      <c r="G528" s="56"/>
      <c r="H528" s="56"/>
      <c r="I528" s="59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</row>
    <row r="529" spans="1:32" ht="57" customHeight="1" x14ac:dyDescent="0.25">
      <c r="A529" s="56"/>
      <c r="B529" s="56"/>
      <c r="C529" s="56"/>
      <c r="D529" s="56"/>
      <c r="E529" s="57"/>
      <c r="F529" s="58"/>
      <c r="G529" s="56"/>
      <c r="H529" s="56"/>
      <c r="I529" s="59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</row>
    <row r="530" spans="1:32" ht="57" customHeight="1" x14ac:dyDescent="0.25">
      <c r="A530" s="56"/>
      <c r="B530" s="56"/>
      <c r="C530" s="56"/>
      <c r="D530" s="56"/>
      <c r="E530" s="57"/>
      <c r="F530" s="58"/>
      <c r="G530" s="56"/>
      <c r="H530" s="56"/>
      <c r="I530" s="59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</row>
    <row r="531" spans="1:32" ht="57" customHeight="1" x14ac:dyDescent="0.25">
      <c r="A531" s="56"/>
      <c r="B531" s="56"/>
      <c r="C531" s="56"/>
      <c r="D531" s="56"/>
      <c r="E531" s="57"/>
      <c r="F531" s="58"/>
      <c r="G531" s="56"/>
      <c r="H531" s="56"/>
      <c r="I531" s="59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</row>
    <row r="532" spans="1:32" ht="57" customHeight="1" x14ac:dyDescent="0.25">
      <c r="A532" s="56"/>
      <c r="B532" s="56"/>
      <c r="C532" s="56"/>
      <c r="D532" s="56"/>
      <c r="E532" s="57"/>
      <c r="F532" s="58"/>
      <c r="G532" s="56"/>
      <c r="H532" s="56"/>
      <c r="I532" s="59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</row>
    <row r="533" spans="1:32" ht="57" customHeight="1" x14ac:dyDescent="0.25">
      <c r="A533" s="56"/>
      <c r="B533" s="56"/>
      <c r="C533" s="56"/>
      <c r="D533" s="56"/>
      <c r="E533" s="57"/>
      <c r="F533" s="58"/>
      <c r="G533" s="56"/>
      <c r="H533" s="56"/>
      <c r="I533" s="59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</row>
    <row r="534" spans="1:32" ht="57" customHeight="1" x14ac:dyDescent="0.25">
      <c r="A534" s="56"/>
      <c r="B534" s="56"/>
      <c r="C534" s="56"/>
      <c r="D534" s="56"/>
      <c r="E534" s="57"/>
      <c r="F534" s="58"/>
      <c r="G534" s="56"/>
      <c r="H534" s="56"/>
      <c r="I534" s="59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</row>
    <row r="535" spans="1:32" ht="57" customHeight="1" x14ac:dyDescent="0.25">
      <c r="A535" s="56"/>
      <c r="B535" s="56"/>
      <c r="C535" s="56"/>
      <c r="D535" s="56"/>
      <c r="E535" s="57"/>
      <c r="F535" s="58"/>
      <c r="G535" s="56"/>
      <c r="H535" s="56"/>
      <c r="I535" s="59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</row>
    <row r="536" spans="1:32" ht="57" customHeight="1" x14ac:dyDescent="0.25">
      <c r="A536" s="56"/>
      <c r="B536" s="56"/>
      <c r="C536" s="56"/>
      <c r="D536" s="56"/>
      <c r="E536" s="57"/>
      <c r="F536" s="58"/>
      <c r="G536" s="56"/>
      <c r="H536" s="56"/>
      <c r="I536" s="59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</row>
    <row r="537" spans="1:32" ht="57" customHeight="1" x14ac:dyDescent="0.25">
      <c r="A537" s="56"/>
      <c r="B537" s="56"/>
      <c r="C537" s="56"/>
      <c r="D537" s="56"/>
      <c r="E537" s="57"/>
      <c r="F537" s="58"/>
      <c r="G537" s="56"/>
      <c r="H537" s="56"/>
      <c r="I537" s="59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</row>
    <row r="538" spans="1:32" ht="57" customHeight="1" x14ac:dyDescent="0.25">
      <c r="A538" s="56"/>
      <c r="B538" s="56"/>
      <c r="C538" s="56"/>
      <c r="D538" s="56"/>
      <c r="E538" s="57"/>
      <c r="F538" s="58"/>
      <c r="G538" s="56"/>
      <c r="H538" s="56"/>
      <c r="I538" s="59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</row>
    <row r="539" spans="1:32" ht="57" customHeight="1" x14ac:dyDescent="0.25">
      <c r="A539" s="56"/>
      <c r="B539" s="56"/>
      <c r="C539" s="56"/>
      <c r="D539" s="56"/>
      <c r="E539" s="57"/>
      <c r="F539" s="58"/>
      <c r="G539" s="56"/>
      <c r="H539" s="56"/>
      <c r="I539" s="59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</row>
    <row r="540" spans="1:32" ht="57" customHeight="1" x14ac:dyDescent="0.25">
      <c r="A540" s="56"/>
      <c r="B540" s="56"/>
      <c r="C540" s="56"/>
      <c r="D540" s="56"/>
      <c r="E540" s="57"/>
      <c r="F540" s="58"/>
      <c r="G540" s="56"/>
      <c r="H540" s="56"/>
      <c r="I540" s="59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</row>
    <row r="541" spans="1:32" ht="57" customHeight="1" x14ac:dyDescent="0.25">
      <c r="A541" s="56"/>
      <c r="B541" s="56"/>
      <c r="C541" s="56"/>
      <c r="D541" s="56"/>
      <c r="E541" s="57"/>
      <c r="F541" s="58"/>
      <c r="G541" s="56"/>
      <c r="H541" s="56"/>
      <c r="I541" s="59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</row>
    <row r="542" spans="1:32" ht="57" customHeight="1" x14ac:dyDescent="0.25">
      <c r="A542" s="56"/>
      <c r="B542" s="56"/>
      <c r="C542" s="56"/>
      <c r="D542" s="56"/>
      <c r="E542" s="57"/>
      <c r="F542" s="58"/>
      <c r="G542" s="56"/>
      <c r="H542" s="56"/>
      <c r="I542" s="59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</row>
    <row r="543" spans="1:32" ht="57" customHeight="1" x14ac:dyDescent="0.25">
      <c r="A543" s="56"/>
      <c r="B543" s="56"/>
      <c r="C543" s="56"/>
      <c r="D543" s="56"/>
      <c r="E543" s="57"/>
      <c r="F543" s="58"/>
      <c r="G543" s="56"/>
      <c r="H543" s="56"/>
      <c r="I543" s="59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</row>
    <row r="544" spans="1:32" ht="57" customHeight="1" x14ac:dyDescent="0.25">
      <c r="A544" s="56"/>
      <c r="B544" s="56"/>
      <c r="C544" s="56"/>
      <c r="D544" s="56"/>
      <c r="E544" s="57"/>
      <c r="F544" s="58"/>
      <c r="G544" s="56"/>
      <c r="H544" s="56"/>
      <c r="I544" s="59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</row>
    <row r="545" spans="1:32" ht="57" customHeight="1" x14ac:dyDescent="0.25">
      <c r="A545" s="56"/>
      <c r="B545" s="56"/>
      <c r="C545" s="56"/>
      <c r="D545" s="56"/>
      <c r="E545" s="57"/>
      <c r="F545" s="58"/>
      <c r="G545" s="56"/>
      <c r="H545" s="56"/>
      <c r="I545" s="59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</row>
    <row r="546" spans="1:32" ht="57" customHeight="1" x14ac:dyDescent="0.25">
      <c r="A546" s="56"/>
      <c r="B546" s="56"/>
      <c r="C546" s="56"/>
      <c r="D546" s="56"/>
      <c r="E546" s="57"/>
      <c r="F546" s="58"/>
      <c r="G546" s="56"/>
      <c r="H546" s="56"/>
      <c r="I546" s="59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</row>
    <row r="547" spans="1:32" ht="57" customHeight="1" x14ac:dyDescent="0.25">
      <c r="A547" s="56"/>
      <c r="B547" s="56"/>
      <c r="C547" s="56"/>
      <c r="D547" s="56"/>
      <c r="E547" s="57"/>
      <c r="F547" s="58"/>
      <c r="G547" s="56"/>
      <c r="H547" s="56"/>
      <c r="I547" s="59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</row>
    <row r="548" spans="1:32" ht="57" customHeight="1" x14ac:dyDescent="0.25">
      <c r="A548" s="56"/>
      <c r="B548" s="56"/>
      <c r="C548" s="56"/>
      <c r="D548" s="56"/>
      <c r="E548" s="57"/>
      <c r="F548" s="58"/>
      <c r="G548" s="56"/>
      <c r="H548" s="56"/>
      <c r="I548" s="59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</row>
    <row r="549" spans="1:32" ht="57" customHeight="1" x14ac:dyDescent="0.25">
      <c r="A549" s="56"/>
      <c r="B549" s="56"/>
      <c r="C549" s="56"/>
      <c r="D549" s="56"/>
      <c r="E549" s="57"/>
      <c r="F549" s="58"/>
      <c r="G549" s="56"/>
      <c r="H549" s="56"/>
      <c r="I549" s="59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</row>
    <row r="550" spans="1:32" ht="57" customHeight="1" x14ac:dyDescent="0.25">
      <c r="A550" s="56"/>
      <c r="B550" s="56"/>
      <c r="C550" s="56"/>
      <c r="D550" s="56"/>
      <c r="E550" s="57"/>
      <c r="F550" s="58"/>
      <c r="G550" s="56"/>
      <c r="H550" s="56"/>
      <c r="I550" s="59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</row>
    <row r="551" spans="1:32" ht="57" customHeight="1" x14ac:dyDescent="0.25">
      <c r="A551" s="56"/>
      <c r="B551" s="56"/>
      <c r="C551" s="56"/>
      <c r="D551" s="56"/>
      <c r="E551" s="57"/>
      <c r="F551" s="58"/>
      <c r="G551" s="56"/>
      <c r="H551" s="56"/>
      <c r="I551" s="59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</row>
    <row r="552" spans="1:32" ht="57" customHeight="1" x14ac:dyDescent="0.25">
      <c r="A552" s="56"/>
      <c r="B552" s="56"/>
      <c r="C552" s="56"/>
      <c r="D552" s="56"/>
      <c r="E552" s="57"/>
      <c r="F552" s="58"/>
      <c r="G552" s="56"/>
      <c r="H552" s="56"/>
      <c r="I552" s="59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</row>
    <row r="553" spans="1:32" ht="57" customHeight="1" x14ac:dyDescent="0.25">
      <c r="A553" s="56"/>
      <c r="B553" s="56"/>
      <c r="C553" s="56"/>
      <c r="D553" s="56"/>
      <c r="E553" s="57"/>
      <c r="F553" s="58"/>
      <c r="G553" s="56"/>
      <c r="H553" s="56"/>
      <c r="I553" s="59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</row>
    <row r="554" spans="1:32" ht="57" customHeight="1" x14ac:dyDescent="0.25">
      <c r="A554" s="56"/>
      <c r="B554" s="56"/>
      <c r="C554" s="56"/>
      <c r="D554" s="56"/>
      <c r="E554" s="57"/>
      <c r="F554" s="58"/>
      <c r="G554" s="56"/>
      <c r="H554" s="56"/>
      <c r="I554" s="59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</row>
    <row r="555" spans="1:32" ht="57" customHeight="1" x14ac:dyDescent="0.25">
      <c r="A555" s="56"/>
      <c r="B555" s="56"/>
      <c r="C555" s="56"/>
      <c r="D555" s="56"/>
      <c r="E555" s="57"/>
      <c r="F555" s="58"/>
      <c r="G555" s="56"/>
      <c r="H555" s="56"/>
      <c r="I555" s="59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</row>
    <row r="556" spans="1:32" ht="57" customHeight="1" x14ac:dyDescent="0.25">
      <c r="A556" s="56"/>
      <c r="B556" s="56"/>
      <c r="C556" s="56"/>
      <c r="D556" s="56"/>
      <c r="E556" s="57"/>
      <c r="F556" s="58"/>
      <c r="G556" s="56"/>
      <c r="H556" s="56"/>
      <c r="I556" s="59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</row>
    <row r="557" spans="1:32" ht="57" customHeight="1" x14ac:dyDescent="0.25">
      <c r="A557" s="56"/>
      <c r="B557" s="56"/>
      <c r="C557" s="56"/>
      <c r="D557" s="56"/>
      <c r="E557" s="57"/>
      <c r="F557" s="58"/>
      <c r="G557" s="56"/>
      <c r="H557" s="56"/>
      <c r="I557" s="59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</row>
    <row r="558" spans="1:32" ht="57" customHeight="1" x14ac:dyDescent="0.25">
      <c r="A558" s="56"/>
      <c r="B558" s="56"/>
      <c r="C558" s="56"/>
      <c r="D558" s="56"/>
      <c r="E558" s="57"/>
      <c r="F558" s="58"/>
      <c r="G558" s="56"/>
      <c r="H558" s="56"/>
      <c r="I558" s="59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</row>
    <row r="559" spans="1:32" ht="57" customHeight="1" x14ac:dyDescent="0.25">
      <c r="A559" s="56"/>
      <c r="B559" s="56"/>
      <c r="C559" s="56"/>
      <c r="D559" s="56"/>
      <c r="E559" s="57"/>
      <c r="F559" s="58"/>
      <c r="G559" s="56"/>
      <c r="H559" s="56"/>
      <c r="I559" s="59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</row>
    <row r="560" spans="1:32" ht="57" customHeight="1" x14ac:dyDescent="0.25">
      <c r="A560" s="56"/>
      <c r="B560" s="56"/>
      <c r="C560" s="56"/>
      <c r="D560" s="56"/>
      <c r="E560" s="57"/>
      <c r="F560" s="58"/>
      <c r="G560" s="56"/>
      <c r="H560" s="56"/>
      <c r="I560" s="59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</row>
    <row r="561" spans="1:32" ht="57" customHeight="1" x14ac:dyDescent="0.25">
      <c r="A561" s="56"/>
      <c r="B561" s="56"/>
      <c r="C561" s="56"/>
      <c r="D561" s="56"/>
      <c r="E561" s="57"/>
      <c r="F561" s="58"/>
      <c r="G561" s="56"/>
      <c r="H561" s="56"/>
      <c r="I561" s="59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</row>
    <row r="562" spans="1:32" ht="57" customHeight="1" x14ac:dyDescent="0.25">
      <c r="A562" s="56"/>
      <c r="B562" s="56"/>
      <c r="C562" s="56"/>
      <c r="D562" s="56"/>
      <c r="E562" s="57"/>
      <c r="F562" s="58"/>
      <c r="G562" s="56"/>
      <c r="H562" s="56"/>
      <c r="I562" s="59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</row>
    <row r="563" spans="1:32" ht="57" customHeight="1" x14ac:dyDescent="0.25">
      <c r="A563" s="56"/>
      <c r="B563" s="56"/>
      <c r="C563" s="56"/>
      <c r="D563" s="56"/>
      <c r="E563" s="57"/>
      <c r="F563" s="58"/>
      <c r="G563" s="56"/>
      <c r="H563" s="56"/>
      <c r="I563" s="59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</row>
    <row r="564" spans="1:32" ht="57" customHeight="1" x14ac:dyDescent="0.25">
      <c r="A564" s="56"/>
      <c r="B564" s="56"/>
      <c r="C564" s="56"/>
      <c r="D564" s="56"/>
      <c r="E564" s="57"/>
      <c r="F564" s="58"/>
      <c r="G564" s="56"/>
      <c r="H564" s="56"/>
      <c r="I564" s="59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</row>
    <row r="565" spans="1:32" ht="57" customHeight="1" x14ac:dyDescent="0.25">
      <c r="A565" s="56"/>
      <c r="B565" s="56"/>
      <c r="C565" s="56"/>
      <c r="D565" s="56"/>
      <c r="E565" s="57"/>
      <c r="F565" s="58"/>
      <c r="G565" s="56"/>
      <c r="H565" s="56"/>
      <c r="I565" s="59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</row>
    <row r="566" spans="1:32" ht="57" customHeight="1" x14ac:dyDescent="0.25">
      <c r="A566" s="56"/>
      <c r="B566" s="56"/>
      <c r="C566" s="56"/>
      <c r="D566" s="56"/>
      <c r="E566" s="57"/>
      <c r="F566" s="58"/>
      <c r="G566" s="56"/>
      <c r="H566" s="56"/>
      <c r="I566" s="59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</row>
    <row r="567" spans="1:32" ht="57" customHeight="1" x14ac:dyDescent="0.25">
      <c r="A567" s="56"/>
      <c r="B567" s="56"/>
      <c r="C567" s="56"/>
      <c r="D567" s="56"/>
      <c r="E567" s="57"/>
      <c r="F567" s="58"/>
      <c r="G567" s="56"/>
      <c r="H567" s="56"/>
      <c r="I567" s="59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</row>
    <row r="568" spans="1:32" ht="57" customHeight="1" x14ac:dyDescent="0.25">
      <c r="A568" s="56"/>
      <c r="B568" s="56"/>
      <c r="C568" s="56"/>
      <c r="D568" s="56"/>
      <c r="E568" s="57"/>
      <c r="F568" s="58"/>
      <c r="G568" s="56"/>
      <c r="H568" s="56"/>
      <c r="I568" s="59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</row>
    <row r="569" spans="1:32" ht="57" customHeight="1" x14ac:dyDescent="0.25">
      <c r="A569" s="56"/>
      <c r="B569" s="56"/>
      <c r="C569" s="56"/>
      <c r="D569" s="56"/>
      <c r="E569" s="57"/>
      <c r="F569" s="58"/>
      <c r="G569" s="56"/>
      <c r="H569" s="56"/>
      <c r="I569" s="59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</row>
    <row r="570" spans="1:32" ht="57" customHeight="1" x14ac:dyDescent="0.25">
      <c r="A570" s="56"/>
      <c r="B570" s="56"/>
      <c r="C570" s="56"/>
      <c r="D570" s="56"/>
      <c r="E570" s="57"/>
      <c r="F570" s="58"/>
      <c r="G570" s="56"/>
      <c r="H570" s="56"/>
      <c r="I570" s="59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</row>
    <row r="571" spans="1:32" ht="57" customHeight="1" x14ac:dyDescent="0.25">
      <c r="A571" s="56"/>
      <c r="B571" s="56"/>
      <c r="C571" s="56"/>
      <c r="D571" s="56"/>
      <c r="E571" s="57"/>
      <c r="F571" s="58"/>
      <c r="G571" s="56"/>
      <c r="H571" s="56"/>
      <c r="I571" s="59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</row>
    <row r="572" spans="1:32" ht="57" customHeight="1" x14ac:dyDescent="0.25">
      <c r="A572" s="56"/>
      <c r="B572" s="56"/>
      <c r="C572" s="56"/>
      <c r="D572" s="56"/>
      <c r="E572" s="57"/>
      <c r="F572" s="58"/>
      <c r="G572" s="56"/>
      <c r="H572" s="56"/>
      <c r="I572" s="59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</row>
    <row r="573" spans="1:32" ht="57" customHeight="1" x14ac:dyDescent="0.25">
      <c r="A573" s="56"/>
      <c r="B573" s="56"/>
      <c r="C573" s="56"/>
      <c r="D573" s="56"/>
      <c r="E573" s="57"/>
      <c r="F573" s="58"/>
      <c r="G573" s="56"/>
      <c r="H573" s="56"/>
      <c r="I573" s="59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</row>
    <row r="574" spans="1:32" ht="57" customHeight="1" x14ac:dyDescent="0.25">
      <c r="A574" s="56"/>
      <c r="B574" s="56"/>
      <c r="C574" s="56"/>
      <c r="D574" s="56"/>
      <c r="E574" s="57"/>
      <c r="F574" s="58"/>
      <c r="G574" s="56"/>
      <c r="H574" s="56"/>
      <c r="I574" s="59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</row>
    <row r="575" spans="1:32" ht="57" customHeight="1" x14ac:dyDescent="0.25">
      <c r="A575" s="56"/>
      <c r="B575" s="56"/>
      <c r="C575" s="56"/>
      <c r="D575" s="56"/>
      <c r="E575" s="57"/>
      <c r="F575" s="58"/>
      <c r="G575" s="56"/>
      <c r="H575" s="56"/>
      <c r="I575" s="59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</row>
    <row r="576" spans="1:32" ht="57" customHeight="1" x14ac:dyDescent="0.25">
      <c r="A576" s="56"/>
      <c r="B576" s="56"/>
      <c r="C576" s="56"/>
      <c r="D576" s="56"/>
      <c r="E576" s="57"/>
      <c r="F576" s="58"/>
      <c r="G576" s="56"/>
      <c r="H576" s="56"/>
      <c r="I576" s="59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</row>
    <row r="577" spans="1:32" ht="57" customHeight="1" x14ac:dyDescent="0.25">
      <c r="A577" s="56"/>
      <c r="B577" s="56"/>
      <c r="C577" s="56"/>
      <c r="D577" s="56"/>
      <c r="E577" s="57"/>
      <c r="F577" s="58"/>
      <c r="G577" s="56"/>
      <c r="H577" s="56"/>
      <c r="I577" s="59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</row>
    <row r="578" spans="1:32" ht="57" customHeight="1" x14ac:dyDescent="0.25">
      <c r="A578" s="56"/>
      <c r="B578" s="56"/>
      <c r="C578" s="56"/>
      <c r="D578" s="56"/>
      <c r="E578" s="57"/>
      <c r="F578" s="58"/>
      <c r="G578" s="56"/>
      <c r="H578" s="56"/>
      <c r="I578" s="59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</row>
    <row r="579" spans="1:32" ht="57" customHeight="1" x14ac:dyDescent="0.25">
      <c r="A579" s="56"/>
      <c r="B579" s="56"/>
      <c r="C579" s="56"/>
      <c r="D579" s="56"/>
      <c r="E579" s="57"/>
      <c r="F579" s="58"/>
      <c r="G579" s="56"/>
      <c r="H579" s="56"/>
      <c r="I579" s="59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</row>
    <row r="580" spans="1:32" ht="57" customHeight="1" x14ac:dyDescent="0.25">
      <c r="A580" s="56"/>
      <c r="B580" s="56"/>
      <c r="C580" s="56"/>
      <c r="D580" s="56"/>
      <c r="E580" s="57"/>
      <c r="F580" s="58"/>
      <c r="G580" s="56"/>
      <c r="H580" s="56"/>
      <c r="I580" s="59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</row>
    <row r="581" spans="1:32" ht="57" customHeight="1" x14ac:dyDescent="0.25">
      <c r="A581" s="56"/>
      <c r="B581" s="56"/>
      <c r="C581" s="56"/>
      <c r="D581" s="56"/>
      <c r="E581" s="57"/>
      <c r="F581" s="58"/>
      <c r="G581" s="56"/>
      <c r="H581" s="56"/>
      <c r="I581" s="59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</row>
    <row r="582" spans="1:32" ht="57" customHeight="1" x14ac:dyDescent="0.25">
      <c r="A582" s="56"/>
      <c r="B582" s="56"/>
      <c r="C582" s="56"/>
      <c r="D582" s="56"/>
      <c r="E582" s="57"/>
      <c r="F582" s="58"/>
      <c r="G582" s="56"/>
      <c r="H582" s="56"/>
      <c r="I582" s="59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</row>
    <row r="583" spans="1:32" ht="57" customHeight="1" x14ac:dyDescent="0.25">
      <c r="A583" s="56"/>
      <c r="B583" s="56"/>
      <c r="C583" s="56"/>
      <c r="D583" s="56"/>
      <c r="E583" s="57"/>
      <c r="F583" s="58"/>
      <c r="G583" s="56"/>
      <c r="H583" s="56"/>
      <c r="I583" s="59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</row>
    <row r="584" spans="1:32" ht="57" customHeight="1" x14ac:dyDescent="0.25">
      <c r="A584" s="56"/>
      <c r="B584" s="56"/>
      <c r="C584" s="56"/>
      <c r="D584" s="56"/>
      <c r="E584" s="57"/>
      <c r="F584" s="58"/>
      <c r="G584" s="56"/>
      <c r="H584" s="56"/>
      <c r="I584" s="59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</row>
    <row r="585" spans="1:32" ht="57" customHeight="1" x14ac:dyDescent="0.25">
      <c r="A585" s="56"/>
      <c r="B585" s="56"/>
      <c r="C585" s="56"/>
      <c r="D585" s="56"/>
      <c r="E585" s="57"/>
      <c r="F585" s="58"/>
      <c r="G585" s="56"/>
      <c r="H585" s="56"/>
      <c r="I585" s="59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</row>
    <row r="586" spans="1:32" ht="57" customHeight="1" x14ac:dyDescent="0.25">
      <c r="A586" s="56"/>
      <c r="B586" s="56"/>
      <c r="C586" s="56"/>
      <c r="D586" s="56"/>
      <c r="E586" s="57"/>
      <c r="F586" s="58"/>
      <c r="G586" s="56"/>
      <c r="H586" s="56"/>
      <c r="I586" s="59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</row>
    <row r="587" spans="1:32" ht="57" customHeight="1" x14ac:dyDescent="0.25">
      <c r="A587" s="56"/>
      <c r="B587" s="56"/>
      <c r="C587" s="56"/>
      <c r="D587" s="56"/>
      <c r="E587" s="57"/>
      <c r="F587" s="58"/>
      <c r="G587" s="56"/>
      <c r="H587" s="56"/>
      <c r="I587" s="59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</row>
    <row r="588" spans="1:32" ht="57" customHeight="1" x14ac:dyDescent="0.25">
      <c r="A588" s="56"/>
      <c r="B588" s="56"/>
      <c r="C588" s="56"/>
      <c r="D588" s="56"/>
      <c r="E588" s="57"/>
      <c r="F588" s="58"/>
      <c r="G588" s="56"/>
      <c r="H588" s="56"/>
      <c r="I588" s="59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</row>
    <row r="589" spans="1:32" ht="57" customHeight="1" x14ac:dyDescent="0.25">
      <c r="A589" s="56"/>
      <c r="B589" s="56"/>
      <c r="C589" s="56"/>
      <c r="D589" s="56"/>
      <c r="E589" s="57"/>
      <c r="F589" s="58"/>
      <c r="G589" s="56"/>
      <c r="H589" s="56"/>
      <c r="I589" s="59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</row>
    <row r="590" spans="1:32" ht="57" customHeight="1" x14ac:dyDescent="0.25">
      <c r="A590" s="56"/>
      <c r="B590" s="56"/>
      <c r="C590" s="56"/>
      <c r="D590" s="56"/>
      <c r="E590" s="57"/>
      <c r="F590" s="58"/>
      <c r="G590" s="56"/>
      <c r="H590" s="56"/>
      <c r="I590" s="59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</row>
    <row r="591" spans="1:32" ht="57" customHeight="1" x14ac:dyDescent="0.25">
      <c r="A591" s="56"/>
      <c r="B591" s="56"/>
      <c r="C591" s="56"/>
      <c r="D591" s="56"/>
      <c r="E591" s="57"/>
      <c r="F591" s="58"/>
      <c r="G591" s="56"/>
      <c r="H591" s="56"/>
      <c r="I591" s="59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</row>
    <row r="592" spans="1:32" ht="57" customHeight="1" x14ac:dyDescent="0.25">
      <c r="A592" s="56"/>
      <c r="B592" s="56"/>
      <c r="C592" s="56"/>
      <c r="D592" s="56"/>
      <c r="E592" s="57"/>
      <c r="F592" s="58"/>
      <c r="G592" s="56"/>
      <c r="H592" s="56"/>
      <c r="I592" s="59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</row>
    <row r="593" spans="1:32" ht="57" customHeight="1" x14ac:dyDescent="0.25">
      <c r="A593" s="56"/>
      <c r="B593" s="56"/>
      <c r="C593" s="56"/>
      <c r="D593" s="56"/>
      <c r="E593" s="57"/>
      <c r="F593" s="58"/>
      <c r="G593" s="56"/>
      <c r="H593" s="56"/>
      <c r="I593" s="59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</row>
    <row r="594" spans="1:32" ht="57" customHeight="1" x14ac:dyDescent="0.25">
      <c r="A594" s="56"/>
      <c r="B594" s="56"/>
      <c r="C594" s="56"/>
      <c r="D594" s="56"/>
      <c r="E594" s="57"/>
      <c r="F594" s="58"/>
      <c r="G594" s="56"/>
      <c r="H594" s="56"/>
      <c r="I594" s="59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</row>
    <row r="595" spans="1:32" ht="57" customHeight="1" x14ac:dyDescent="0.25">
      <c r="A595" s="56"/>
      <c r="B595" s="56"/>
      <c r="C595" s="56"/>
      <c r="D595" s="56"/>
      <c r="E595" s="57"/>
      <c r="F595" s="58"/>
      <c r="G595" s="56"/>
      <c r="H595" s="56"/>
      <c r="I595" s="59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</row>
    <row r="596" spans="1:32" ht="57" customHeight="1" x14ac:dyDescent="0.25">
      <c r="A596" s="56"/>
      <c r="B596" s="56"/>
      <c r="C596" s="56"/>
      <c r="D596" s="56"/>
      <c r="E596" s="57"/>
      <c r="F596" s="58"/>
      <c r="G596" s="56"/>
      <c r="H596" s="56"/>
      <c r="I596" s="59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</row>
    <row r="597" spans="1:32" ht="57" customHeight="1" x14ac:dyDescent="0.25">
      <c r="A597" s="56"/>
      <c r="B597" s="56"/>
      <c r="C597" s="56"/>
      <c r="D597" s="56"/>
      <c r="E597" s="57"/>
      <c r="F597" s="58"/>
      <c r="G597" s="56"/>
      <c r="H597" s="56"/>
      <c r="I597" s="59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</row>
    <row r="598" spans="1:32" ht="57" customHeight="1" x14ac:dyDescent="0.25">
      <c r="A598" s="56"/>
      <c r="B598" s="56"/>
      <c r="C598" s="56"/>
      <c r="D598" s="56"/>
      <c r="E598" s="57"/>
      <c r="F598" s="58"/>
      <c r="G598" s="56"/>
      <c r="H598" s="56"/>
      <c r="I598" s="59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</row>
    <row r="599" spans="1:32" ht="57" customHeight="1" x14ac:dyDescent="0.25">
      <c r="A599" s="56"/>
      <c r="B599" s="56"/>
      <c r="C599" s="56"/>
      <c r="D599" s="56"/>
      <c r="E599" s="57"/>
      <c r="F599" s="58"/>
      <c r="G599" s="56"/>
      <c r="H599" s="56"/>
      <c r="I599" s="59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</row>
    <row r="600" spans="1:32" ht="57" customHeight="1" x14ac:dyDescent="0.25">
      <c r="A600" s="56"/>
      <c r="B600" s="56"/>
      <c r="C600" s="56"/>
      <c r="D600" s="56"/>
      <c r="E600" s="57"/>
      <c r="F600" s="58"/>
      <c r="G600" s="56"/>
      <c r="H600" s="56"/>
      <c r="I600" s="59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</row>
    <row r="601" spans="1:32" ht="57" customHeight="1" x14ac:dyDescent="0.25">
      <c r="A601" s="56"/>
      <c r="B601" s="56"/>
      <c r="C601" s="56"/>
      <c r="D601" s="56"/>
      <c r="E601" s="57"/>
      <c r="F601" s="58"/>
      <c r="G601" s="56"/>
      <c r="H601" s="56"/>
      <c r="I601" s="59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</row>
    <row r="602" spans="1:32" ht="57" customHeight="1" x14ac:dyDescent="0.25">
      <c r="A602" s="56"/>
      <c r="B602" s="56"/>
      <c r="C602" s="56"/>
      <c r="D602" s="56"/>
      <c r="E602" s="57"/>
      <c r="F602" s="58"/>
      <c r="G602" s="56"/>
      <c r="H602" s="56"/>
      <c r="I602" s="59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</row>
    <row r="603" spans="1:32" ht="57" customHeight="1" x14ac:dyDescent="0.25">
      <c r="A603" s="56"/>
      <c r="B603" s="56"/>
      <c r="C603" s="56"/>
      <c r="D603" s="56"/>
      <c r="E603" s="57"/>
      <c r="F603" s="58"/>
      <c r="G603" s="56"/>
      <c r="H603" s="56"/>
      <c r="I603" s="59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</row>
    <row r="604" spans="1:32" ht="57" customHeight="1" x14ac:dyDescent="0.25">
      <c r="A604" s="56"/>
      <c r="B604" s="56"/>
      <c r="C604" s="56"/>
      <c r="D604" s="56"/>
      <c r="E604" s="57"/>
      <c r="F604" s="58"/>
      <c r="G604" s="56"/>
      <c r="H604" s="56"/>
      <c r="I604" s="59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</row>
    <row r="605" spans="1:32" ht="57" customHeight="1" x14ac:dyDescent="0.25">
      <c r="A605" s="56"/>
      <c r="B605" s="56"/>
      <c r="C605" s="56"/>
      <c r="D605" s="56"/>
      <c r="E605" s="57"/>
      <c r="F605" s="58"/>
      <c r="G605" s="56"/>
      <c r="H605" s="56"/>
      <c r="I605" s="59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</row>
    <row r="606" spans="1:32" ht="57" customHeight="1" x14ac:dyDescent="0.25">
      <c r="A606" s="56"/>
      <c r="B606" s="56"/>
      <c r="C606" s="56"/>
      <c r="D606" s="56"/>
      <c r="E606" s="57"/>
      <c r="F606" s="58"/>
      <c r="G606" s="56"/>
      <c r="H606" s="56"/>
      <c r="I606" s="59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</row>
    <row r="607" spans="1:32" ht="57" customHeight="1" x14ac:dyDescent="0.25">
      <c r="A607" s="56"/>
      <c r="B607" s="56"/>
      <c r="C607" s="56"/>
      <c r="D607" s="56"/>
      <c r="E607" s="57"/>
      <c r="F607" s="58"/>
      <c r="G607" s="56"/>
      <c r="H607" s="56"/>
      <c r="I607" s="59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</row>
    <row r="608" spans="1:32" ht="57" customHeight="1" x14ac:dyDescent="0.25">
      <c r="A608" s="56"/>
      <c r="B608" s="56"/>
      <c r="C608" s="56"/>
      <c r="D608" s="56"/>
      <c r="E608" s="57"/>
      <c r="F608" s="58"/>
      <c r="G608" s="56"/>
      <c r="H608" s="56"/>
      <c r="I608" s="59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</row>
    <row r="609" spans="1:32" ht="57" customHeight="1" x14ac:dyDescent="0.25">
      <c r="A609" s="56"/>
      <c r="B609" s="56"/>
      <c r="C609" s="56"/>
      <c r="D609" s="56"/>
      <c r="E609" s="57"/>
      <c r="F609" s="58"/>
      <c r="G609" s="56"/>
      <c r="H609" s="56"/>
      <c r="I609" s="59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</row>
    <row r="610" spans="1:32" ht="57" customHeight="1" x14ac:dyDescent="0.25">
      <c r="A610" s="56"/>
      <c r="B610" s="56"/>
      <c r="C610" s="56"/>
      <c r="D610" s="56"/>
      <c r="E610" s="57"/>
      <c r="F610" s="58"/>
      <c r="G610" s="56"/>
      <c r="H610" s="56"/>
      <c r="I610" s="59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</row>
    <row r="611" spans="1:32" ht="57" customHeight="1" x14ac:dyDescent="0.25">
      <c r="A611" s="56"/>
      <c r="B611" s="56"/>
      <c r="C611" s="56"/>
      <c r="D611" s="56"/>
      <c r="E611" s="57"/>
      <c r="F611" s="58"/>
      <c r="G611" s="56"/>
      <c r="H611" s="56"/>
      <c r="I611" s="59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</row>
    <row r="612" spans="1:32" ht="57" customHeight="1" x14ac:dyDescent="0.25">
      <c r="A612" s="56"/>
      <c r="B612" s="56"/>
      <c r="C612" s="56"/>
      <c r="D612" s="56"/>
      <c r="E612" s="57"/>
      <c r="F612" s="58"/>
      <c r="G612" s="56"/>
      <c r="H612" s="56"/>
      <c r="I612" s="59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</row>
    <row r="613" spans="1:32" ht="57" customHeight="1" x14ac:dyDescent="0.25">
      <c r="A613" s="56"/>
      <c r="B613" s="56"/>
      <c r="C613" s="56"/>
      <c r="D613" s="56"/>
      <c r="E613" s="57"/>
      <c r="F613" s="58"/>
      <c r="G613" s="56"/>
      <c r="H613" s="56"/>
      <c r="I613" s="59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</row>
    <row r="614" spans="1:32" ht="57" customHeight="1" x14ac:dyDescent="0.25">
      <c r="A614" s="56"/>
      <c r="B614" s="56"/>
      <c r="C614" s="56"/>
      <c r="D614" s="56"/>
      <c r="E614" s="57"/>
      <c r="F614" s="58"/>
      <c r="G614" s="56"/>
      <c r="H614" s="56"/>
      <c r="I614" s="59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</row>
    <row r="615" spans="1:32" ht="57" customHeight="1" x14ac:dyDescent="0.25">
      <c r="A615" s="56"/>
      <c r="B615" s="56"/>
      <c r="C615" s="56"/>
      <c r="D615" s="56"/>
      <c r="E615" s="57"/>
      <c r="F615" s="58"/>
      <c r="G615" s="56"/>
      <c r="H615" s="56"/>
      <c r="I615" s="59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</row>
    <row r="616" spans="1:32" ht="57" customHeight="1" x14ac:dyDescent="0.25">
      <c r="A616" s="56"/>
      <c r="B616" s="56"/>
      <c r="C616" s="56"/>
      <c r="D616" s="56"/>
      <c r="E616" s="57"/>
      <c r="F616" s="58"/>
      <c r="G616" s="56"/>
      <c r="H616" s="56"/>
      <c r="I616" s="59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</row>
    <row r="617" spans="1:32" ht="57" customHeight="1" x14ac:dyDescent="0.25">
      <c r="A617" s="56"/>
      <c r="B617" s="56"/>
      <c r="C617" s="56"/>
      <c r="D617" s="56"/>
      <c r="E617" s="57"/>
      <c r="F617" s="58"/>
      <c r="G617" s="56"/>
      <c r="H617" s="56"/>
      <c r="I617" s="59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</row>
    <row r="618" spans="1:32" ht="57" customHeight="1" x14ac:dyDescent="0.25">
      <c r="A618" s="56"/>
      <c r="B618" s="56"/>
      <c r="C618" s="56"/>
      <c r="D618" s="56"/>
      <c r="E618" s="57"/>
      <c r="F618" s="58"/>
      <c r="G618" s="56"/>
      <c r="H618" s="56"/>
      <c r="I618" s="59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</row>
    <row r="619" spans="1:32" ht="57" customHeight="1" x14ac:dyDescent="0.25">
      <c r="A619" s="56"/>
      <c r="B619" s="56"/>
      <c r="C619" s="56"/>
      <c r="D619" s="56"/>
      <c r="E619" s="57"/>
      <c r="F619" s="58"/>
      <c r="G619" s="56"/>
      <c r="H619" s="56"/>
      <c r="I619" s="59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</row>
    <row r="620" spans="1:32" ht="57" customHeight="1" x14ac:dyDescent="0.25">
      <c r="A620" s="56"/>
      <c r="B620" s="56"/>
      <c r="C620" s="56"/>
      <c r="D620" s="56"/>
      <c r="E620" s="57"/>
      <c r="F620" s="58"/>
      <c r="G620" s="56"/>
      <c r="H620" s="56"/>
      <c r="I620" s="59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</row>
    <row r="621" spans="1:32" ht="57" customHeight="1" x14ac:dyDescent="0.25">
      <c r="A621" s="56"/>
      <c r="B621" s="56"/>
      <c r="C621" s="56"/>
      <c r="D621" s="56"/>
      <c r="E621" s="57"/>
      <c r="F621" s="58"/>
      <c r="G621" s="56"/>
      <c r="H621" s="56"/>
      <c r="I621" s="59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</row>
    <row r="622" spans="1:32" ht="57" customHeight="1" x14ac:dyDescent="0.25">
      <c r="A622" s="56"/>
      <c r="B622" s="56"/>
      <c r="C622" s="56"/>
      <c r="D622" s="56"/>
      <c r="E622" s="57"/>
      <c r="F622" s="58"/>
      <c r="G622" s="56"/>
      <c r="H622" s="56"/>
      <c r="I622" s="59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</row>
    <row r="623" spans="1:32" ht="57" customHeight="1" x14ac:dyDescent="0.25">
      <c r="A623" s="56"/>
      <c r="B623" s="56"/>
      <c r="C623" s="56"/>
      <c r="D623" s="56"/>
      <c r="E623" s="57"/>
      <c r="F623" s="58"/>
      <c r="G623" s="56"/>
      <c r="H623" s="56"/>
      <c r="I623" s="59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</row>
    <row r="624" spans="1:32" ht="57" customHeight="1" x14ac:dyDescent="0.25">
      <c r="A624" s="56"/>
      <c r="B624" s="56"/>
      <c r="C624" s="56"/>
      <c r="D624" s="56"/>
      <c r="E624" s="57"/>
      <c r="F624" s="58"/>
      <c r="G624" s="56"/>
      <c r="H624" s="56"/>
      <c r="I624" s="59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</row>
    <row r="625" spans="1:32" ht="57" customHeight="1" x14ac:dyDescent="0.25">
      <c r="A625" s="56"/>
      <c r="B625" s="56"/>
      <c r="C625" s="56"/>
      <c r="D625" s="56"/>
      <c r="E625" s="57"/>
      <c r="F625" s="58"/>
      <c r="G625" s="56"/>
      <c r="H625" s="56"/>
      <c r="I625" s="59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</row>
    <row r="626" spans="1:32" ht="57" customHeight="1" x14ac:dyDescent="0.25">
      <c r="A626" s="56"/>
      <c r="B626" s="56"/>
      <c r="C626" s="56"/>
      <c r="D626" s="56"/>
      <c r="E626" s="57"/>
      <c r="F626" s="58"/>
      <c r="G626" s="56"/>
      <c r="H626" s="56"/>
      <c r="I626" s="59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</row>
    <row r="627" spans="1:32" ht="57" customHeight="1" x14ac:dyDescent="0.25">
      <c r="A627" s="56"/>
      <c r="B627" s="56"/>
      <c r="C627" s="56"/>
      <c r="D627" s="56"/>
      <c r="E627" s="57"/>
      <c r="F627" s="58"/>
      <c r="G627" s="56"/>
      <c r="H627" s="56"/>
      <c r="I627" s="59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</row>
    <row r="628" spans="1:32" ht="57" customHeight="1" x14ac:dyDescent="0.25">
      <c r="A628" s="56"/>
      <c r="B628" s="56"/>
      <c r="C628" s="56"/>
      <c r="D628" s="56"/>
      <c r="E628" s="57"/>
      <c r="F628" s="58"/>
      <c r="G628" s="56"/>
      <c r="H628" s="56"/>
      <c r="I628" s="59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</row>
    <row r="629" spans="1:32" ht="57" customHeight="1" x14ac:dyDescent="0.25">
      <c r="A629" s="56"/>
      <c r="B629" s="56"/>
      <c r="C629" s="56"/>
      <c r="D629" s="56"/>
      <c r="E629" s="57"/>
      <c r="F629" s="58"/>
      <c r="G629" s="56"/>
      <c r="H629" s="56"/>
      <c r="I629" s="59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</row>
    <row r="630" spans="1:32" ht="57" customHeight="1" x14ac:dyDescent="0.25">
      <c r="A630" s="56"/>
      <c r="B630" s="56"/>
      <c r="C630" s="56"/>
      <c r="D630" s="56"/>
      <c r="E630" s="57"/>
      <c r="F630" s="58"/>
      <c r="G630" s="56"/>
      <c r="H630" s="56"/>
      <c r="I630" s="59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</row>
    <row r="631" spans="1:32" ht="57" customHeight="1" x14ac:dyDescent="0.25">
      <c r="A631" s="56"/>
      <c r="B631" s="56"/>
      <c r="C631" s="56"/>
      <c r="D631" s="56"/>
      <c r="E631" s="57"/>
      <c r="F631" s="58"/>
      <c r="G631" s="56"/>
      <c r="H631" s="56"/>
      <c r="I631" s="59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</row>
    <row r="632" spans="1:32" ht="57" customHeight="1" x14ac:dyDescent="0.25">
      <c r="A632" s="56"/>
      <c r="B632" s="56"/>
      <c r="C632" s="56"/>
      <c r="D632" s="56"/>
      <c r="E632" s="57"/>
      <c r="F632" s="58"/>
      <c r="G632" s="56"/>
      <c r="H632" s="56"/>
      <c r="I632" s="59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</row>
    <row r="633" spans="1:32" ht="57" customHeight="1" x14ac:dyDescent="0.25">
      <c r="A633" s="56"/>
      <c r="B633" s="56"/>
      <c r="C633" s="56"/>
      <c r="D633" s="56"/>
      <c r="E633" s="57"/>
      <c r="F633" s="58"/>
      <c r="G633" s="56"/>
      <c r="H633" s="56"/>
      <c r="I633" s="59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</row>
    <row r="634" spans="1:32" ht="57" customHeight="1" x14ac:dyDescent="0.25">
      <c r="A634" s="56"/>
      <c r="B634" s="56"/>
      <c r="C634" s="56"/>
      <c r="D634" s="56"/>
      <c r="E634" s="57"/>
      <c r="F634" s="58"/>
      <c r="G634" s="56"/>
      <c r="H634" s="56"/>
      <c r="I634" s="59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</row>
    <row r="635" spans="1:32" ht="57" customHeight="1" x14ac:dyDescent="0.25">
      <c r="A635" s="56"/>
      <c r="B635" s="56"/>
      <c r="C635" s="56"/>
      <c r="D635" s="56"/>
      <c r="E635" s="57"/>
      <c r="F635" s="58"/>
      <c r="G635" s="56"/>
      <c r="H635" s="56"/>
      <c r="I635" s="59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</row>
    <row r="636" spans="1:32" ht="57" customHeight="1" x14ac:dyDescent="0.25">
      <c r="A636" s="56"/>
      <c r="B636" s="56"/>
      <c r="C636" s="56"/>
      <c r="D636" s="56"/>
      <c r="E636" s="57"/>
      <c r="F636" s="58"/>
      <c r="G636" s="56"/>
      <c r="H636" s="56"/>
      <c r="I636" s="59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</row>
    <row r="637" spans="1:32" ht="57" customHeight="1" x14ac:dyDescent="0.25">
      <c r="A637" s="56"/>
      <c r="B637" s="56"/>
      <c r="C637" s="56"/>
      <c r="D637" s="56"/>
      <c r="E637" s="57"/>
      <c r="F637" s="58"/>
      <c r="G637" s="56"/>
      <c r="H637" s="56"/>
      <c r="I637" s="59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</row>
    <row r="638" spans="1:32" ht="57" customHeight="1" x14ac:dyDescent="0.25">
      <c r="A638" s="56"/>
      <c r="B638" s="56"/>
      <c r="C638" s="56"/>
      <c r="D638" s="56"/>
      <c r="E638" s="57"/>
      <c r="F638" s="58"/>
      <c r="G638" s="56"/>
      <c r="H638" s="56"/>
      <c r="I638" s="59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</row>
    <row r="639" spans="1:32" ht="57" customHeight="1" x14ac:dyDescent="0.25">
      <c r="A639" s="56"/>
      <c r="B639" s="56"/>
      <c r="C639" s="56"/>
      <c r="D639" s="56"/>
      <c r="E639" s="57"/>
      <c r="F639" s="58"/>
      <c r="G639" s="56"/>
      <c r="H639" s="56"/>
      <c r="I639" s="59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</row>
    <row r="640" spans="1:32" ht="57" customHeight="1" x14ac:dyDescent="0.25">
      <c r="A640" s="56"/>
      <c r="B640" s="56"/>
      <c r="C640" s="56"/>
      <c r="D640" s="56"/>
      <c r="E640" s="57"/>
      <c r="F640" s="58"/>
      <c r="G640" s="56"/>
      <c r="H640" s="56"/>
      <c r="I640" s="59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</row>
    <row r="641" spans="1:32" ht="57" customHeight="1" x14ac:dyDescent="0.25">
      <c r="A641" s="56"/>
      <c r="B641" s="56"/>
      <c r="C641" s="56"/>
      <c r="D641" s="56"/>
      <c r="E641" s="57"/>
      <c r="F641" s="58"/>
      <c r="G641" s="56"/>
      <c r="H641" s="56"/>
      <c r="I641" s="59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</row>
    <row r="642" spans="1:32" ht="57" customHeight="1" x14ac:dyDescent="0.25">
      <c r="A642" s="56"/>
      <c r="B642" s="56"/>
      <c r="C642" s="56"/>
      <c r="D642" s="56"/>
      <c r="E642" s="57"/>
      <c r="F642" s="58"/>
      <c r="G642" s="56"/>
      <c r="H642" s="56"/>
      <c r="I642" s="59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</row>
    <row r="643" spans="1:32" ht="57" customHeight="1" x14ac:dyDescent="0.25">
      <c r="A643" s="56"/>
      <c r="B643" s="56"/>
      <c r="C643" s="56"/>
      <c r="D643" s="56"/>
      <c r="E643" s="57"/>
      <c r="F643" s="58"/>
      <c r="G643" s="56"/>
      <c r="H643" s="56"/>
      <c r="I643" s="59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</row>
    <row r="644" spans="1:32" ht="57" customHeight="1" x14ac:dyDescent="0.25">
      <c r="A644" s="56"/>
      <c r="B644" s="56"/>
      <c r="C644" s="56"/>
      <c r="D644" s="56"/>
      <c r="E644" s="57"/>
      <c r="F644" s="58"/>
      <c r="G644" s="56"/>
      <c r="H644" s="56"/>
      <c r="I644" s="59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</row>
    <row r="645" spans="1:32" ht="57" customHeight="1" x14ac:dyDescent="0.25">
      <c r="A645" s="56"/>
      <c r="B645" s="56"/>
      <c r="C645" s="56"/>
      <c r="D645" s="56"/>
      <c r="E645" s="57"/>
      <c r="F645" s="58"/>
      <c r="G645" s="56"/>
      <c r="H645" s="56"/>
      <c r="I645" s="59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</row>
    <row r="646" spans="1:32" ht="57" customHeight="1" x14ac:dyDescent="0.25">
      <c r="A646" s="56"/>
      <c r="B646" s="56"/>
      <c r="C646" s="56"/>
      <c r="D646" s="56"/>
      <c r="E646" s="57"/>
      <c r="F646" s="58"/>
      <c r="G646" s="56"/>
      <c r="H646" s="56"/>
      <c r="I646" s="59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</row>
    <row r="647" spans="1:32" ht="57" customHeight="1" x14ac:dyDescent="0.25">
      <c r="A647" s="56"/>
      <c r="B647" s="56"/>
      <c r="C647" s="56"/>
      <c r="D647" s="56"/>
      <c r="E647" s="57"/>
      <c r="F647" s="58"/>
      <c r="G647" s="56"/>
      <c r="H647" s="56"/>
      <c r="I647" s="59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</row>
    <row r="648" spans="1:32" ht="57" customHeight="1" x14ac:dyDescent="0.25">
      <c r="A648" s="56"/>
      <c r="B648" s="56"/>
      <c r="C648" s="56"/>
      <c r="D648" s="56"/>
      <c r="E648" s="57"/>
      <c r="F648" s="58"/>
      <c r="G648" s="56"/>
      <c r="H648" s="56"/>
      <c r="I648" s="59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</row>
    <row r="649" spans="1:32" ht="57" customHeight="1" x14ac:dyDescent="0.25">
      <c r="A649" s="56"/>
      <c r="B649" s="56"/>
      <c r="C649" s="56"/>
      <c r="D649" s="56"/>
      <c r="E649" s="57"/>
      <c r="F649" s="58"/>
      <c r="G649" s="56"/>
      <c r="H649" s="56"/>
      <c r="I649" s="59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</row>
    <row r="650" spans="1:32" ht="57" customHeight="1" x14ac:dyDescent="0.25">
      <c r="A650" s="56"/>
      <c r="B650" s="56"/>
      <c r="C650" s="56"/>
      <c r="D650" s="56"/>
      <c r="E650" s="57"/>
      <c r="F650" s="58"/>
      <c r="G650" s="56"/>
      <c r="H650" s="56"/>
      <c r="I650" s="59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</row>
    <row r="651" spans="1:32" ht="57" customHeight="1" x14ac:dyDescent="0.25">
      <c r="A651" s="56"/>
      <c r="B651" s="56"/>
      <c r="C651" s="56"/>
      <c r="D651" s="56"/>
      <c r="E651" s="57"/>
      <c r="F651" s="58"/>
      <c r="G651" s="56"/>
      <c r="H651" s="56"/>
      <c r="I651" s="59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</row>
    <row r="652" spans="1:32" ht="57" customHeight="1" x14ac:dyDescent="0.25">
      <c r="A652" s="56"/>
      <c r="B652" s="56"/>
      <c r="C652" s="56"/>
      <c r="D652" s="56"/>
      <c r="E652" s="57"/>
      <c r="F652" s="58"/>
      <c r="G652" s="56"/>
      <c r="H652" s="56"/>
      <c r="I652" s="59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</row>
    <row r="653" spans="1:32" ht="57" customHeight="1" x14ac:dyDescent="0.25">
      <c r="A653" s="56"/>
      <c r="B653" s="56"/>
      <c r="C653" s="56"/>
      <c r="D653" s="56"/>
      <c r="E653" s="57"/>
      <c r="F653" s="58"/>
      <c r="G653" s="56"/>
      <c r="H653" s="56"/>
      <c r="I653" s="59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</row>
    <row r="654" spans="1:32" ht="57" customHeight="1" x14ac:dyDescent="0.25">
      <c r="A654" s="56"/>
      <c r="B654" s="56"/>
      <c r="C654" s="56"/>
      <c r="D654" s="56"/>
      <c r="E654" s="57"/>
      <c r="F654" s="58"/>
      <c r="G654" s="56"/>
      <c r="H654" s="56"/>
      <c r="I654" s="59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</row>
    <row r="655" spans="1:32" ht="57" customHeight="1" x14ac:dyDescent="0.25">
      <c r="A655" s="56"/>
      <c r="B655" s="56"/>
      <c r="C655" s="56"/>
      <c r="D655" s="56"/>
      <c r="E655" s="57"/>
      <c r="F655" s="58"/>
      <c r="G655" s="56"/>
      <c r="H655" s="56"/>
      <c r="I655" s="59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</row>
    <row r="656" spans="1:32" ht="57" customHeight="1" x14ac:dyDescent="0.25">
      <c r="A656" s="56"/>
      <c r="B656" s="56"/>
      <c r="C656" s="56"/>
      <c r="D656" s="56"/>
      <c r="E656" s="57"/>
      <c r="F656" s="58"/>
      <c r="G656" s="56"/>
      <c r="H656" s="56"/>
      <c r="I656" s="59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</row>
    <row r="657" spans="1:32" ht="57" customHeight="1" x14ac:dyDescent="0.25">
      <c r="A657" s="56"/>
      <c r="B657" s="56"/>
      <c r="C657" s="56"/>
      <c r="D657" s="56"/>
      <c r="E657" s="57"/>
      <c r="F657" s="58"/>
      <c r="G657" s="56"/>
      <c r="H657" s="56"/>
      <c r="I657" s="59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</row>
    <row r="658" spans="1:32" ht="57" customHeight="1" x14ac:dyDescent="0.25">
      <c r="A658" s="56"/>
      <c r="B658" s="56"/>
      <c r="C658" s="56"/>
      <c r="D658" s="56"/>
      <c r="E658" s="57"/>
      <c r="F658" s="58"/>
      <c r="G658" s="56"/>
      <c r="H658" s="56"/>
      <c r="I658" s="59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</row>
    <row r="659" spans="1:32" ht="57" customHeight="1" x14ac:dyDescent="0.25">
      <c r="A659" s="56"/>
      <c r="B659" s="56"/>
      <c r="C659" s="56"/>
      <c r="D659" s="56"/>
      <c r="E659" s="57"/>
      <c r="F659" s="58"/>
      <c r="G659" s="56"/>
      <c r="H659" s="56"/>
      <c r="I659" s="59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</row>
    <row r="660" spans="1:32" ht="57" customHeight="1" x14ac:dyDescent="0.25">
      <c r="A660" s="56"/>
      <c r="B660" s="56"/>
      <c r="C660" s="56"/>
      <c r="D660" s="56"/>
      <c r="E660" s="57"/>
      <c r="F660" s="58"/>
      <c r="G660" s="56"/>
      <c r="H660" s="56"/>
      <c r="I660" s="59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</row>
    <row r="661" spans="1:32" ht="57" customHeight="1" x14ac:dyDescent="0.25">
      <c r="A661" s="56"/>
      <c r="B661" s="56"/>
      <c r="C661" s="56"/>
      <c r="D661" s="56"/>
      <c r="E661" s="57"/>
      <c r="F661" s="58"/>
      <c r="G661" s="56"/>
      <c r="H661" s="56"/>
      <c r="I661" s="59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</row>
    <row r="662" spans="1:32" ht="57" customHeight="1" x14ac:dyDescent="0.25">
      <c r="A662" s="56"/>
      <c r="B662" s="56"/>
      <c r="C662" s="56"/>
      <c r="D662" s="56"/>
      <c r="E662" s="57"/>
      <c r="F662" s="58"/>
      <c r="G662" s="56"/>
      <c r="H662" s="56"/>
      <c r="I662" s="59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</row>
    <row r="663" spans="1:32" ht="57" customHeight="1" x14ac:dyDescent="0.25">
      <c r="A663" s="56"/>
      <c r="B663" s="56"/>
      <c r="C663" s="56"/>
      <c r="D663" s="56"/>
      <c r="E663" s="57"/>
      <c r="F663" s="58"/>
      <c r="G663" s="56"/>
      <c r="H663" s="56"/>
      <c r="I663" s="59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</row>
    <row r="664" spans="1:32" ht="57" customHeight="1" x14ac:dyDescent="0.25">
      <c r="A664" s="56"/>
      <c r="B664" s="56"/>
      <c r="C664" s="56"/>
      <c r="D664" s="56"/>
      <c r="E664" s="57"/>
      <c r="F664" s="58"/>
      <c r="G664" s="56"/>
      <c r="H664" s="56"/>
      <c r="I664" s="59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</row>
    <row r="665" spans="1:32" ht="57" customHeight="1" x14ac:dyDescent="0.25">
      <c r="A665" s="56"/>
      <c r="B665" s="56"/>
      <c r="C665" s="56"/>
      <c r="D665" s="56"/>
      <c r="E665" s="57"/>
      <c r="F665" s="58"/>
      <c r="G665" s="56"/>
      <c r="H665" s="56"/>
      <c r="I665" s="59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</row>
    <row r="666" spans="1:32" ht="57" customHeight="1" x14ac:dyDescent="0.25">
      <c r="A666" s="56"/>
      <c r="B666" s="56"/>
      <c r="C666" s="56"/>
      <c r="D666" s="56"/>
      <c r="E666" s="57"/>
      <c r="F666" s="58"/>
      <c r="G666" s="56"/>
      <c r="H666" s="56"/>
      <c r="I666" s="59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</row>
    <row r="667" spans="1:32" ht="57" customHeight="1" x14ac:dyDescent="0.25">
      <c r="A667" s="56"/>
      <c r="B667" s="56"/>
      <c r="C667" s="56"/>
      <c r="D667" s="56"/>
      <c r="E667" s="57"/>
      <c r="F667" s="58"/>
      <c r="G667" s="56"/>
      <c r="H667" s="56"/>
      <c r="I667" s="59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</row>
    <row r="668" spans="1:32" ht="57" customHeight="1" x14ac:dyDescent="0.25">
      <c r="A668" s="56"/>
      <c r="B668" s="56"/>
      <c r="C668" s="56"/>
      <c r="D668" s="56"/>
      <c r="E668" s="57"/>
      <c r="F668" s="58"/>
      <c r="G668" s="56"/>
      <c r="H668" s="56"/>
      <c r="I668" s="59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</row>
    <row r="669" spans="1:32" ht="57" customHeight="1" x14ac:dyDescent="0.25">
      <c r="A669" s="56"/>
      <c r="B669" s="56"/>
      <c r="C669" s="56"/>
      <c r="D669" s="56"/>
      <c r="E669" s="57"/>
      <c r="F669" s="58"/>
      <c r="G669" s="56"/>
      <c r="H669" s="56"/>
      <c r="I669" s="59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</row>
    <row r="670" spans="1:32" ht="57" customHeight="1" x14ac:dyDescent="0.25">
      <c r="A670" s="56"/>
      <c r="B670" s="56"/>
      <c r="C670" s="56"/>
      <c r="D670" s="56"/>
      <c r="E670" s="57"/>
      <c r="F670" s="58"/>
      <c r="G670" s="56"/>
      <c r="H670" s="56"/>
      <c r="I670" s="59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</row>
    <row r="671" spans="1:32" ht="57" customHeight="1" x14ac:dyDescent="0.25">
      <c r="A671" s="56"/>
      <c r="B671" s="56"/>
      <c r="C671" s="56"/>
      <c r="D671" s="56"/>
      <c r="E671" s="57"/>
      <c r="F671" s="58"/>
      <c r="G671" s="56"/>
      <c r="H671" s="56"/>
      <c r="I671" s="59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</row>
    <row r="672" spans="1:32" ht="57" customHeight="1" x14ac:dyDescent="0.25">
      <c r="A672" s="56"/>
      <c r="B672" s="56"/>
      <c r="C672" s="56"/>
      <c r="D672" s="56"/>
      <c r="E672" s="57"/>
      <c r="F672" s="58"/>
      <c r="G672" s="56"/>
      <c r="H672" s="56"/>
      <c r="I672" s="59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</row>
    <row r="673" spans="1:32" ht="57" customHeight="1" x14ac:dyDescent="0.25">
      <c r="A673" s="56"/>
      <c r="B673" s="56"/>
      <c r="C673" s="56"/>
      <c r="D673" s="56"/>
      <c r="E673" s="57"/>
      <c r="F673" s="58"/>
      <c r="G673" s="56"/>
      <c r="H673" s="56"/>
      <c r="I673" s="59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</row>
    <row r="674" spans="1:32" ht="57" customHeight="1" x14ac:dyDescent="0.25">
      <c r="A674" s="56"/>
      <c r="B674" s="56"/>
      <c r="C674" s="56"/>
      <c r="D674" s="56"/>
      <c r="E674" s="57"/>
      <c r="F674" s="58"/>
      <c r="G674" s="56"/>
      <c r="H674" s="56"/>
      <c r="I674" s="59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</row>
    <row r="675" spans="1:32" ht="57" customHeight="1" x14ac:dyDescent="0.25">
      <c r="A675" s="56"/>
      <c r="B675" s="56"/>
      <c r="C675" s="56"/>
      <c r="D675" s="56"/>
      <c r="E675" s="57"/>
      <c r="F675" s="58"/>
      <c r="G675" s="56"/>
      <c r="H675" s="56"/>
      <c r="I675" s="59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</row>
    <row r="676" spans="1:32" ht="57" customHeight="1" x14ac:dyDescent="0.25">
      <c r="A676" s="56"/>
      <c r="B676" s="56"/>
      <c r="C676" s="56"/>
      <c r="D676" s="56"/>
      <c r="E676" s="57"/>
      <c r="F676" s="58"/>
      <c r="G676" s="56"/>
      <c r="H676" s="56"/>
      <c r="I676" s="59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</row>
    <row r="677" spans="1:32" ht="57" customHeight="1" x14ac:dyDescent="0.25">
      <c r="A677" s="56"/>
      <c r="B677" s="56"/>
      <c r="C677" s="56"/>
      <c r="D677" s="56"/>
      <c r="E677" s="57"/>
      <c r="F677" s="58"/>
      <c r="G677" s="56"/>
      <c r="H677" s="56"/>
      <c r="I677" s="59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</row>
    <row r="678" spans="1:32" ht="57" customHeight="1" x14ac:dyDescent="0.25">
      <c r="A678" s="56"/>
      <c r="B678" s="56"/>
      <c r="C678" s="56"/>
      <c r="D678" s="56"/>
      <c r="E678" s="57"/>
      <c r="F678" s="58"/>
      <c r="G678" s="56"/>
      <c r="H678" s="56"/>
      <c r="I678" s="59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</row>
    <row r="679" spans="1:32" ht="57" customHeight="1" x14ac:dyDescent="0.25">
      <c r="A679" s="56"/>
      <c r="B679" s="56"/>
      <c r="C679" s="56"/>
      <c r="D679" s="56"/>
      <c r="E679" s="57"/>
      <c r="F679" s="58"/>
      <c r="G679" s="56"/>
      <c r="H679" s="56"/>
      <c r="I679" s="59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</row>
    <row r="680" spans="1:32" ht="57" customHeight="1" x14ac:dyDescent="0.25">
      <c r="A680" s="56"/>
      <c r="B680" s="56"/>
      <c r="C680" s="56"/>
      <c r="D680" s="56"/>
      <c r="E680" s="57"/>
      <c r="F680" s="58"/>
      <c r="G680" s="56"/>
      <c r="H680" s="56"/>
      <c r="I680" s="59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</row>
    <row r="681" spans="1:32" ht="57" customHeight="1" x14ac:dyDescent="0.25">
      <c r="A681" s="56"/>
      <c r="B681" s="56"/>
      <c r="C681" s="56"/>
      <c r="D681" s="56"/>
      <c r="E681" s="57"/>
      <c r="F681" s="58"/>
      <c r="G681" s="56"/>
      <c r="H681" s="56"/>
      <c r="I681" s="59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</row>
    <row r="682" spans="1:32" ht="57" customHeight="1" x14ac:dyDescent="0.25">
      <c r="A682" s="56"/>
      <c r="B682" s="56"/>
      <c r="C682" s="56"/>
      <c r="D682" s="56"/>
      <c r="E682" s="57"/>
      <c r="F682" s="58"/>
      <c r="G682" s="56"/>
      <c r="H682" s="56"/>
      <c r="I682" s="59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</row>
    <row r="683" spans="1:32" ht="57" customHeight="1" x14ac:dyDescent="0.25">
      <c r="A683" s="56"/>
      <c r="B683" s="56"/>
      <c r="C683" s="56"/>
      <c r="D683" s="56"/>
      <c r="E683" s="57"/>
      <c r="F683" s="58"/>
      <c r="G683" s="56"/>
      <c r="H683" s="56"/>
      <c r="I683" s="59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</row>
    <row r="684" spans="1:32" ht="57" customHeight="1" x14ac:dyDescent="0.25">
      <c r="A684" s="56"/>
      <c r="B684" s="56"/>
      <c r="C684" s="56"/>
      <c r="D684" s="56"/>
      <c r="E684" s="57"/>
      <c r="F684" s="58"/>
      <c r="G684" s="56"/>
      <c r="H684" s="56"/>
      <c r="I684" s="59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</row>
    <row r="685" spans="1:32" ht="57" customHeight="1" x14ac:dyDescent="0.25">
      <c r="A685" s="56"/>
      <c r="B685" s="56"/>
      <c r="C685" s="56"/>
      <c r="D685" s="56"/>
      <c r="E685" s="57"/>
      <c r="F685" s="58"/>
      <c r="G685" s="56"/>
      <c r="H685" s="56"/>
      <c r="I685" s="59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</row>
    <row r="686" spans="1:32" ht="57" customHeight="1" x14ac:dyDescent="0.25">
      <c r="A686" s="56"/>
      <c r="B686" s="56"/>
      <c r="C686" s="56"/>
      <c r="D686" s="56"/>
      <c r="E686" s="57"/>
      <c r="F686" s="58"/>
      <c r="G686" s="56"/>
      <c r="H686" s="56"/>
      <c r="I686" s="59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</row>
    <row r="687" spans="1:32" ht="57" customHeight="1" x14ac:dyDescent="0.25">
      <c r="A687" s="56"/>
      <c r="B687" s="56"/>
      <c r="C687" s="56"/>
      <c r="D687" s="56"/>
      <c r="E687" s="57"/>
      <c r="F687" s="58"/>
      <c r="G687" s="56"/>
      <c r="H687" s="56"/>
      <c r="I687" s="59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</row>
    <row r="688" spans="1:32" ht="57" customHeight="1" x14ac:dyDescent="0.25">
      <c r="A688" s="56"/>
      <c r="B688" s="56"/>
      <c r="C688" s="56"/>
      <c r="D688" s="56"/>
      <c r="E688" s="57"/>
      <c r="F688" s="58"/>
      <c r="G688" s="56"/>
      <c r="H688" s="56"/>
      <c r="I688" s="59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</row>
    <row r="689" spans="1:32" ht="57" customHeight="1" x14ac:dyDescent="0.25">
      <c r="A689" s="56"/>
      <c r="B689" s="56"/>
      <c r="C689" s="56"/>
      <c r="D689" s="56"/>
      <c r="E689" s="57"/>
      <c r="F689" s="58"/>
      <c r="G689" s="56"/>
      <c r="H689" s="56"/>
      <c r="I689" s="59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</row>
    <row r="690" spans="1:32" ht="57" customHeight="1" x14ac:dyDescent="0.25">
      <c r="A690" s="56"/>
      <c r="B690" s="56"/>
      <c r="C690" s="56"/>
      <c r="D690" s="56"/>
      <c r="E690" s="57"/>
      <c r="F690" s="58"/>
      <c r="G690" s="56"/>
      <c r="H690" s="56"/>
      <c r="I690" s="59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</row>
    <row r="691" spans="1:32" ht="57" customHeight="1" x14ac:dyDescent="0.25">
      <c r="A691" s="56"/>
      <c r="B691" s="56"/>
      <c r="C691" s="56"/>
      <c r="D691" s="56"/>
      <c r="E691" s="57"/>
      <c r="F691" s="58"/>
      <c r="G691" s="56"/>
      <c r="H691" s="56"/>
      <c r="I691" s="59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</row>
    <row r="692" spans="1:32" ht="57" customHeight="1" x14ac:dyDescent="0.25">
      <c r="A692" s="56"/>
      <c r="B692" s="56"/>
      <c r="C692" s="56"/>
      <c r="D692" s="56"/>
      <c r="E692" s="57"/>
      <c r="F692" s="58"/>
      <c r="G692" s="56"/>
      <c r="H692" s="56"/>
      <c r="I692" s="59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</row>
    <row r="693" spans="1:32" ht="57" customHeight="1" x14ac:dyDescent="0.25">
      <c r="A693" s="56"/>
      <c r="B693" s="56"/>
      <c r="C693" s="56"/>
      <c r="D693" s="56"/>
      <c r="E693" s="57"/>
      <c r="F693" s="58"/>
      <c r="G693" s="56"/>
      <c r="H693" s="56"/>
      <c r="I693" s="59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</row>
    <row r="694" spans="1:32" ht="57" customHeight="1" x14ac:dyDescent="0.25">
      <c r="A694" s="56"/>
      <c r="B694" s="56"/>
      <c r="C694" s="56"/>
      <c r="D694" s="56"/>
      <c r="E694" s="57"/>
      <c r="F694" s="58"/>
      <c r="G694" s="56"/>
      <c r="H694" s="56"/>
      <c r="I694" s="59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</row>
    <row r="695" spans="1:32" ht="57" customHeight="1" x14ac:dyDescent="0.25">
      <c r="A695" s="56"/>
      <c r="B695" s="56"/>
      <c r="C695" s="56"/>
      <c r="D695" s="56"/>
      <c r="E695" s="57"/>
      <c r="F695" s="58"/>
      <c r="G695" s="56"/>
      <c r="H695" s="56"/>
      <c r="I695" s="59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</row>
    <row r="696" spans="1:32" ht="57" customHeight="1" x14ac:dyDescent="0.25">
      <c r="A696" s="56"/>
      <c r="B696" s="56"/>
      <c r="C696" s="56"/>
      <c r="D696" s="56"/>
      <c r="E696" s="57"/>
      <c r="F696" s="58"/>
      <c r="G696" s="56"/>
      <c r="H696" s="56"/>
      <c r="I696" s="59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</row>
    <row r="697" spans="1:32" ht="57" customHeight="1" x14ac:dyDescent="0.25">
      <c r="A697" s="56"/>
      <c r="B697" s="56"/>
      <c r="C697" s="56"/>
      <c r="D697" s="56"/>
      <c r="E697" s="57"/>
      <c r="F697" s="58"/>
      <c r="G697" s="56"/>
      <c r="H697" s="56"/>
      <c r="I697" s="59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</row>
    <row r="698" spans="1:32" ht="57" customHeight="1" x14ac:dyDescent="0.25">
      <c r="A698" s="56"/>
      <c r="B698" s="56"/>
      <c r="C698" s="56"/>
      <c r="D698" s="56"/>
      <c r="E698" s="57"/>
      <c r="F698" s="58"/>
      <c r="G698" s="56"/>
      <c r="H698" s="56"/>
      <c r="I698" s="59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</row>
    <row r="699" spans="1:32" ht="57" customHeight="1" x14ac:dyDescent="0.25">
      <c r="A699" s="56"/>
      <c r="B699" s="56"/>
      <c r="C699" s="56"/>
      <c r="D699" s="56"/>
      <c r="E699" s="57"/>
      <c r="F699" s="58"/>
      <c r="G699" s="56"/>
      <c r="H699" s="56"/>
      <c r="I699" s="59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</row>
    <row r="700" spans="1:32" ht="57" customHeight="1" x14ac:dyDescent="0.25">
      <c r="A700" s="56"/>
      <c r="B700" s="56"/>
      <c r="C700" s="56"/>
      <c r="D700" s="56"/>
      <c r="E700" s="57"/>
      <c r="F700" s="58"/>
      <c r="G700" s="56"/>
      <c r="H700" s="56"/>
      <c r="I700" s="59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</row>
    <row r="701" spans="1:32" ht="57" customHeight="1" x14ac:dyDescent="0.25">
      <c r="A701" s="56"/>
      <c r="B701" s="56"/>
      <c r="C701" s="56"/>
      <c r="D701" s="56"/>
      <c r="E701" s="57"/>
      <c r="F701" s="58"/>
      <c r="G701" s="56"/>
      <c r="H701" s="56"/>
      <c r="I701" s="59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</row>
    <row r="702" spans="1:32" ht="57" customHeight="1" x14ac:dyDescent="0.25">
      <c r="A702" s="56"/>
      <c r="B702" s="56"/>
      <c r="C702" s="56"/>
      <c r="D702" s="56"/>
      <c r="E702" s="57"/>
      <c r="F702" s="58"/>
      <c r="G702" s="56"/>
      <c r="H702" s="56"/>
      <c r="I702" s="59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</row>
    <row r="703" spans="1:32" ht="57" customHeight="1" x14ac:dyDescent="0.25">
      <c r="A703" s="56"/>
      <c r="B703" s="56"/>
      <c r="C703" s="56"/>
      <c r="D703" s="56"/>
      <c r="E703" s="57"/>
      <c r="F703" s="58"/>
      <c r="G703" s="56"/>
      <c r="H703" s="56"/>
      <c r="I703" s="59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</row>
    <row r="704" spans="1:32" ht="57" customHeight="1" x14ac:dyDescent="0.25">
      <c r="A704" s="56"/>
      <c r="B704" s="56"/>
      <c r="C704" s="56"/>
      <c r="D704" s="56"/>
      <c r="E704" s="57"/>
      <c r="F704" s="58"/>
      <c r="G704" s="56"/>
      <c r="H704" s="56"/>
      <c r="I704" s="59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</row>
    <row r="705" spans="1:32" ht="57" customHeight="1" x14ac:dyDescent="0.25">
      <c r="A705" s="56"/>
      <c r="B705" s="56"/>
      <c r="C705" s="56"/>
      <c r="D705" s="56"/>
      <c r="E705" s="57"/>
      <c r="F705" s="58"/>
      <c r="G705" s="56"/>
      <c r="H705" s="56"/>
      <c r="I705" s="59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</row>
    <row r="706" spans="1:32" ht="57" customHeight="1" x14ac:dyDescent="0.25">
      <c r="A706" s="56"/>
      <c r="B706" s="56"/>
      <c r="C706" s="56"/>
      <c r="D706" s="56"/>
      <c r="E706" s="57"/>
      <c r="F706" s="58"/>
      <c r="G706" s="56"/>
      <c r="H706" s="56"/>
      <c r="I706" s="59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</row>
    <row r="707" spans="1:32" ht="57" customHeight="1" x14ac:dyDescent="0.25">
      <c r="A707" s="56"/>
      <c r="B707" s="56"/>
      <c r="C707" s="56"/>
      <c r="D707" s="56"/>
      <c r="E707" s="57"/>
      <c r="F707" s="58"/>
      <c r="G707" s="56"/>
      <c r="H707" s="56"/>
      <c r="I707" s="59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</row>
    <row r="708" spans="1:32" ht="57" customHeight="1" x14ac:dyDescent="0.25">
      <c r="A708" s="56"/>
      <c r="B708" s="56"/>
      <c r="C708" s="56"/>
      <c r="D708" s="56"/>
      <c r="E708" s="57"/>
      <c r="F708" s="58"/>
      <c r="G708" s="56"/>
      <c r="H708" s="56"/>
      <c r="I708" s="59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</row>
    <row r="709" spans="1:32" ht="57" customHeight="1" x14ac:dyDescent="0.25">
      <c r="A709" s="56"/>
      <c r="B709" s="56"/>
      <c r="C709" s="56"/>
      <c r="D709" s="56"/>
      <c r="E709" s="57"/>
      <c r="F709" s="58"/>
      <c r="G709" s="56"/>
      <c r="H709" s="56"/>
      <c r="I709" s="59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</row>
    <row r="710" spans="1:32" ht="57" customHeight="1" x14ac:dyDescent="0.25">
      <c r="A710" s="56"/>
      <c r="B710" s="56"/>
      <c r="C710" s="56"/>
      <c r="D710" s="56"/>
      <c r="E710" s="57"/>
      <c r="F710" s="58"/>
      <c r="G710" s="56"/>
      <c r="H710" s="56"/>
      <c r="I710" s="59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</row>
    <row r="711" spans="1:32" ht="57" customHeight="1" x14ac:dyDescent="0.25">
      <c r="A711" s="56"/>
      <c r="B711" s="56"/>
      <c r="C711" s="56"/>
      <c r="D711" s="56"/>
      <c r="E711" s="57"/>
      <c r="F711" s="58"/>
      <c r="G711" s="56"/>
      <c r="H711" s="56"/>
      <c r="I711" s="59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</row>
    <row r="712" spans="1:32" ht="57" customHeight="1" x14ac:dyDescent="0.25">
      <c r="A712" s="56"/>
      <c r="B712" s="56"/>
      <c r="C712" s="56"/>
      <c r="D712" s="56"/>
      <c r="E712" s="57"/>
      <c r="F712" s="58"/>
      <c r="G712" s="56"/>
      <c r="H712" s="56"/>
      <c r="I712" s="59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</row>
    <row r="713" spans="1:32" ht="57" customHeight="1" x14ac:dyDescent="0.25">
      <c r="A713" s="56"/>
      <c r="B713" s="56"/>
      <c r="C713" s="56"/>
      <c r="D713" s="56"/>
      <c r="E713" s="57"/>
      <c r="F713" s="58"/>
      <c r="G713" s="56"/>
      <c r="H713" s="56"/>
      <c r="I713" s="59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</row>
    <row r="714" spans="1:32" ht="57" customHeight="1" x14ac:dyDescent="0.25">
      <c r="A714" s="56"/>
      <c r="B714" s="56"/>
      <c r="C714" s="56"/>
      <c r="D714" s="56"/>
      <c r="E714" s="57"/>
      <c r="F714" s="58"/>
      <c r="G714" s="56"/>
      <c r="H714" s="56"/>
      <c r="I714" s="59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</row>
    <row r="715" spans="1:32" ht="57" customHeight="1" x14ac:dyDescent="0.25">
      <c r="A715" s="56"/>
      <c r="B715" s="56"/>
      <c r="C715" s="56"/>
      <c r="D715" s="56"/>
      <c r="E715" s="57"/>
      <c r="F715" s="58"/>
      <c r="G715" s="56"/>
      <c r="H715" s="56"/>
      <c r="I715" s="59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</row>
    <row r="716" spans="1:32" ht="57" customHeight="1" x14ac:dyDescent="0.25">
      <c r="A716" s="56"/>
      <c r="B716" s="56"/>
      <c r="C716" s="56"/>
      <c r="D716" s="56"/>
      <c r="E716" s="57"/>
      <c r="F716" s="58"/>
      <c r="G716" s="56"/>
      <c r="H716" s="56"/>
      <c r="I716" s="59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</row>
    <row r="717" spans="1:32" ht="57" customHeight="1" x14ac:dyDescent="0.25">
      <c r="A717" s="56"/>
      <c r="B717" s="56"/>
      <c r="C717" s="56"/>
      <c r="D717" s="56"/>
      <c r="E717" s="57"/>
      <c r="F717" s="58"/>
      <c r="G717" s="56"/>
      <c r="H717" s="56"/>
      <c r="I717" s="59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</row>
    <row r="718" spans="1:32" ht="57" customHeight="1" x14ac:dyDescent="0.25">
      <c r="A718" s="56"/>
      <c r="B718" s="56"/>
      <c r="C718" s="56"/>
      <c r="D718" s="56"/>
      <c r="E718" s="57"/>
      <c r="F718" s="58"/>
      <c r="G718" s="56"/>
      <c r="H718" s="56"/>
      <c r="I718" s="59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</row>
    <row r="719" spans="1:32" ht="57" customHeight="1" x14ac:dyDescent="0.25">
      <c r="A719" s="56"/>
      <c r="B719" s="56"/>
      <c r="C719" s="56"/>
      <c r="D719" s="56"/>
      <c r="E719" s="57"/>
      <c r="F719" s="58"/>
      <c r="G719" s="56"/>
      <c r="H719" s="56"/>
      <c r="I719" s="59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</row>
    <row r="720" spans="1:32" ht="57" customHeight="1" x14ac:dyDescent="0.25">
      <c r="A720" s="56"/>
      <c r="B720" s="56"/>
      <c r="C720" s="56"/>
      <c r="D720" s="56"/>
      <c r="E720" s="57"/>
      <c r="F720" s="58"/>
      <c r="G720" s="56"/>
      <c r="H720" s="56"/>
      <c r="I720" s="59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</row>
    <row r="721" spans="1:32" ht="57" customHeight="1" x14ac:dyDescent="0.25">
      <c r="A721" s="56"/>
      <c r="B721" s="56"/>
      <c r="C721" s="56"/>
      <c r="D721" s="56"/>
      <c r="E721" s="57"/>
      <c r="F721" s="58"/>
      <c r="G721" s="56"/>
      <c r="H721" s="56"/>
      <c r="I721" s="59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</row>
    <row r="722" spans="1:32" ht="57" customHeight="1" x14ac:dyDescent="0.25">
      <c r="A722" s="56"/>
      <c r="B722" s="56"/>
      <c r="C722" s="56"/>
      <c r="D722" s="56"/>
      <c r="E722" s="57"/>
      <c r="F722" s="58"/>
      <c r="G722" s="56"/>
      <c r="H722" s="56"/>
      <c r="I722" s="59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</row>
    <row r="723" spans="1:32" ht="57" customHeight="1" x14ac:dyDescent="0.25">
      <c r="A723" s="56"/>
      <c r="B723" s="56"/>
      <c r="C723" s="56"/>
      <c r="D723" s="56"/>
      <c r="E723" s="57"/>
      <c r="F723" s="58"/>
      <c r="G723" s="56"/>
      <c r="H723" s="56"/>
      <c r="I723" s="59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</row>
    <row r="724" spans="1:32" ht="57" customHeight="1" x14ac:dyDescent="0.25">
      <c r="A724" s="56"/>
      <c r="B724" s="56"/>
      <c r="C724" s="56"/>
      <c r="D724" s="56"/>
      <c r="E724" s="57"/>
      <c r="F724" s="58"/>
      <c r="G724" s="56"/>
      <c r="H724" s="56"/>
      <c r="I724" s="59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</row>
    <row r="725" spans="1:32" ht="57" customHeight="1" x14ac:dyDescent="0.25">
      <c r="A725" s="56"/>
      <c r="B725" s="56"/>
      <c r="C725" s="56"/>
      <c r="D725" s="56"/>
      <c r="E725" s="57"/>
      <c r="F725" s="58"/>
      <c r="G725" s="56"/>
      <c r="H725" s="56"/>
      <c r="I725" s="59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</row>
    <row r="726" spans="1:32" ht="57" customHeight="1" x14ac:dyDescent="0.25">
      <c r="A726" s="56"/>
      <c r="B726" s="56"/>
      <c r="C726" s="56"/>
      <c r="D726" s="56"/>
      <c r="E726" s="57"/>
      <c r="F726" s="58"/>
      <c r="G726" s="56"/>
      <c r="H726" s="56"/>
      <c r="I726" s="59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</row>
    <row r="727" spans="1:32" ht="57" customHeight="1" x14ac:dyDescent="0.25">
      <c r="A727" s="56"/>
      <c r="B727" s="56"/>
      <c r="C727" s="56"/>
      <c r="D727" s="56"/>
      <c r="E727" s="57"/>
      <c r="F727" s="58"/>
      <c r="G727" s="56"/>
      <c r="H727" s="56"/>
      <c r="I727" s="59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</row>
    <row r="728" spans="1:32" ht="57" customHeight="1" x14ac:dyDescent="0.25">
      <c r="A728" s="56"/>
      <c r="B728" s="56"/>
      <c r="C728" s="56"/>
      <c r="D728" s="56"/>
      <c r="E728" s="57"/>
      <c r="F728" s="58"/>
      <c r="G728" s="56"/>
      <c r="H728" s="56"/>
      <c r="I728" s="59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</row>
    <row r="729" spans="1:32" ht="57" customHeight="1" x14ac:dyDescent="0.25">
      <c r="A729" s="56"/>
      <c r="B729" s="56"/>
      <c r="C729" s="56"/>
      <c r="D729" s="56"/>
      <c r="E729" s="57"/>
      <c r="F729" s="58"/>
      <c r="G729" s="56"/>
      <c r="H729" s="56"/>
      <c r="I729" s="59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</row>
    <row r="730" spans="1:32" ht="57" customHeight="1" x14ac:dyDescent="0.25">
      <c r="A730" s="56"/>
      <c r="B730" s="56"/>
      <c r="C730" s="56"/>
      <c r="D730" s="56"/>
      <c r="E730" s="57"/>
      <c r="F730" s="58"/>
      <c r="G730" s="56"/>
      <c r="H730" s="56"/>
      <c r="I730" s="59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</row>
    <row r="731" spans="1:32" ht="57" customHeight="1" x14ac:dyDescent="0.25">
      <c r="A731" s="56"/>
      <c r="B731" s="56"/>
      <c r="C731" s="56"/>
      <c r="D731" s="56"/>
      <c r="E731" s="57"/>
      <c r="F731" s="58"/>
      <c r="G731" s="56"/>
      <c r="H731" s="56"/>
      <c r="I731" s="59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</row>
    <row r="732" spans="1:32" ht="57" customHeight="1" x14ac:dyDescent="0.25">
      <c r="A732" s="56"/>
      <c r="B732" s="56"/>
      <c r="C732" s="56"/>
      <c r="D732" s="56"/>
      <c r="E732" s="57"/>
      <c r="F732" s="58"/>
      <c r="G732" s="56"/>
      <c r="H732" s="56"/>
      <c r="I732" s="59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</row>
    <row r="733" spans="1:32" ht="57" customHeight="1" x14ac:dyDescent="0.25">
      <c r="A733" s="56"/>
      <c r="B733" s="56"/>
      <c r="C733" s="56"/>
      <c r="D733" s="56"/>
      <c r="E733" s="57"/>
      <c r="F733" s="58"/>
      <c r="G733" s="56"/>
      <c r="H733" s="56"/>
      <c r="I733" s="59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</row>
    <row r="734" spans="1:32" ht="57" customHeight="1" x14ac:dyDescent="0.25">
      <c r="A734" s="56"/>
      <c r="B734" s="56"/>
      <c r="C734" s="56"/>
      <c r="D734" s="56"/>
      <c r="E734" s="57"/>
      <c r="F734" s="58"/>
      <c r="G734" s="56"/>
      <c r="H734" s="56"/>
      <c r="I734" s="59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</row>
    <row r="735" spans="1:32" ht="57" customHeight="1" x14ac:dyDescent="0.25">
      <c r="A735" s="56"/>
      <c r="B735" s="56"/>
      <c r="C735" s="56"/>
      <c r="D735" s="56"/>
      <c r="E735" s="57"/>
      <c r="F735" s="58"/>
      <c r="G735" s="56"/>
      <c r="H735" s="56"/>
      <c r="I735" s="59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</row>
    <row r="736" spans="1:32" ht="57" customHeight="1" x14ac:dyDescent="0.25">
      <c r="A736" s="56"/>
      <c r="B736" s="56"/>
      <c r="C736" s="56"/>
      <c r="D736" s="56"/>
      <c r="E736" s="57"/>
      <c r="F736" s="58"/>
      <c r="G736" s="56"/>
      <c r="H736" s="56"/>
      <c r="I736" s="59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</row>
    <row r="737" spans="1:32" ht="57" customHeight="1" x14ac:dyDescent="0.25">
      <c r="A737" s="56"/>
      <c r="B737" s="56"/>
      <c r="C737" s="56"/>
      <c r="D737" s="56"/>
      <c r="E737" s="57"/>
      <c r="F737" s="58"/>
      <c r="G737" s="56"/>
      <c r="H737" s="56"/>
      <c r="I737" s="59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</row>
    <row r="738" spans="1:32" ht="57" customHeight="1" x14ac:dyDescent="0.25">
      <c r="A738" s="56"/>
      <c r="B738" s="56"/>
      <c r="C738" s="56"/>
      <c r="D738" s="56"/>
      <c r="E738" s="57"/>
      <c r="F738" s="58"/>
      <c r="G738" s="56"/>
      <c r="H738" s="56"/>
      <c r="I738" s="59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</row>
    <row r="739" spans="1:32" ht="57" customHeight="1" x14ac:dyDescent="0.25">
      <c r="A739" s="56"/>
      <c r="B739" s="56"/>
      <c r="C739" s="56"/>
      <c r="D739" s="56"/>
      <c r="E739" s="57"/>
      <c r="F739" s="58"/>
      <c r="G739" s="56"/>
      <c r="H739" s="56"/>
      <c r="I739" s="59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</row>
    <row r="740" spans="1:32" ht="57" customHeight="1" x14ac:dyDescent="0.25">
      <c r="A740" s="56"/>
      <c r="B740" s="56"/>
      <c r="C740" s="56"/>
      <c r="D740" s="56"/>
      <c r="E740" s="57"/>
      <c r="F740" s="58"/>
      <c r="G740" s="56"/>
      <c r="H740" s="56"/>
      <c r="I740" s="59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</row>
    <row r="741" spans="1:32" ht="57" customHeight="1" x14ac:dyDescent="0.25">
      <c r="A741" s="56"/>
      <c r="B741" s="56"/>
      <c r="C741" s="56"/>
      <c r="D741" s="56"/>
      <c r="E741" s="57"/>
      <c r="F741" s="58"/>
      <c r="G741" s="56"/>
      <c r="H741" s="56"/>
      <c r="I741" s="59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</row>
    <row r="742" spans="1:32" ht="57" customHeight="1" x14ac:dyDescent="0.25">
      <c r="A742" s="56"/>
      <c r="B742" s="56"/>
      <c r="C742" s="56"/>
      <c r="D742" s="56"/>
      <c r="E742" s="57"/>
      <c r="F742" s="58"/>
      <c r="G742" s="56"/>
      <c r="H742" s="56"/>
      <c r="I742" s="59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</row>
    <row r="743" spans="1:32" ht="57" customHeight="1" x14ac:dyDescent="0.25">
      <c r="A743" s="56"/>
      <c r="B743" s="56"/>
      <c r="C743" s="56"/>
      <c r="D743" s="56"/>
      <c r="E743" s="57"/>
      <c r="F743" s="58"/>
      <c r="G743" s="56"/>
      <c r="H743" s="56"/>
      <c r="I743" s="59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</row>
    <row r="744" spans="1:32" ht="57" customHeight="1" x14ac:dyDescent="0.25">
      <c r="A744" s="56"/>
      <c r="B744" s="56"/>
      <c r="C744" s="56"/>
      <c r="D744" s="56"/>
      <c r="E744" s="57"/>
      <c r="F744" s="58"/>
      <c r="G744" s="56"/>
      <c r="H744" s="56"/>
      <c r="I744" s="59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</row>
    <row r="745" spans="1:32" ht="57" customHeight="1" x14ac:dyDescent="0.25">
      <c r="A745" s="56"/>
      <c r="B745" s="56"/>
      <c r="C745" s="56"/>
      <c r="D745" s="56"/>
      <c r="E745" s="57"/>
      <c r="F745" s="58"/>
      <c r="G745" s="56"/>
      <c r="H745" s="56"/>
      <c r="I745" s="59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</row>
    <row r="746" spans="1:32" ht="57" customHeight="1" x14ac:dyDescent="0.25">
      <c r="A746" s="56"/>
      <c r="B746" s="56"/>
      <c r="C746" s="56"/>
      <c r="D746" s="56"/>
      <c r="E746" s="57"/>
      <c r="F746" s="58"/>
      <c r="G746" s="56"/>
      <c r="H746" s="56"/>
      <c r="I746" s="59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</row>
    <row r="747" spans="1:32" ht="57" customHeight="1" x14ac:dyDescent="0.25">
      <c r="A747" s="56"/>
      <c r="B747" s="56"/>
      <c r="C747" s="56"/>
      <c r="D747" s="56"/>
      <c r="E747" s="57"/>
      <c r="F747" s="58"/>
      <c r="G747" s="56"/>
      <c r="H747" s="56"/>
      <c r="I747" s="59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</row>
    <row r="748" spans="1:32" ht="57" customHeight="1" x14ac:dyDescent="0.25">
      <c r="A748" s="56"/>
      <c r="B748" s="56"/>
      <c r="C748" s="56"/>
      <c r="D748" s="56"/>
      <c r="E748" s="57"/>
      <c r="F748" s="58"/>
      <c r="G748" s="56"/>
      <c r="H748" s="56"/>
      <c r="I748" s="59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</row>
    <row r="749" spans="1:32" ht="57" customHeight="1" x14ac:dyDescent="0.25">
      <c r="A749" s="56"/>
      <c r="B749" s="56"/>
      <c r="C749" s="56"/>
      <c r="D749" s="56"/>
      <c r="E749" s="57"/>
      <c r="F749" s="58"/>
      <c r="G749" s="56"/>
      <c r="H749" s="56"/>
      <c r="I749" s="59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</row>
    <row r="750" spans="1:32" ht="57" customHeight="1" x14ac:dyDescent="0.25">
      <c r="A750" s="56"/>
      <c r="B750" s="56"/>
      <c r="C750" s="56"/>
      <c r="D750" s="56"/>
      <c r="E750" s="57"/>
      <c r="F750" s="58"/>
      <c r="G750" s="56"/>
      <c r="H750" s="56"/>
      <c r="I750" s="59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</row>
    <row r="751" spans="1:32" ht="57" customHeight="1" x14ac:dyDescent="0.25">
      <c r="A751" s="56"/>
      <c r="B751" s="56"/>
      <c r="C751" s="56"/>
      <c r="D751" s="56"/>
      <c r="E751" s="57"/>
      <c r="F751" s="58"/>
      <c r="G751" s="56"/>
      <c r="H751" s="56"/>
      <c r="I751" s="59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</row>
    <row r="752" spans="1:32" ht="57" customHeight="1" x14ac:dyDescent="0.25">
      <c r="A752" s="56"/>
      <c r="B752" s="56"/>
      <c r="C752" s="56"/>
      <c r="D752" s="56"/>
      <c r="E752" s="57"/>
      <c r="F752" s="58"/>
      <c r="G752" s="56"/>
      <c r="H752" s="56"/>
      <c r="I752" s="59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</row>
    <row r="753" spans="1:32" ht="57" customHeight="1" x14ac:dyDescent="0.25">
      <c r="A753" s="56"/>
      <c r="B753" s="56"/>
      <c r="C753" s="56"/>
      <c r="D753" s="56"/>
      <c r="E753" s="57"/>
      <c r="F753" s="58"/>
      <c r="G753" s="56"/>
      <c r="H753" s="56"/>
      <c r="I753" s="59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</row>
    <row r="754" spans="1:32" ht="57" customHeight="1" x14ac:dyDescent="0.25">
      <c r="A754" s="56"/>
      <c r="B754" s="56"/>
      <c r="C754" s="56"/>
      <c r="D754" s="56"/>
      <c r="E754" s="57"/>
      <c r="F754" s="58"/>
      <c r="G754" s="56"/>
      <c r="H754" s="56"/>
      <c r="I754" s="59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</row>
    <row r="755" spans="1:32" ht="57" customHeight="1" x14ac:dyDescent="0.25">
      <c r="A755" s="56"/>
      <c r="B755" s="56"/>
      <c r="C755" s="56"/>
      <c r="D755" s="56"/>
      <c r="E755" s="57"/>
      <c r="F755" s="58"/>
      <c r="G755" s="56"/>
      <c r="H755" s="56"/>
      <c r="I755" s="59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</row>
    <row r="756" spans="1:32" ht="57" customHeight="1" x14ac:dyDescent="0.25">
      <c r="A756" s="56"/>
      <c r="B756" s="56"/>
      <c r="C756" s="56"/>
      <c r="D756" s="56"/>
      <c r="E756" s="57"/>
      <c r="F756" s="58"/>
      <c r="G756" s="56"/>
      <c r="H756" s="56"/>
      <c r="I756" s="59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</row>
    <row r="757" spans="1:32" ht="57" customHeight="1" x14ac:dyDescent="0.25">
      <c r="A757" s="56"/>
      <c r="B757" s="56"/>
      <c r="C757" s="56"/>
      <c r="D757" s="56"/>
      <c r="E757" s="57"/>
      <c r="F757" s="58"/>
      <c r="G757" s="56"/>
      <c r="H757" s="56"/>
      <c r="I757" s="59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</row>
    <row r="758" spans="1:32" ht="57" customHeight="1" x14ac:dyDescent="0.25">
      <c r="A758" s="56"/>
      <c r="B758" s="56"/>
      <c r="C758" s="56"/>
      <c r="D758" s="56"/>
      <c r="E758" s="57"/>
      <c r="F758" s="58"/>
      <c r="G758" s="56"/>
      <c r="H758" s="56"/>
      <c r="I758" s="59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</row>
    <row r="759" spans="1:32" ht="57" customHeight="1" x14ac:dyDescent="0.25">
      <c r="A759" s="56"/>
      <c r="B759" s="56"/>
      <c r="C759" s="56"/>
      <c r="D759" s="56"/>
      <c r="E759" s="57"/>
      <c r="F759" s="58"/>
      <c r="G759" s="56"/>
      <c r="H759" s="56"/>
      <c r="I759" s="59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</row>
    <row r="760" spans="1:32" ht="57" customHeight="1" x14ac:dyDescent="0.25">
      <c r="A760" s="56"/>
      <c r="B760" s="56"/>
      <c r="C760" s="56"/>
      <c r="D760" s="56"/>
      <c r="E760" s="57"/>
      <c r="F760" s="58"/>
      <c r="G760" s="56"/>
      <c r="H760" s="56"/>
      <c r="I760" s="59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</row>
    <row r="761" spans="1:32" ht="57" customHeight="1" x14ac:dyDescent="0.25">
      <c r="A761" s="56"/>
      <c r="B761" s="56"/>
      <c r="C761" s="56"/>
      <c r="D761" s="56"/>
      <c r="E761" s="57"/>
      <c r="F761" s="58"/>
      <c r="G761" s="56"/>
      <c r="H761" s="56"/>
      <c r="I761" s="59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</row>
    <row r="762" spans="1:32" ht="57" customHeight="1" x14ac:dyDescent="0.25">
      <c r="A762" s="56"/>
      <c r="B762" s="56"/>
      <c r="C762" s="56"/>
      <c r="D762" s="56"/>
      <c r="E762" s="57"/>
      <c r="F762" s="58"/>
      <c r="G762" s="56"/>
      <c r="H762" s="56"/>
      <c r="I762" s="59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</row>
    <row r="763" spans="1:32" ht="57" customHeight="1" x14ac:dyDescent="0.25">
      <c r="A763" s="56"/>
      <c r="B763" s="56"/>
      <c r="C763" s="56"/>
      <c r="D763" s="56"/>
      <c r="E763" s="57"/>
      <c r="F763" s="58"/>
      <c r="G763" s="56"/>
      <c r="H763" s="56"/>
      <c r="I763" s="59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</row>
    <row r="764" spans="1:32" ht="57" customHeight="1" x14ac:dyDescent="0.25">
      <c r="A764" s="56"/>
      <c r="B764" s="56"/>
      <c r="C764" s="56"/>
      <c r="D764" s="56"/>
      <c r="E764" s="57"/>
      <c r="F764" s="58"/>
      <c r="G764" s="56"/>
      <c r="H764" s="56"/>
      <c r="I764" s="59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</row>
    <row r="765" spans="1:32" ht="57" customHeight="1" x14ac:dyDescent="0.25">
      <c r="A765" s="56"/>
      <c r="B765" s="56"/>
      <c r="C765" s="56"/>
      <c r="D765" s="56"/>
      <c r="E765" s="57"/>
      <c r="F765" s="58"/>
      <c r="G765" s="56"/>
      <c r="H765" s="56"/>
      <c r="I765" s="59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</row>
    <row r="766" spans="1:32" ht="57" customHeight="1" x14ac:dyDescent="0.25">
      <c r="A766" s="56"/>
      <c r="B766" s="56"/>
      <c r="C766" s="56"/>
      <c r="D766" s="56"/>
      <c r="E766" s="57"/>
      <c r="F766" s="58"/>
      <c r="G766" s="56"/>
      <c r="H766" s="56"/>
      <c r="I766" s="59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</row>
    <row r="767" spans="1:32" ht="57" customHeight="1" x14ac:dyDescent="0.25">
      <c r="A767" s="56"/>
      <c r="B767" s="56"/>
      <c r="C767" s="56"/>
      <c r="D767" s="56"/>
      <c r="E767" s="57"/>
      <c r="F767" s="58"/>
      <c r="G767" s="56"/>
      <c r="H767" s="56"/>
      <c r="I767" s="59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</row>
    <row r="768" spans="1:32" ht="57" customHeight="1" x14ac:dyDescent="0.25">
      <c r="A768" s="56"/>
      <c r="B768" s="56"/>
      <c r="C768" s="56"/>
      <c r="D768" s="56"/>
      <c r="E768" s="57"/>
      <c r="F768" s="58"/>
      <c r="G768" s="56"/>
      <c r="H768" s="56"/>
      <c r="I768" s="59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</row>
    <row r="769" spans="1:32" ht="57" customHeight="1" x14ac:dyDescent="0.25">
      <c r="A769" s="56"/>
      <c r="B769" s="56"/>
      <c r="C769" s="56"/>
      <c r="D769" s="56"/>
      <c r="E769" s="57"/>
      <c r="F769" s="58"/>
      <c r="G769" s="56"/>
      <c r="H769" s="56"/>
      <c r="I769" s="59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</row>
    <row r="770" spans="1:32" ht="57" customHeight="1" x14ac:dyDescent="0.25">
      <c r="A770" s="56"/>
      <c r="B770" s="56"/>
      <c r="C770" s="56"/>
      <c r="D770" s="56"/>
      <c r="E770" s="57"/>
      <c r="F770" s="58"/>
      <c r="G770" s="56"/>
      <c r="H770" s="56"/>
      <c r="I770" s="59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</row>
    <row r="771" spans="1:32" ht="57" customHeight="1" x14ac:dyDescent="0.25">
      <c r="A771" s="56"/>
      <c r="B771" s="56"/>
      <c r="C771" s="56"/>
      <c r="D771" s="56"/>
      <c r="E771" s="57"/>
      <c r="F771" s="58"/>
      <c r="G771" s="56"/>
      <c r="H771" s="56"/>
      <c r="I771" s="59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</row>
    <row r="772" spans="1:32" ht="57" customHeight="1" x14ac:dyDescent="0.25">
      <c r="A772" s="56"/>
      <c r="B772" s="56"/>
      <c r="C772" s="56"/>
      <c r="D772" s="56"/>
      <c r="E772" s="57"/>
      <c r="F772" s="58"/>
      <c r="G772" s="56"/>
      <c r="H772" s="56"/>
      <c r="I772" s="59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</row>
    <row r="773" spans="1:32" ht="57" customHeight="1" x14ac:dyDescent="0.25">
      <c r="A773" s="56"/>
      <c r="B773" s="56"/>
      <c r="C773" s="56"/>
      <c r="D773" s="56"/>
      <c r="E773" s="57"/>
      <c r="F773" s="58"/>
      <c r="G773" s="56"/>
      <c r="H773" s="56"/>
      <c r="I773" s="59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</row>
    <row r="774" spans="1:32" ht="57" customHeight="1" x14ac:dyDescent="0.25">
      <c r="A774" s="56"/>
      <c r="B774" s="56"/>
      <c r="C774" s="56"/>
      <c r="D774" s="56"/>
      <c r="E774" s="57"/>
      <c r="F774" s="58"/>
      <c r="G774" s="56"/>
      <c r="H774" s="56"/>
      <c r="I774" s="59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</row>
    <row r="775" spans="1:32" ht="57" customHeight="1" x14ac:dyDescent="0.25">
      <c r="A775" s="56"/>
      <c r="B775" s="56"/>
      <c r="C775" s="56"/>
      <c r="D775" s="56"/>
      <c r="E775" s="57"/>
      <c r="F775" s="58"/>
      <c r="G775" s="56"/>
      <c r="H775" s="56"/>
      <c r="I775" s="59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</row>
    <row r="776" spans="1:32" ht="57" customHeight="1" x14ac:dyDescent="0.25">
      <c r="A776" s="56"/>
      <c r="B776" s="56"/>
      <c r="C776" s="56"/>
      <c r="D776" s="56"/>
      <c r="E776" s="57"/>
      <c r="F776" s="58"/>
      <c r="G776" s="56"/>
      <c r="H776" s="56"/>
      <c r="I776" s="59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</row>
    <row r="777" spans="1:32" ht="57" customHeight="1" x14ac:dyDescent="0.25">
      <c r="A777" s="56"/>
      <c r="B777" s="56"/>
      <c r="C777" s="56"/>
      <c r="D777" s="56"/>
      <c r="E777" s="57"/>
      <c r="F777" s="58"/>
      <c r="G777" s="56"/>
      <c r="H777" s="56"/>
      <c r="I777" s="59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</row>
    <row r="778" spans="1:32" ht="57" customHeight="1" x14ac:dyDescent="0.25">
      <c r="A778" s="56"/>
      <c r="B778" s="56"/>
      <c r="C778" s="56"/>
      <c r="D778" s="56"/>
      <c r="E778" s="57"/>
      <c r="F778" s="58"/>
      <c r="G778" s="56"/>
      <c r="H778" s="56"/>
      <c r="I778" s="59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</row>
    <row r="779" spans="1:32" ht="57" customHeight="1" x14ac:dyDescent="0.25">
      <c r="A779" s="56"/>
      <c r="B779" s="56"/>
      <c r="C779" s="56"/>
      <c r="D779" s="56"/>
      <c r="E779" s="57"/>
      <c r="F779" s="58"/>
      <c r="G779" s="56"/>
      <c r="H779" s="56"/>
      <c r="I779" s="59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</row>
    <row r="780" spans="1:32" ht="57" customHeight="1" x14ac:dyDescent="0.25">
      <c r="A780" s="56"/>
      <c r="B780" s="56"/>
      <c r="C780" s="56"/>
      <c r="D780" s="56"/>
      <c r="E780" s="57"/>
      <c r="F780" s="58"/>
      <c r="G780" s="56"/>
      <c r="H780" s="56"/>
      <c r="I780" s="59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</row>
    <row r="781" spans="1:32" ht="57" customHeight="1" x14ac:dyDescent="0.25">
      <c r="A781" s="56"/>
      <c r="B781" s="56"/>
      <c r="C781" s="56"/>
      <c r="D781" s="56"/>
      <c r="E781" s="57"/>
      <c r="F781" s="58"/>
      <c r="G781" s="56"/>
      <c r="H781" s="56"/>
      <c r="I781" s="59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</row>
    <row r="782" spans="1:32" ht="57" customHeight="1" x14ac:dyDescent="0.25">
      <c r="A782" s="56"/>
      <c r="B782" s="56"/>
      <c r="C782" s="56"/>
      <c r="D782" s="56"/>
      <c r="E782" s="57"/>
      <c r="F782" s="58"/>
      <c r="G782" s="56"/>
      <c r="H782" s="56"/>
      <c r="I782" s="59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</row>
    <row r="783" spans="1:32" ht="57" customHeight="1" x14ac:dyDescent="0.25">
      <c r="A783" s="56"/>
      <c r="B783" s="56"/>
      <c r="C783" s="56"/>
      <c r="D783" s="56"/>
      <c r="E783" s="57"/>
      <c r="F783" s="58"/>
      <c r="G783" s="56"/>
      <c r="H783" s="56"/>
      <c r="I783" s="59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</row>
    <row r="784" spans="1:32" ht="57" customHeight="1" x14ac:dyDescent="0.25">
      <c r="A784" s="56"/>
      <c r="B784" s="56"/>
      <c r="C784" s="56"/>
      <c r="D784" s="56"/>
      <c r="E784" s="57"/>
      <c r="F784" s="58"/>
      <c r="G784" s="56"/>
      <c r="H784" s="56"/>
      <c r="I784" s="59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</row>
    <row r="785" spans="1:32" ht="57" customHeight="1" x14ac:dyDescent="0.25">
      <c r="A785" s="56"/>
      <c r="B785" s="56"/>
      <c r="C785" s="56"/>
      <c r="D785" s="56"/>
      <c r="E785" s="57"/>
      <c r="F785" s="58"/>
      <c r="G785" s="56"/>
      <c r="H785" s="56"/>
      <c r="I785" s="59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</row>
    <row r="786" spans="1:32" ht="57" customHeight="1" x14ac:dyDescent="0.25">
      <c r="A786" s="56"/>
      <c r="B786" s="56"/>
      <c r="C786" s="56"/>
      <c r="D786" s="56"/>
      <c r="E786" s="57"/>
      <c r="F786" s="58"/>
      <c r="G786" s="56"/>
      <c r="H786" s="56"/>
      <c r="I786" s="59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</row>
    <row r="787" spans="1:32" ht="57" customHeight="1" x14ac:dyDescent="0.25">
      <c r="A787" s="56"/>
      <c r="B787" s="56"/>
      <c r="C787" s="56"/>
      <c r="D787" s="56"/>
      <c r="E787" s="57"/>
      <c r="F787" s="58"/>
      <c r="G787" s="56"/>
      <c r="H787" s="56"/>
      <c r="I787" s="59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</row>
    <row r="788" spans="1:32" ht="57" customHeight="1" x14ac:dyDescent="0.25">
      <c r="A788" s="56"/>
      <c r="B788" s="56"/>
      <c r="C788" s="56"/>
      <c r="D788" s="56"/>
      <c r="E788" s="57"/>
      <c r="F788" s="58"/>
      <c r="G788" s="56"/>
      <c r="H788" s="56"/>
      <c r="I788" s="59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</row>
    <row r="789" spans="1:32" ht="57" customHeight="1" x14ac:dyDescent="0.25">
      <c r="A789" s="56"/>
      <c r="B789" s="56"/>
      <c r="C789" s="56"/>
      <c r="D789" s="56"/>
      <c r="E789" s="57"/>
      <c r="F789" s="58"/>
      <c r="G789" s="56"/>
      <c r="H789" s="56"/>
      <c r="I789" s="59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</row>
    <row r="790" spans="1:32" ht="57" customHeight="1" x14ac:dyDescent="0.25">
      <c r="A790" s="56"/>
      <c r="B790" s="56"/>
      <c r="C790" s="56"/>
      <c r="D790" s="56"/>
      <c r="E790" s="57"/>
      <c r="F790" s="58"/>
      <c r="G790" s="56"/>
      <c r="H790" s="56"/>
      <c r="I790" s="59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</row>
    <row r="791" spans="1:32" ht="57" customHeight="1" x14ac:dyDescent="0.25">
      <c r="A791" s="56"/>
      <c r="B791" s="56"/>
      <c r="C791" s="56"/>
      <c r="D791" s="56"/>
      <c r="E791" s="57"/>
      <c r="F791" s="58"/>
      <c r="G791" s="56"/>
      <c r="H791" s="56"/>
      <c r="I791" s="59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</row>
    <row r="792" spans="1:32" ht="57" customHeight="1" x14ac:dyDescent="0.25">
      <c r="A792" s="56"/>
      <c r="B792" s="56"/>
      <c r="C792" s="56"/>
      <c r="D792" s="56"/>
      <c r="E792" s="57"/>
      <c r="F792" s="58"/>
      <c r="G792" s="56"/>
      <c r="H792" s="56"/>
      <c r="I792" s="59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</row>
    <row r="793" spans="1:32" ht="57" customHeight="1" x14ac:dyDescent="0.25">
      <c r="A793" s="56"/>
      <c r="B793" s="56"/>
      <c r="C793" s="56"/>
      <c r="D793" s="56"/>
      <c r="E793" s="57"/>
      <c r="F793" s="58"/>
      <c r="G793" s="56"/>
      <c r="H793" s="56"/>
      <c r="I793" s="59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</row>
    <row r="794" spans="1:32" ht="57" customHeight="1" x14ac:dyDescent="0.25">
      <c r="A794" s="56"/>
      <c r="B794" s="56"/>
      <c r="C794" s="56"/>
      <c r="D794" s="56"/>
      <c r="E794" s="57"/>
      <c r="F794" s="58"/>
      <c r="G794" s="56"/>
      <c r="H794" s="56"/>
      <c r="I794" s="59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</row>
    <row r="795" spans="1:32" ht="57" customHeight="1" x14ac:dyDescent="0.25">
      <c r="A795" s="56"/>
      <c r="B795" s="56"/>
      <c r="C795" s="56"/>
      <c r="D795" s="56"/>
      <c r="E795" s="57"/>
      <c r="F795" s="58"/>
      <c r="G795" s="56"/>
      <c r="H795" s="56"/>
      <c r="I795" s="59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</row>
    <row r="796" spans="1:32" ht="57" customHeight="1" x14ac:dyDescent="0.25">
      <c r="A796" s="56"/>
      <c r="B796" s="56"/>
      <c r="C796" s="56"/>
      <c r="D796" s="56"/>
      <c r="E796" s="57"/>
      <c r="F796" s="58"/>
      <c r="G796" s="56"/>
      <c r="H796" s="56"/>
      <c r="I796" s="59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</row>
    <row r="797" spans="1:32" ht="57" customHeight="1" x14ac:dyDescent="0.25">
      <c r="A797" s="56"/>
      <c r="B797" s="56"/>
      <c r="C797" s="56"/>
      <c r="D797" s="56"/>
      <c r="E797" s="57"/>
      <c r="F797" s="58"/>
      <c r="G797" s="56"/>
      <c r="H797" s="56"/>
      <c r="I797" s="59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</row>
    <row r="798" spans="1:32" ht="57" customHeight="1" x14ac:dyDescent="0.25">
      <c r="A798" s="56"/>
      <c r="B798" s="56"/>
      <c r="C798" s="56"/>
      <c r="D798" s="56"/>
      <c r="E798" s="57"/>
      <c r="F798" s="58"/>
      <c r="G798" s="56"/>
      <c r="H798" s="56"/>
      <c r="I798" s="59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</row>
    <row r="799" spans="1:32" ht="57" customHeight="1" x14ac:dyDescent="0.25">
      <c r="A799" s="56"/>
      <c r="B799" s="56"/>
      <c r="C799" s="56"/>
      <c r="D799" s="56"/>
      <c r="E799" s="57"/>
      <c r="F799" s="58"/>
      <c r="G799" s="56"/>
      <c r="H799" s="56"/>
      <c r="I799" s="59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</row>
    <row r="800" spans="1:32" ht="57" customHeight="1" x14ac:dyDescent="0.25">
      <c r="A800" s="56"/>
      <c r="B800" s="56"/>
      <c r="C800" s="56"/>
      <c r="D800" s="56"/>
      <c r="E800" s="57"/>
      <c r="F800" s="58"/>
      <c r="G800" s="56"/>
      <c r="H800" s="56"/>
      <c r="I800" s="59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</row>
    <row r="801" spans="1:32" ht="57" customHeight="1" x14ac:dyDescent="0.25">
      <c r="A801" s="56"/>
      <c r="B801" s="56"/>
      <c r="C801" s="56"/>
      <c r="D801" s="56"/>
      <c r="E801" s="57"/>
      <c r="F801" s="58"/>
      <c r="G801" s="56"/>
      <c r="H801" s="56"/>
      <c r="I801" s="59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</row>
    <row r="802" spans="1:32" ht="57" customHeight="1" x14ac:dyDescent="0.25">
      <c r="A802" s="56"/>
      <c r="B802" s="56"/>
      <c r="C802" s="56"/>
      <c r="D802" s="56"/>
      <c r="E802" s="57"/>
      <c r="F802" s="58"/>
      <c r="G802" s="56"/>
      <c r="H802" s="56"/>
      <c r="I802" s="59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</row>
    <row r="803" spans="1:32" ht="57" customHeight="1" x14ac:dyDescent="0.25">
      <c r="A803" s="56"/>
      <c r="B803" s="56"/>
      <c r="C803" s="56"/>
      <c r="D803" s="56"/>
      <c r="E803" s="57"/>
      <c r="F803" s="58"/>
      <c r="G803" s="56"/>
      <c r="H803" s="56"/>
      <c r="I803" s="59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</row>
    <row r="804" spans="1:32" ht="57" customHeight="1" x14ac:dyDescent="0.25">
      <c r="A804" s="56"/>
      <c r="B804" s="56"/>
      <c r="C804" s="56"/>
      <c r="D804" s="56"/>
      <c r="E804" s="57"/>
      <c r="F804" s="58"/>
      <c r="G804" s="56"/>
      <c r="H804" s="56"/>
      <c r="I804" s="59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</row>
    <row r="805" spans="1:32" ht="57" customHeight="1" x14ac:dyDescent="0.25">
      <c r="A805" s="56"/>
      <c r="B805" s="56"/>
      <c r="C805" s="56"/>
      <c r="D805" s="56"/>
      <c r="E805" s="57"/>
      <c r="F805" s="58"/>
      <c r="G805" s="56"/>
      <c r="H805" s="56"/>
      <c r="I805" s="59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</row>
    <row r="806" spans="1:32" ht="57" customHeight="1" x14ac:dyDescent="0.25">
      <c r="A806" s="56"/>
      <c r="B806" s="56"/>
      <c r="C806" s="56"/>
      <c r="D806" s="56"/>
      <c r="E806" s="57"/>
      <c r="F806" s="58"/>
      <c r="G806" s="56"/>
      <c r="H806" s="56"/>
      <c r="I806" s="59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</row>
    <row r="807" spans="1:32" ht="57" customHeight="1" x14ac:dyDescent="0.25">
      <c r="A807" s="56"/>
      <c r="B807" s="56"/>
      <c r="C807" s="56"/>
      <c r="D807" s="56"/>
      <c r="E807" s="57"/>
      <c r="F807" s="58"/>
      <c r="G807" s="56"/>
      <c r="H807" s="56"/>
      <c r="I807" s="59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</row>
    <row r="808" spans="1:32" ht="57" customHeight="1" x14ac:dyDescent="0.25">
      <c r="A808" s="56"/>
      <c r="B808" s="56"/>
      <c r="C808" s="56"/>
      <c r="D808" s="56"/>
      <c r="E808" s="57"/>
      <c r="F808" s="58"/>
      <c r="G808" s="56"/>
      <c r="H808" s="56"/>
      <c r="I808" s="59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</row>
    <row r="809" spans="1:32" ht="57" customHeight="1" x14ac:dyDescent="0.25">
      <c r="A809" s="56"/>
      <c r="B809" s="56"/>
      <c r="C809" s="56"/>
      <c r="D809" s="56"/>
      <c r="E809" s="57"/>
      <c r="F809" s="58"/>
      <c r="G809" s="56"/>
      <c r="H809" s="56"/>
      <c r="I809" s="59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</row>
    <row r="810" spans="1:32" ht="57" customHeight="1" x14ac:dyDescent="0.25">
      <c r="A810" s="56"/>
      <c r="B810" s="56"/>
      <c r="C810" s="56"/>
      <c r="D810" s="56"/>
      <c r="E810" s="57"/>
      <c r="F810" s="58"/>
      <c r="G810" s="56"/>
      <c r="H810" s="56"/>
      <c r="I810" s="59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</row>
    <row r="811" spans="1:32" ht="57" customHeight="1" x14ac:dyDescent="0.25">
      <c r="A811" s="56"/>
      <c r="B811" s="56"/>
      <c r="C811" s="56"/>
      <c r="D811" s="56"/>
      <c r="E811" s="57"/>
      <c r="F811" s="58"/>
      <c r="G811" s="56"/>
      <c r="H811" s="56"/>
      <c r="I811" s="59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</row>
    <row r="812" spans="1:32" ht="57" customHeight="1" x14ac:dyDescent="0.25">
      <c r="A812" s="56"/>
      <c r="B812" s="56"/>
      <c r="C812" s="56"/>
      <c r="D812" s="56"/>
      <c r="E812" s="57"/>
      <c r="F812" s="58"/>
      <c r="G812" s="56"/>
      <c r="H812" s="56"/>
      <c r="I812" s="59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</row>
    <row r="813" spans="1:32" ht="57" customHeight="1" x14ac:dyDescent="0.25">
      <c r="A813" s="56"/>
      <c r="B813" s="56"/>
      <c r="C813" s="56"/>
      <c r="D813" s="56"/>
      <c r="E813" s="57"/>
      <c r="F813" s="58"/>
      <c r="G813" s="56"/>
      <c r="H813" s="56"/>
      <c r="I813" s="59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</row>
    <row r="814" spans="1:32" ht="57" customHeight="1" x14ac:dyDescent="0.25">
      <c r="A814" s="56"/>
      <c r="B814" s="56"/>
      <c r="C814" s="56"/>
      <c r="D814" s="56"/>
      <c r="E814" s="57"/>
      <c r="F814" s="58"/>
      <c r="G814" s="56"/>
      <c r="H814" s="56"/>
      <c r="I814" s="59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</row>
    <row r="815" spans="1:32" ht="57" customHeight="1" x14ac:dyDescent="0.25">
      <c r="A815" s="56"/>
      <c r="B815" s="56"/>
      <c r="C815" s="56"/>
      <c r="D815" s="56"/>
      <c r="E815" s="57"/>
      <c r="F815" s="58"/>
      <c r="G815" s="56"/>
      <c r="H815" s="56"/>
      <c r="I815" s="59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</row>
    <row r="816" spans="1:32" ht="57" customHeight="1" x14ac:dyDescent="0.25">
      <c r="A816" s="56"/>
      <c r="B816" s="56"/>
      <c r="C816" s="56"/>
      <c r="D816" s="56"/>
      <c r="E816" s="57"/>
      <c r="F816" s="58"/>
      <c r="G816" s="56"/>
      <c r="H816" s="56"/>
      <c r="I816" s="59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</row>
    <row r="817" spans="1:32" ht="57" customHeight="1" x14ac:dyDescent="0.25">
      <c r="A817" s="56"/>
      <c r="B817" s="56"/>
      <c r="C817" s="56"/>
      <c r="D817" s="56"/>
      <c r="E817" s="57"/>
      <c r="F817" s="58"/>
      <c r="G817" s="56"/>
      <c r="H817" s="56"/>
      <c r="I817" s="59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</row>
    <row r="818" spans="1:32" ht="57" customHeight="1" x14ac:dyDescent="0.25">
      <c r="A818" s="56"/>
      <c r="B818" s="56"/>
      <c r="C818" s="56"/>
      <c r="D818" s="56"/>
      <c r="E818" s="57"/>
      <c r="F818" s="58"/>
      <c r="G818" s="56"/>
      <c r="H818" s="56"/>
      <c r="I818" s="59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</row>
    <row r="819" spans="1:32" ht="57" customHeight="1" x14ac:dyDescent="0.25">
      <c r="A819" s="56"/>
      <c r="B819" s="56"/>
      <c r="C819" s="56"/>
      <c r="D819" s="56"/>
      <c r="E819" s="57"/>
      <c r="F819" s="58"/>
      <c r="G819" s="56"/>
      <c r="H819" s="56"/>
      <c r="I819" s="59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</row>
    <row r="820" spans="1:32" ht="57" customHeight="1" x14ac:dyDescent="0.25">
      <c r="A820" s="56"/>
      <c r="B820" s="56"/>
      <c r="C820" s="56"/>
      <c r="D820" s="56"/>
      <c r="E820" s="57"/>
      <c r="F820" s="58"/>
      <c r="G820" s="56"/>
      <c r="H820" s="56"/>
      <c r="I820" s="59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</row>
    <row r="821" spans="1:32" ht="57" customHeight="1" x14ac:dyDescent="0.25">
      <c r="A821" s="56"/>
      <c r="B821" s="56"/>
      <c r="C821" s="56"/>
      <c r="D821" s="56"/>
      <c r="E821" s="57"/>
      <c r="F821" s="58"/>
      <c r="G821" s="56"/>
      <c r="H821" s="56"/>
      <c r="I821" s="59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</row>
    <row r="822" spans="1:32" ht="57" customHeight="1" x14ac:dyDescent="0.25">
      <c r="A822" s="56"/>
      <c r="B822" s="56"/>
      <c r="C822" s="56"/>
      <c r="D822" s="56"/>
      <c r="E822" s="57"/>
      <c r="F822" s="58"/>
      <c r="G822" s="56"/>
      <c r="H822" s="56"/>
      <c r="I822" s="59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</row>
    <row r="823" spans="1:32" ht="57" customHeight="1" x14ac:dyDescent="0.25">
      <c r="A823" s="56"/>
      <c r="B823" s="56"/>
      <c r="C823" s="56"/>
      <c r="D823" s="56"/>
      <c r="E823" s="57"/>
      <c r="F823" s="58"/>
      <c r="G823" s="56"/>
      <c r="H823" s="56"/>
      <c r="I823" s="59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</row>
    <row r="824" spans="1:32" ht="57" customHeight="1" x14ac:dyDescent="0.25">
      <c r="A824" s="56"/>
      <c r="B824" s="56"/>
      <c r="C824" s="56"/>
      <c r="D824" s="56"/>
      <c r="E824" s="57"/>
      <c r="F824" s="58"/>
      <c r="G824" s="56"/>
      <c r="H824" s="56"/>
      <c r="I824" s="59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</row>
    <row r="825" spans="1:32" ht="57" customHeight="1" x14ac:dyDescent="0.25">
      <c r="A825" s="56"/>
      <c r="B825" s="56"/>
      <c r="C825" s="56"/>
      <c r="D825" s="56"/>
      <c r="E825" s="57"/>
      <c r="F825" s="58"/>
      <c r="G825" s="56"/>
      <c r="H825" s="56"/>
      <c r="I825" s="59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</row>
    <row r="826" spans="1:32" ht="57" customHeight="1" x14ac:dyDescent="0.25">
      <c r="A826" s="56"/>
      <c r="B826" s="56"/>
      <c r="C826" s="56"/>
      <c r="D826" s="56"/>
      <c r="E826" s="57"/>
      <c r="F826" s="58"/>
      <c r="G826" s="56"/>
      <c r="H826" s="56"/>
      <c r="I826" s="59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</row>
    <row r="827" spans="1:32" ht="57" customHeight="1" x14ac:dyDescent="0.25">
      <c r="A827" s="56"/>
      <c r="B827" s="56"/>
      <c r="C827" s="56"/>
      <c r="D827" s="56"/>
      <c r="E827" s="57"/>
      <c r="F827" s="58"/>
      <c r="G827" s="56"/>
      <c r="H827" s="56"/>
      <c r="I827" s="59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</row>
    <row r="828" spans="1:32" ht="57" customHeight="1" x14ac:dyDescent="0.25">
      <c r="A828" s="56"/>
      <c r="B828" s="56"/>
      <c r="C828" s="56"/>
      <c r="D828" s="56"/>
      <c r="E828" s="57"/>
      <c r="F828" s="58"/>
      <c r="G828" s="56"/>
      <c r="H828" s="56"/>
      <c r="I828" s="59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</row>
    <row r="829" spans="1:32" ht="57" customHeight="1" x14ac:dyDescent="0.25">
      <c r="A829" s="56"/>
      <c r="B829" s="56"/>
      <c r="C829" s="56"/>
      <c r="D829" s="56"/>
      <c r="E829" s="57"/>
      <c r="F829" s="58"/>
      <c r="G829" s="56"/>
      <c r="H829" s="56"/>
      <c r="I829" s="59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</row>
    <row r="830" spans="1:32" ht="57" customHeight="1" x14ac:dyDescent="0.25">
      <c r="A830" s="56"/>
      <c r="B830" s="56"/>
      <c r="C830" s="56"/>
      <c r="D830" s="56"/>
      <c r="E830" s="57"/>
      <c r="F830" s="58"/>
      <c r="G830" s="56"/>
      <c r="H830" s="56"/>
      <c r="I830" s="59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</row>
    <row r="831" spans="1:32" ht="57" customHeight="1" x14ac:dyDescent="0.25">
      <c r="A831" s="56"/>
      <c r="B831" s="56"/>
      <c r="C831" s="56"/>
      <c r="D831" s="56"/>
      <c r="E831" s="57"/>
      <c r="F831" s="58"/>
      <c r="G831" s="56"/>
      <c r="H831" s="56"/>
      <c r="I831" s="59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</row>
    <row r="832" spans="1:32" ht="57" customHeight="1" x14ac:dyDescent="0.25">
      <c r="A832" s="56"/>
      <c r="B832" s="56"/>
      <c r="C832" s="56"/>
      <c r="D832" s="56"/>
      <c r="E832" s="57"/>
      <c r="F832" s="58"/>
      <c r="G832" s="56"/>
      <c r="H832" s="56"/>
      <c r="I832" s="59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</row>
    <row r="833" spans="1:32" ht="57" customHeight="1" x14ac:dyDescent="0.25">
      <c r="A833" s="56"/>
      <c r="B833" s="56"/>
      <c r="C833" s="56"/>
      <c r="D833" s="56"/>
      <c r="E833" s="57"/>
      <c r="F833" s="58"/>
      <c r="G833" s="56"/>
      <c r="H833" s="56"/>
      <c r="I833" s="59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</row>
    <row r="834" spans="1:32" ht="57" customHeight="1" x14ac:dyDescent="0.25">
      <c r="A834" s="56"/>
      <c r="B834" s="56"/>
      <c r="C834" s="56"/>
      <c r="D834" s="56"/>
      <c r="E834" s="57"/>
      <c r="F834" s="58"/>
      <c r="G834" s="56"/>
      <c r="H834" s="56"/>
      <c r="I834" s="59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</row>
    <row r="835" spans="1:32" ht="57" customHeight="1" x14ac:dyDescent="0.25">
      <c r="A835" s="56"/>
      <c r="B835" s="56"/>
      <c r="C835" s="56"/>
      <c r="D835" s="56"/>
      <c r="E835" s="57"/>
      <c r="F835" s="58"/>
      <c r="G835" s="56"/>
      <c r="H835" s="56"/>
      <c r="I835" s="59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</row>
    <row r="836" spans="1:32" ht="57" customHeight="1" x14ac:dyDescent="0.25">
      <c r="A836" s="56"/>
      <c r="B836" s="56"/>
      <c r="C836" s="56"/>
      <c r="D836" s="56"/>
      <c r="E836" s="57"/>
      <c r="F836" s="58"/>
      <c r="G836" s="56"/>
      <c r="H836" s="56"/>
      <c r="I836" s="59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</row>
    <row r="837" spans="1:32" ht="57" customHeight="1" x14ac:dyDescent="0.25">
      <c r="A837" s="56"/>
      <c r="B837" s="56"/>
      <c r="C837" s="56"/>
      <c r="D837" s="56"/>
      <c r="E837" s="57"/>
      <c r="F837" s="58"/>
      <c r="G837" s="56"/>
      <c r="H837" s="56"/>
      <c r="I837" s="59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</row>
    <row r="838" spans="1:32" ht="57" customHeight="1" x14ac:dyDescent="0.25">
      <c r="A838" s="56"/>
      <c r="B838" s="56"/>
      <c r="C838" s="56"/>
      <c r="D838" s="56"/>
      <c r="E838" s="57"/>
      <c r="F838" s="58"/>
      <c r="G838" s="56"/>
      <c r="H838" s="56"/>
      <c r="I838" s="59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</row>
    <row r="839" spans="1:32" ht="57" customHeight="1" x14ac:dyDescent="0.25">
      <c r="A839" s="56"/>
      <c r="B839" s="56"/>
      <c r="C839" s="56"/>
      <c r="D839" s="56"/>
      <c r="E839" s="57"/>
      <c r="F839" s="58"/>
      <c r="G839" s="56"/>
      <c r="H839" s="56"/>
      <c r="I839" s="59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</row>
    <row r="840" spans="1:32" ht="57" customHeight="1" x14ac:dyDescent="0.25">
      <c r="A840" s="56"/>
      <c r="B840" s="56"/>
      <c r="C840" s="56"/>
      <c r="D840" s="56"/>
      <c r="E840" s="57"/>
      <c r="F840" s="58"/>
      <c r="G840" s="56"/>
      <c r="H840" s="56"/>
      <c r="I840" s="59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</row>
    <row r="841" spans="1:32" ht="57" customHeight="1" x14ac:dyDescent="0.25">
      <c r="A841" s="56"/>
      <c r="B841" s="56"/>
      <c r="C841" s="56"/>
      <c r="D841" s="56"/>
      <c r="E841" s="57"/>
      <c r="F841" s="58"/>
      <c r="G841" s="56"/>
      <c r="H841" s="56"/>
      <c r="I841" s="59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</row>
    <row r="842" spans="1:32" ht="57" customHeight="1" x14ac:dyDescent="0.25">
      <c r="A842" s="56"/>
      <c r="B842" s="56"/>
      <c r="C842" s="56"/>
      <c r="D842" s="56"/>
      <c r="E842" s="57"/>
      <c r="F842" s="58"/>
      <c r="G842" s="56"/>
      <c r="H842" s="56"/>
      <c r="I842" s="59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</row>
    <row r="843" spans="1:32" ht="57" customHeight="1" x14ac:dyDescent="0.25">
      <c r="A843" s="56"/>
      <c r="B843" s="56"/>
      <c r="C843" s="56"/>
      <c r="D843" s="56"/>
      <c r="E843" s="57"/>
      <c r="F843" s="58"/>
      <c r="G843" s="56"/>
      <c r="H843" s="56"/>
      <c r="I843" s="59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</row>
    <row r="844" spans="1:32" ht="57" customHeight="1" x14ac:dyDescent="0.25">
      <c r="A844" s="56"/>
      <c r="B844" s="56"/>
      <c r="C844" s="56"/>
      <c r="D844" s="56"/>
      <c r="E844" s="57"/>
      <c r="F844" s="58"/>
      <c r="G844" s="56"/>
      <c r="H844" s="56"/>
      <c r="I844" s="59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</row>
    <row r="845" spans="1:32" ht="57" customHeight="1" x14ac:dyDescent="0.25">
      <c r="A845" s="56"/>
      <c r="B845" s="56"/>
      <c r="C845" s="56"/>
      <c r="D845" s="56"/>
      <c r="E845" s="57"/>
      <c r="F845" s="58"/>
      <c r="G845" s="56"/>
      <c r="H845" s="56"/>
      <c r="I845" s="59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</row>
    <row r="846" spans="1:32" ht="57" customHeight="1" x14ac:dyDescent="0.25">
      <c r="A846" s="56"/>
      <c r="B846" s="56"/>
      <c r="C846" s="56"/>
      <c r="D846" s="56"/>
      <c r="E846" s="57"/>
      <c r="F846" s="58"/>
      <c r="G846" s="56"/>
      <c r="H846" s="56"/>
      <c r="I846" s="59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</row>
    <row r="847" spans="1:32" ht="57" customHeight="1" x14ac:dyDescent="0.25">
      <c r="A847" s="56"/>
      <c r="B847" s="56"/>
      <c r="C847" s="56"/>
      <c r="D847" s="56"/>
      <c r="E847" s="57"/>
      <c r="F847" s="58"/>
      <c r="G847" s="56"/>
      <c r="H847" s="56"/>
      <c r="I847" s="59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</row>
    <row r="848" spans="1:32" ht="57" customHeight="1" x14ac:dyDescent="0.25">
      <c r="A848" s="56"/>
      <c r="B848" s="56"/>
      <c r="C848" s="56"/>
      <c r="D848" s="56"/>
      <c r="E848" s="57"/>
      <c r="F848" s="58"/>
      <c r="G848" s="56"/>
      <c r="H848" s="56"/>
      <c r="I848" s="59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</row>
    <row r="849" spans="1:32" ht="57" customHeight="1" x14ac:dyDescent="0.25">
      <c r="A849" s="56"/>
      <c r="B849" s="56"/>
      <c r="C849" s="56"/>
      <c r="D849" s="56"/>
      <c r="E849" s="57"/>
      <c r="F849" s="58"/>
      <c r="G849" s="56"/>
      <c r="H849" s="56"/>
      <c r="I849" s="59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</row>
    <row r="850" spans="1:32" ht="57" customHeight="1" x14ac:dyDescent="0.25">
      <c r="A850" s="56"/>
      <c r="B850" s="56"/>
      <c r="C850" s="56"/>
      <c r="D850" s="56"/>
      <c r="E850" s="57"/>
      <c r="F850" s="58"/>
      <c r="G850" s="56"/>
      <c r="H850" s="56"/>
      <c r="I850" s="59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</row>
    <row r="851" spans="1:32" ht="57" customHeight="1" x14ac:dyDescent="0.25">
      <c r="A851" s="56"/>
      <c r="B851" s="56"/>
      <c r="C851" s="56"/>
      <c r="D851" s="56"/>
      <c r="E851" s="57"/>
      <c r="F851" s="58"/>
      <c r="G851" s="56"/>
      <c r="H851" s="56"/>
      <c r="I851" s="59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</row>
    <row r="852" spans="1:32" ht="57" customHeight="1" x14ac:dyDescent="0.25">
      <c r="A852" s="56"/>
      <c r="B852" s="56"/>
      <c r="C852" s="56"/>
      <c r="D852" s="56"/>
      <c r="E852" s="57"/>
      <c r="F852" s="58"/>
      <c r="G852" s="56"/>
      <c r="H852" s="56"/>
      <c r="I852" s="59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</row>
    <row r="853" spans="1:32" ht="57" customHeight="1" x14ac:dyDescent="0.25">
      <c r="A853" s="56"/>
      <c r="B853" s="56"/>
      <c r="C853" s="56"/>
      <c r="D853" s="56"/>
      <c r="E853" s="57"/>
      <c r="F853" s="58"/>
      <c r="G853" s="56"/>
      <c r="H853" s="56"/>
      <c r="I853" s="59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</row>
    <row r="854" spans="1:32" ht="57" customHeight="1" x14ac:dyDescent="0.25">
      <c r="A854" s="56"/>
      <c r="B854" s="56"/>
      <c r="C854" s="56"/>
      <c r="D854" s="56"/>
      <c r="E854" s="57"/>
      <c r="F854" s="58"/>
      <c r="G854" s="56"/>
      <c r="H854" s="56"/>
      <c r="I854" s="59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</row>
    <row r="855" spans="1:32" ht="57" customHeight="1" x14ac:dyDescent="0.25">
      <c r="A855" s="56"/>
      <c r="B855" s="56"/>
      <c r="C855" s="56"/>
      <c r="D855" s="56"/>
      <c r="E855" s="57"/>
      <c r="F855" s="58"/>
      <c r="G855" s="56"/>
      <c r="H855" s="56"/>
      <c r="I855" s="59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</row>
    <row r="856" spans="1:32" ht="57" customHeight="1" x14ac:dyDescent="0.25">
      <c r="A856" s="56"/>
      <c r="B856" s="56"/>
      <c r="C856" s="56"/>
      <c r="D856" s="56"/>
      <c r="E856" s="57"/>
      <c r="F856" s="58"/>
      <c r="G856" s="56"/>
      <c r="H856" s="56"/>
      <c r="I856" s="59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</row>
    <row r="857" spans="1:32" ht="57" customHeight="1" x14ac:dyDescent="0.25">
      <c r="A857" s="56"/>
      <c r="B857" s="56"/>
      <c r="C857" s="56"/>
      <c r="D857" s="56"/>
      <c r="E857" s="57"/>
      <c r="F857" s="58"/>
      <c r="G857" s="56"/>
      <c r="H857" s="56"/>
      <c r="I857" s="59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</row>
    <row r="858" spans="1:32" ht="57" customHeight="1" x14ac:dyDescent="0.25">
      <c r="A858" s="56"/>
      <c r="B858" s="56"/>
      <c r="C858" s="56"/>
      <c r="D858" s="56"/>
      <c r="E858" s="57"/>
      <c r="F858" s="58"/>
      <c r="G858" s="56"/>
      <c r="H858" s="56"/>
      <c r="I858" s="59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</row>
    <row r="859" spans="1:32" ht="57" customHeight="1" x14ac:dyDescent="0.25">
      <c r="A859" s="56"/>
      <c r="B859" s="56"/>
      <c r="C859" s="56"/>
      <c r="D859" s="56"/>
      <c r="E859" s="57"/>
      <c r="F859" s="58"/>
      <c r="G859" s="56"/>
      <c r="H859" s="56"/>
      <c r="I859" s="59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</row>
    <row r="860" spans="1:32" ht="57" customHeight="1" x14ac:dyDescent="0.25">
      <c r="A860" s="56"/>
      <c r="B860" s="56"/>
      <c r="C860" s="56"/>
      <c r="D860" s="56"/>
      <c r="E860" s="57"/>
      <c r="F860" s="58"/>
      <c r="G860" s="56"/>
      <c r="H860" s="56"/>
      <c r="I860" s="59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</row>
    <row r="861" spans="1:32" ht="57" customHeight="1" x14ac:dyDescent="0.25">
      <c r="A861" s="56"/>
      <c r="B861" s="56"/>
      <c r="C861" s="56"/>
      <c r="D861" s="56"/>
      <c r="E861" s="57"/>
      <c r="F861" s="58"/>
      <c r="G861" s="56"/>
      <c r="H861" s="56"/>
      <c r="I861" s="59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</row>
    <row r="862" spans="1:32" ht="57" customHeight="1" x14ac:dyDescent="0.25">
      <c r="A862" s="56"/>
      <c r="B862" s="56"/>
      <c r="C862" s="56"/>
      <c r="D862" s="56"/>
      <c r="E862" s="57"/>
      <c r="F862" s="58"/>
      <c r="G862" s="56"/>
      <c r="H862" s="56"/>
      <c r="I862" s="59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</row>
    <row r="863" spans="1:32" ht="57" customHeight="1" x14ac:dyDescent="0.25">
      <c r="A863" s="56"/>
      <c r="B863" s="56"/>
      <c r="C863" s="56"/>
      <c r="D863" s="56"/>
      <c r="E863" s="57"/>
      <c r="F863" s="58"/>
      <c r="G863" s="56"/>
      <c r="H863" s="56"/>
      <c r="I863" s="59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</row>
    <row r="864" spans="1:32" ht="57" customHeight="1" x14ac:dyDescent="0.25">
      <c r="A864" s="56"/>
      <c r="B864" s="56"/>
      <c r="C864" s="56"/>
      <c r="D864" s="56"/>
      <c r="E864" s="57"/>
      <c r="F864" s="58"/>
      <c r="G864" s="56"/>
      <c r="H864" s="56"/>
      <c r="I864" s="59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</row>
    <row r="865" spans="1:32" ht="57" customHeight="1" x14ac:dyDescent="0.25">
      <c r="A865" s="56"/>
      <c r="B865" s="56"/>
      <c r="C865" s="56"/>
      <c r="D865" s="56"/>
      <c r="E865" s="57"/>
      <c r="F865" s="58"/>
      <c r="G865" s="56"/>
      <c r="H865" s="56"/>
      <c r="I865" s="59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</row>
    <row r="866" spans="1:32" ht="57" customHeight="1" x14ac:dyDescent="0.25">
      <c r="A866" s="56"/>
      <c r="B866" s="56"/>
      <c r="C866" s="56"/>
      <c r="D866" s="56"/>
      <c r="E866" s="57"/>
      <c r="F866" s="58"/>
      <c r="G866" s="56"/>
      <c r="H866" s="56"/>
      <c r="I866" s="59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</row>
    <row r="867" spans="1:32" ht="57" customHeight="1" x14ac:dyDescent="0.25">
      <c r="A867" s="56"/>
      <c r="B867" s="56"/>
      <c r="C867" s="56"/>
      <c r="D867" s="56"/>
      <c r="E867" s="57"/>
      <c r="F867" s="58"/>
      <c r="G867" s="56"/>
      <c r="H867" s="56"/>
      <c r="I867" s="59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</row>
    <row r="868" spans="1:32" ht="57" customHeight="1" x14ac:dyDescent="0.25">
      <c r="A868" s="56"/>
      <c r="B868" s="56"/>
      <c r="C868" s="56"/>
      <c r="D868" s="56"/>
      <c r="E868" s="57"/>
      <c r="F868" s="58"/>
      <c r="G868" s="56"/>
      <c r="H868" s="56"/>
      <c r="I868" s="59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</row>
    <row r="869" spans="1:32" ht="57" customHeight="1" x14ac:dyDescent="0.25">
      <c r="A869" s="56"/>
      <c r="B869" s="56"/>
      <c r="C869" s="56"/>
      <c r="D869" s="56"/>
      <c r="E869" s="57"/>
      <c r="F869" s="58"/>
      <c r="G869" s="56"/>
      <c r="H869" s="56"/>
      <c r="I869" s="59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</row>
    <row r="870" spans="1:32" ht="57" customHeight="1" x14ac:dyDescent="0.25">
      <c r="A870" s="56"/>
      <c r="B870" s="56"/>
      <c r="C870" s="56"/>
      <c r="D870" s="56"/>
      <c r="E870" s="57"/>
      <c r="F870" s="58"/>
      <c r="G870" s="56"/>
      <c r="H870" s="56"/>
      <c r="I870" s="59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</row>
    <row r="871" spans="1:32" ht="57" customHeight="1" x14ac:dyDescent="0.25">
      <c r="A871" s="56"/>
      <c r="B871" s="56"/>
      <c r="C871" s="56"/>
      <c r="D871" s="56"/>
      <c r="E871" s="57"/>
      <c r="F871" s="58"/>
      <c r="G871" s="56"/>
      <c r="H871" s="56"/>
      <c r="I871" s="59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</row>
    <row r="872" spans="1:32" ht="57" customHeight="1" x14ac:dyDescent="0.25">
      <c r="A872" s="56"/>
      <c r="B872" s="56"/>
      <c r="C872" s="56"/>
      <c r="D872" s="56"/>
      <c r="E872" s="57"/>
      <c r="F872" s="58"/>
      <c r="G872" s="56"/>
      <c r="H872" s="56"/>
      <c r="I872" s="59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</row>
    <row r="873" spans="1:32" ht="57" customHeight="1" x14ac:dyDescent="0.25">
      <c r="A873" s="56"/>
      <c r="B873" s="56"/>
      <c r="C873" s="56"/>
      <c r="D873" s="56"/>
      <c r="E873" s="57"/>
      <c r="F873" s="58"/>
      <c r="G873" s="56"/>
      <c r="H873" s="56"/>
      <c r="I873" s="59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</row>
    <row r="874" spans="1:32" ht="57" customHeight="1" x14ac:dyDescent="0.25">
      <c r="A874" s="56"/>
      <c r="B874" s="56"/>
      <c r="C874" s="56"/>
      <c r="D874" s="56"/>
      <c r="E874" s="57"/>
      <c r="F874" s="58"/>
      <c r="G874" s="56"/>
      <c r="H874" s="56"/>
      <c r="I874" s="59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</row>
    <row r="875" spans="1:32" ht="57" customHeight="1" x14ac:dyDescent="0.25">
      <c r="A875" s="56"/>
      <c r="B875" s="56"/>
      <c r="C875" s="56"/>
      <c r="D875" s="56"/>
      <c r="E875" s="57"/>
      <c r="F875" s="58"/>
      <c r="G875" s="56"/>
      <c r="H875" s="56"/>
      <c r="I875" s="59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</row>
    <row r="876" spans="1:32" ht="57" customHeight="1" x14ac:dyDescent="0.25">
      <c r="A876" s="56"/>
      <c r="B876" s="56"/>
      <c r="C876" s="56"/>
      <c r="D876" s="56"/>
      <c r="E876" s="57"/>
      <c r="F876" s="58"/>
      <c r="G876" s="56"/>
      <c r="H876" s="56"/>
      <c r="I876" s="59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</row>
    <row r="877" spans="1:32" ht="57" customHeight="1" x14ac:dyDescent="0.25">
      <c r="A877" s="56"/>
      <c r="B877" s="56"/>
      <c r="C877" s="56"/>
      <c r="D877" s="56"/>
      <c r="E877" s="57"/>
      <c r="F877" s="58"/>
      <c r="G877" s="56"/>
      <c r="H877" s="56"/>
      <c r="I877" s="59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</row>
    <row r="878" spans="1:32" ht="57" customHeight="1" x14ac:dyDescent="0.25">
      <c r="A878" s="56"/>
      <c r="B878" s="56"/>
      <c r="C878" s="56"/>
      <c r="D878" s="56"/>
      <c r="E878" s="57"/>
      <c r="F878" s="58"/>
      <c r="G878" s="56"/>
      <c r="H878" s="56"/>
      <c r="I878" s="59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</row>
    <row r="879" spans="1:32" ht="57" customHeight="1" x14ac:dyDescent="0.25">
      <c r="A879" s="56"/>
      <c r="B879" s="56"/>
      <c r="C879" s="56"/>
      <c r="D879" s="56"/>
      <c r="E879" s="57"/>
      <c r="F879" s="58"/>
      <c r="G879" s="56"/>
      <c r="H879" s="56"/>
      <c r="I879" s="59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</row>
    <row r="880" spans="1:32" ht="57" customHeight="1" x14ac:dyDescent="0.25">
      <c r="A880" s="56"/>
      <c r="B880" s="56"/>
      <c r="C880" s="56"/>
      <c r="D880" s="56"/>
      <c r="E880" s="57"/>
      <c r="F880" s="58"/>
      <c r="G880" s="56"/>
      <c r="H880" s="56"/>
      <c r="I880" s="59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</row>
    <row r="881" spans="1:32" ht="57" customHeight="1" x14ac:dyDescent="0.25">
      <c r="A881" s="56"/>
      <c r="B881" s="56"/>
      <c r="C881" s="56"/>
      <c r="D881" s="56"/>
      <c r="E881" s="57"/>
      <c r="F881" s="58"/>
      <c r="G881" s="56"/>
      <c r="H881" s="56"/>
      <c r="I881" s="59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</row>
    <row r="882" spans="1:32" ht="57" customHeight="1" x14ac:dyDescent="0.25">
      <c r="A882" s="56"/>
      <c r="B882" s="56"/>
      <c r="C882" s="56"/>
      <c r="D882" s="56"/>
      <c r="E882" s="57"/>
      <c r="F882" s="58"/>
      <c r="G882" s="56"/>
      <c r="H882" s="56"/>
      <c r="I882" s="59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</row>
    <row r="883" spans="1:32" ht="57" customHeight="1" x14ac:dyDescent="0.25">
      <c r="A883" s="56"/>
      <c r="B883" s="56"/>
      <c r="C883" s="56"/>
      <c r="D883" s="56"/>
      <c r="E883" s="57"/>
      <c r="F883" s="58"/>
      <c r="G883" s="56"/>
      <c r="H883" s="56"/>
      <c r="I883" s="59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</row>
    <row r="884" spans="1:32" ht="57" customHeight="1" x14ac:dyDescent="0.25">
      <c r="A884" s="56"/>
      <c r="B884" s="56"/>
      <c r="C884" s="56"/>
      <c r="D884" s="56"/>
      <c r="E884" s="57"/>
      <c r="F884" s="58"/>
      <c r="G884" s="56"/>
      <c r="H884" s="56"/>
      <c r="I884" s="59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</row>
    <row r="885" spans="1:32" ht="57" customHeight="1" x14ac:dyDescent="0.25">
      <c r="A885" s="56"/>
      <c r="B885" s="56"/>
      <c r="C885" s="56"/>
      <c r="D885" s="56"/>
      <c r="E885" s="57"/>
      <c r="F885" s="58"/>
      <c r="G885" s="56"/>
      <c r="H885" s="56"/>
      <c r="I885" s="59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</row>
    <row r="886" spans="1:32" ht="57" customHeight="1" x14ac:dyDescent="0.25">
      <c r="A886" s="56"/>
      <c r="B886" s="56"/>
      <c r="C886" s="56"/>
      <c r="D886" s="56"/>
      <c r="E886" s="57"/>
      <c r="F886" s="58"/>
      <c r="G886" s="56"/>
      <c r="H886" s="56"/>
      <c r="I886" s="59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</row>
    <row r="887" spans="1:32" ht="57" customHeight="1" x14ac:dyDescent="0.25">
      <c r="A887" s="56"/>
      <c r="B887" s="56"/>
      <c r="C887" s="56"/>
      <c r="D887" s="56"/>
      <c r="E887" s="57"/>
      <c r="F887" s="58"/>
      <c r="G887" s="56"/>
      <c r="H887" s="56"/>
      <c r="I887" s="59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</row>
    <row r="888" spans="1:32" ht="57" customHeight="1" x14ac:dyDescent="0.25">
      <c r="A888" s="56"/>
      <c r="B888" s="56"/>
      <c r="C888" s="56"/>
      <c r="D888" s="56"/>
      <c r="E888" s="57"/>
      <c r="F888" s="58"/>
      <c r="G888" s="56"/>
      <c r="H888" s="56"/>
      <c r="I888" s="59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</row>
    <row r="889" spans="1:32" ht="57" customHeight="1" x14ac:dyDescent="0.25">
      <c r="A889" s="56"/>
      <c r="B889" s="56"/>
      <c r="C889" s="56"/>
      <c r="D889" s="56"/>
      <c r="E889" s="57"/>
      <c r="F889" s="58"/>
      <c r="G889" s="56"/>
      <c r="H889" s="56"/>
      <c r="I889" s="59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</row>
    <row r="890" spans="1:32" ht="57" customHeight="1" x14ac:dyDescent="0.25">
      <c r="A890" s="56"/>
      <c r="B890" s="56"/>
      <c r="C890" s="56"/>
      <c r="D890" s="56"/>
      <c r="E890" s="57"/>
      <c r="F890" s="58"/>
      <c r="G890" s="56"/>
      <c r="H890" s="56"/>
      <c r="I890" s="59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</row>
    <row r="891" spans="1:32" ht="57" customHeight="1" x14ac:dyDescent="0.25">
      <c r="A891" s="56"/>
      <c r="B891" s="56"/>
      <c r="C891" s="56"/>
      <c r="D891" s="56"/>
      <c r="E891" s="57"/>
      <c r="F891" s="58"/>
      <c r="G891" s="56"/>
      <c r="H891" s="56"/>
      <c r="I891" s="59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</row>
    <row r="892" spans="1:32" ht="57" customHeight="1" x14ac:dyDescent="0.25">
      <c r="A892" s="56"/>
      <c r="B892" s="56"/>
      <c r="C892" s="56"/>
      <c r="D892" s="56"/>
      <c r="E892" s="57"/>
      <c r="F892" s="58"/>
      <c r="G892" s="56"/>
      <c r="H892" s="56"/>
      <c r="I892" s="59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</row>
    <row r="893" spans="1:32" ht="57" customHeight="1" x14ac:dyDescent="0.25">
      <c r="A893" s="56"/>
      <c r="B893" s="56"/>
      <c r="C893" s="56"/>
      <c r="D893" s="56"/>
      <c r="E893" s="57"/>
      <c r="F893" s="58"/>
      <c r="G893" s="56"/>
      <c r="H893" s="56"/>
      <c r="I893" s="59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</row>
    <row r="894" spans="1:32" ht="57" customHeight="1" x14ac:dyDescent="0.25">
      <c r="A894" s="56"/>
      <c r="B894" s="56"/>
      <c r="C894" s="56"/>
      <c r="D894" s="56"/>
      <c r="E894" s="57"/>
      <c r="F894" s="58"/>
      <c r="G894" s="56"/>
      <c r="H894" s="56"/>
      <c r="I894" s="59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</row>
    <row r="895" spans="1:32" ht="57" customHeight="1" x14ac:dyDescent="0.25">
      <c r="A895" s="56"/>
      <c r="B895" s="56"/>
      <c r="C895" s="56"/>
      <c r="D895" s="56"/>
      <c r="E895" s="57"/>
      <c r="F895" s="58"/>
      <c r="G895" s="56"/>
      <c r="H895" s="56"/>
      <c r="I895" s="59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</row>
    <row r="896" spans="1:32" ht="57" customHeight="1" x14ac:dyDescent="0.25">
      <c r="A896" s="56"/>
      <c r="B896" s="56"/>
      <c r="C896" s="56"/>
      <c r="D896" s="56"/>
      <c r="E896" s="57"/>
      <c r="F896" s="58"/>
      <c r="G896" s="56"/>
      <c r="H896" s="56"/>
      <c r="I896" s="59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</row>
    <row r="897" spans="1:32" ht="57" customHeight="1" x14ac:dyDescent="0.25">
      <c r="A897" s="56"/>
      <c r="B897" s="56"/>
      <c r="C897" s="56"/>
      <c r="D897" s="56"/>
      <c r="E897" s="57"/>
      <c r="F897" s="58"/>
      <c r="G897" s="56"/>
      <c r="H897" s="56"/>
      <c r="I897" s="59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</row>
    <row r="898" spans="1:32" ht="57" customHeight="1" x14ac:dyDescent="0.25">
      <c r="A898" s="56"/>
      <c r="B898" s="56"/>
      <c r="C898" s="56"/>
      <c r="D898" s="56"/>
      <c r="E898" s="57"/>
      <c r="F898" s="58"/>
      <c r="G898" s="56"/>
      <c r="H898" s="56"/>
      <c r="I898" s="59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</row>
    <row r="899" spans="1:32" ht="57" customHeight="1" x14ac:dyDescent="0.25">
      <c r="A899" s="56"/>
      <c r="B899" s="56"/>
      <c r="C899" s="56"/>
      <c r="D899" s="56"/>
      <c r="E899" s="57"/>
      <c r="F899" s="58"/>
      <c r="G899" s="56"/>
      <c r="H899" s="56"/>
      <c r="I899" s="59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</row>
    <row r="900" spans="1:32" ht="57" customHeight="1" x14ac:dyDescent="0.25">
      <c r="A900" s="56"/>
      <c r="B900" s="56"/>
      <c r="C900" s="56"/>
      <c r="D900" s="56"/>
      <c r="E900" s="57"/>
      <c r="F900" s="58"/>
      <c r="G900" s="56"/>
      <c r="H900" s="56"/>
      <c r="I900" s="59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</row>
    <row r="901" spans="1:32" ht="57" customHeight="1" x14ac:dyDescent="0.25">
      <c r="A901" s="56"/>
      <c r="B901" s="56"/>
      <c r="C901" s="56"/>
      <c r="D901" s="56"/>
      <c r="E901" s="57"/>
      <c r="F901" s="58"/>
      <c r="G901" s="56"/>
      <c r="H901" s="56"/>
      <c r="I901" s="59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</row>
    <row r="902" spans="1:32" ht="57" customHeight="1" x14ac:dyDescent="0.25">
      <c r="A902" s="56"/>
      <c r="B902" s="56"/>
      <c r="C902" s="56"/>
      <c r="D902" s="56"/>
      <c r="E902" s="57"/>
      <c r="F902" s="58"/>
      <c r="G902" s="56"/>
      <c r="H902" s="56"/>
      <c r="I902" s="59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</row>
    <row r="903" spans="1:32" ht="57" customHeight="1" x14ac:dyDescent="0.25">
      <c r="A903" s="56"/>
      <c r="B903" s="56"/>
      <c r="C903" s="56"/>
      <c r="D903" s="56"/>
      <c r="E903" s="57"/>
      <c r="F903" s="58"/>
      <c r="G903" s="56"/>
      <c r="H903" s="56"/>
      <c r="I903" s="59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</row>
    <row r="904" spans="1:32" ht="57" customHeight="1" x14ac:dyDescent="0.25">
      <c r="A904" s="56"/>
      <c r="B904" s="56"/>
      <c r="C904" s="56"/>
      <c r="D904" s="56"/>
      <c r="E904" s="57"/>
      <c r="F904" s="58"/>
      <c r="G904" s="56"/>
      <c r="H904" s="56"/>
      <c r="I904" s="59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</row>
    <row r="905" spans="1:32" ht="57" customHeight="1" x14ac:dyDescent="0.25">
      <c r="A905" s="56"/>
      <c r="B905" s="56"/>
      <c r="C905" s="56"/>
      <c r="D905" s="56"/>
      <c r="E905" s="57"/>
      <c r="F905" s="58"/>
      <c r="G905" s="56"/>
      <c r="H905" s="56"/>
      <c r="I905" s="59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</row>
    <row r="906" spans="1:32" ht="57" customHeight="1" x14ac:dyDescent="0.25">
      <c r="A906" s="56"/>
      <c r="B906" s="56"/>
      <c r="C906" s="56"/>
      <c r="D906" s="56"/>
      <c r="E906" s="57"/>
      <c r="F906" s="58"/>
      <c r="G906" s="56"/>
      <c r="H906" s="56"/>
      <c r="I906" s="59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</row>
    <row r="907" spans="1:32" ht="57" customHeight="1" x14ac:dyDescent="0.25">
      <c r="A907" s="56"/>
      <c r="B907" s="56"/>
      <c r="C907" s="56"/>
      <c r="D907" s="56"/>
      <c r="E907" s="57"/>
      <c r="F907" s="58"/>
      <c r="G907" s="56"/>
      <c r="H907" s="56"/>
      <c r="I907" s="59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</row>
    <row r="908" spans="1:32" ht="57" customHeight="1" x14ac:dyDescent="0.25">
      <c r="A908" s="56"/>
      <c r="B908" s="56"/>
      <c r="C908" s="56"/>
      <c r="D908" s="56"/>
      <c r="E908" s="57"/>
      <c r="F908" s="58"/>
      <c r="G908" s="56"/>
      <c r="H908" s="56"/>
      <c r="I908" s="59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</row>
    <row r="909" spans="1:32" ht="57" customHeight="1" x14ac:dyDescent="0.25">
      <c r="A909" s="56"/>
      <c r="B909" s="56"/>
      <c r="C909" s="56"/>
      <c r="D909" s="56"/>
      <c r="E909" s="57"/>
      <c r="F909" s="58"/>
      <c r="G909" s="56"/>
      <c r="H909" s="56"/>
      <c r="I909" s="59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</row>
    <row r="910" spans="1:32" ht="57" customHeight="1" x14ac:dyDescent="0.25">
      <c r="A910" s="56"/>
      <c r="B910" s="56"/>
      <c r="C910" s="56"/>
      <c r="D910" s="56"/>
      <c r="E910" s="57"/>
      <c r="F910" s="58"/>
      <c r="G910" s="56"/>
      <c r="H910" s="56"/>
      <c r="I910" s="59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</row>
    <row r="911" spans="1:32" ht="57" customHeight="1" x14ac:dyDescent="0.25">
      <c r="A911" s="56"/>
      <c r="B911" s="56"/>
      <c r="C911" s="56"/>
      <c r="D911" s="56"/>
      <c r="E911" s="57"/>
      <c r="F911" s="58"/>
      <c r="G911" s="56"/>
      <c r="H911" s="56"/>
      <c r="I911" s="59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</row>
    <row r="912" spans="1:32" ht="57" customHeight="1" x14ac:dyDescent="0.25">
      <c r="A912" s="56"/>
      <c r="B912" s="56"/>
      <c r="C912" s="56"/>
      <c r="D912" s="56"/>
      <c r="E912" s="57"/>
      <c r="F912" s="58"/>
      <c r="G912" s="56"/>
      <c r="H912" s="56"/>
      <c r="I912" s="59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</row>
    <row r="913" spans="1:32" ht="57" customHeight="1" x14ac:dyDescent="0.25">
      <c r="A913" s="56"/>
      <c r="B913" s="56"/>
      <c r="C913" s="56"/>
      <c r="D913" s="56"/>
      <c r="E913" s="57"/>
      <c r="F913" s="58"/>
      <c r="G913" s="56"/>
      <c r="H913" s="56"/>
      <c r="I913" s="59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</row>
    <row r="914" spans="1:32" ht="57" customHeight="1" x14ac:dyDescent="0.25">
      <c r="A914" s="56"/>
      <c r="B914" s="56"/>
      <c r="C914" s="56"/>
      <c r="D914" s="56"/>
      <c r="E914" s="57"/>
      <c r="F914" s="58"/>
      <c r="G914" s="56"/>
      <c r="H914" s="56"/>
      <c r="I914" s="59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</row>
    <row r="915" spans="1:32" ht="57" customHeight="1" x14ac:dyDescent="0.25">
      <c r="A915" s="56"/>
      <c r="B915" s="56"/>
      <c r="C915" s="56"/>
      <c r="D915" s="56"/>
      <c r="E915" s="57"/>
      <c r="F915" s="58"/>
      <c r="G915" s="56"/>
      <c r="H915" s="56"/>
      <c r="I915" s="59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</row>
    <row r="916" spans="1:32" ht="57" customHeight="1" x14ac:dyDescent="0.25">
      <c r="A916" s="56"/>
      <c r="B916" s="56"/>
      <c r="C916" s="56"/>
      <c r="D916" s="56"/>
      <c r="E916" s="57"/>
      <c r="F916" s="58"/>
      <c r="G916" s="56"/>
      <c r="H916" s="56"/>
      <c r="I916" s="59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</row>
    <row r="917" spans="1:32" ht="57" customHeight="1" x14ac:dyDescent="0.25">
      <c r="A917" s="56"/>
      <c r="B917" s="56"/>
      <c r="C917" s="56"/>
      <c r="D917" s="56"/>
      <c r="E917" s="57"/>
      <c r="F917" s="58"/>
      <c r="G917" s="56"/>
      <c r="H917" s="56"/>
      <c r="I917" s="59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</row>
    <row r="918" spans="1:32" ht="57" customHeight="1" x14ac:dyDescent="0.25">
      <c r="A918" s="56"/>
      <c r="B918" s="56"/>
      <c r="C918" s="56"/>
      <c r="D918" s="56"/>
      <c r="E918" s="57"/>
      <c r="F918" s="58"/>
      <c r="G918" s="56"/>
      <c r="H918" s="56"/>
      <c r="I918" s="59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</row>
    <row r="919" spans="1:32" ht="57" customHeight="1" x14ac:dyDescent="0.25">
      <c r="A919" s="56"/>
      <c r="B919" s="56"/>
      <c r="C919" s="56"/>
      <c r="D919" s="56"/>
      <c r="E919" s="57"/>
      <c r="F919" s="58"/>
      <c r="G919" s="56"/>
      <c r="H919" s="56"/>
      <c r="I919" s="59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</row>
    <row r="920" spans="1:32" ht="57" customHeight="1" x14ac:dyDescent="0.25">
      <c r="A920" s="56"/>
      <c r="B920" s="56"/>
      <c r="C920" s="56"/>
      <c r="D920" s="56"/>
      <c r="E920" s="57"/>
      <c r="F920" s="58"/>
      <c r="G920" s="56"/>
      <c r="H920" s="56"/>
      <c r="I920" s="59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</row>
    <row r="921" spans="1:32" ht="57" customHeight="1" x14ac:dyDescent="0.25">
      <c r="A921" s="56"/>
      <c r="B921" s="56"/>
      <c r="C921" s="56"/>
      <c r="D921" s="56"/>
      <c r="E921" s="57"/>
      <c r="F921" s="58"/>
      <c r="G921" s="56"/>
      <c r="H921" s="56"/>
      <c r="I921" s="59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</row>
    <row r="922" spans="1:32" ht="57" customHeight="1" x14ac:dyDescent="0.25">
      <c r="A922" s="56"/>
      <c r="B922" s="56"/>
      <c r="C922" s="56"/>
      <c r="D922" s="56"/>
      <c r="E922" s="57"/>
      <c r="F922" s="58"/>
      <c r="G922" s="56"/>
      <c r="H922" s="56"/>
      <c r="I922" s="59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</row>
    <row r="923" spans="1:32" ht="57" customHeight="1" x14ac:dyDescent="0.25">
      <c r="A923" s="56"/>
      <c r="B923" s="56"/>
      <c r="C923" s="56"/>
      <c r="D923" s="56"/>
      <c r="E923" s="57"/>
      <c r="F923" s="58"/>
      <c r="G923" s="56"/>
      <c r="H923" s="56"/>
      <c r="I923" s="59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</row>
    <row r="924" spans="1:32" ht="57" customHeight="1" x14ac:dyDescent="0.25">
      <c r="A924" s="56"/>
      <c r="B924" s="56"/>
      <c r="C924" s="56"/>
      <c r="D924" s="56"/>
      <c r="E924" s="57"/>
      <c r="F924" s="58"/>
      <c r="G924" s="56"/>
      <c r="H924" s="56"/>
      <c r="I924" s="59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</row>
    <row r="925" spans="1:32" ht="57" customHeight="1" x14ac:dyDescent="0.25">
      <c r="A925" s="56"/>
      <c r="B925" s="56"/>
      <c r="C925" s="56"/>
      <c r="D925" s="56"/>
      <c r="E925" s="57"/>
      <c r="F925" s="58"/>
      <c r="G925" s="56"/>
      <c r="H925" s="56"/>
      <c r="I925" s="59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</row>
    <row r="926" spans="1:32" ht="57" customHeight="1" x14ac:dyDescent="0.25">
      <c r="A926" s="56"/>
      <c r="B926" s="56"/>
      <c r="C926" s="56"/>
      <c r="D926" s="56"/>
      <c r="E926" s="57"/>
      <c r="F926" s="58"/>
      <c r="G926" s="56"/>
      <c r="H926" s="56"/>
      <c r="I926" s="59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</row>
    <row r="927" spans="1:32" ht="57" customHeight="1" x14ac:dyDescent="0.25">
      <c r="A927" s="56"/>
      <c r="B927" s="56"/>
      <c r="C927" s="56"/>
      <c r="D927" s="56"/>
      <c r="E927" s="57"/>
      <c r="F927" s="58"/>
      <c r="G927" s="56"/>
      <c r="H927" s="56"/>
      <c r="I927" s="59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</row>
    <row r="928" spans="1:32" ht="57" customHeight="1" x14ac:dyDescent="0.25">
      <c r="A928" s="56"/>
      <c r="B928" s="56"/>
      <c r="C928" s="56"/>
      <c r="D928" s="56"/>
      <c r="E928" s="57"/>
      <c r="F928" s="58"/>
      <c r="G928" s="56"/>
      <c r="H928" s="56"/>
      <c r="I928" s="59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</row>
    <row r="929" spans="1:32" ht="57" customHeight="1" x14ac:dyDescent="0.25">
      <c r="A929" s="56"/>
      <c r="B929" s="56"/>
      <c r="C929" s="56"/>
      <c r="D929" s="56"/>
      <c r="E929" s="57"/>
      <c r="F929" s="58"/>
      <c r="G929" s="56"/>
      <c r="H929" s="56"/>
      <c r="I929" s="59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</row>
    <row r="930" spans="1:32" ht="57" customHeight="1" x14ac:dyDescent="0.25">
      <c r="A930" s="56"/>
      <c r="B930" s="56"/>
      <c r="C930" s="56"/>
      <c r="D930" s="56"/>
      <c r="E930" s="57"/>
      <c r="F930" s="58"/>
      <c r="G930" s="56"/>
      <c r="H930" s="56"/>
      <c r="I930" s="59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</row>
    <row r="931" spans="1:32" ht="57" customHeight="1" x14ac:dyDescent="0.25">
      <c r="A931" s="56"/>
      <c r="B931" s="56"/>
      <c r="C931" s="56"/>
      <c r="D931" s="56"/>
      <c r="E931" s="57"/>
      <c r="F931" s="58"/>
      <c r="G931" s="56"/>
      <c r="H931" s="56"/>
      <c r="I931" s="59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</row>
    <row r="932" spans="1:32" ht="57" customHeight="1" x14ac:dyDescent="0.25">
      <c r="A932" s="56"/>
      <c r="B932" s="56"/>
      <c r="C932" s="56"/>
      <c r="D932" s="56"/>
      <c r="E932" s="57"/>
      <c r="F932" s="58"/>
      <c r="G932" s="56"/>
      <c r="H932" s="56"/>
      <c r="I932" s="59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</row>
    <row r="933" spans="1:32" ht="57" customHeight="1" x14ac:dyDescent="0.25">
      <c r="A933" s="56"/>
      <c r="B933" s="56"/>
      <c r="C933" s="56"/>
      <c r="D933" s="56"/>
      <c r="E933" s="57"/>
      <c r="F933" s="58"/>
      <c r="G933" s="56"/>
      <c r="H933" s="56"/>
      <c r="I933" s="59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</row>
    <row r="934" spans="1:32" ht="57" customHeight="1" x14ac:dyDescent="0.25">
      <c r="A934" s="56"/>
      <c r="B934" s="56"/>
      <c r="C934" s="56"/>
      <c r="D934" s="56"/>
      <c r="E934" s="57"/>
      <c r="F934" s="58"/>
      <c r="G934" s="56"/>
      <c r="H934" s="56"/>
      <c r="I934" s="59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</row>
    <row r="935" spans="1:32" ht="57" customHeight="1" x14ac:dyDescent="0.25">
      <c r="A935" s="56"/>
      <c r="B935" s="56"/>
      <c r="C935" s="56"/>
      <c r="D935" s="56"/>
      <c r="E935" s="57"/>
      <c r="F935" s="58"/>
      <c r="G935" s="56"/>
      <c r="H935" s="56"/>
      <c r="I935" s="59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</row>
    <row r="936" spans="1:32" ht="57" customHeight="1" x14ac:dyDescent="0.25">
      <c r="A936" s="56"/>
      <c r="B936" s="56"/>
      <c r="C936" s="56"/>
      <c r="D936" s="56"/>
      <c r="E936" s="57"/>
      <c r="F936" s="58"/>
      <c r="G936" s="56"/>
      <c r="H936" s="56"/>
      <c r="I936" s="59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</row>
    <row r="937" spans="1:32" ht="57" customHeight="1" x14ac:dyDescent="0.25">
      <c r="A937" s="56"/>
      <c r="B937" s="56"/>
      <c r="C937" s="56"/>
      <c r="D937" s="56"/>
      <c r="E937" s="57"/>
      <c r="F937" s="58"/>
      <c r="G937" s="56"/>
      <c r="H937" s="56"/>
      <c r="I937" s="59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</row>
    <row r="938" spans="1:32" ht="57" customHeight="1" x14ac:dyDescent="0.25">
      <c r="A938" s="56"/>
      <c r="B938" s="56"/>
      <c r="C938" s="56"/>
      <c r="D938" s="56"/>
      <c r="E938" s="57"/>
      <c r="F938" s="58"/>
      <c r="G938" s="56"/>
      <c r="H938" s="56"/>
      <c r="I938" s="59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</row>
    <row r="939" spans="1:32" ht="57" customHeight="1" x14ac:dyDescent="0.25">
      <c r="A939" s="56"/>
      <c r="B939" s="56"/>
      <c r="C939" s="56"/>
      <c r="D939" s="56"/>
      <c r="E939" s="57"/>
      <c r="F939" s="58"/>
      <c r="G939" s="56"/>
      <c r="H939" s="56"/>
      <c r="I939" s="59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</row>
    <row r="940" spans="1:32" ht="57" customHeight="1" x14ac:dyDescent="0.25">
      <c r="A940" s="56"/>
      <c r="B940" s="56"/>
      <c r="C940" s="56"/>
      <c r="D940" s="56"/>
      <c r="E940" s="57"/>
      <c r="F940" s="58"/>
      <c r="G940" s="56"/>
      <c r="H940" s="56"/>
      <c r="I940" s="59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</row>
    <row r="941" spans="1:32" ht="57" customHeight="1" x14ac:dyDescent="0.25">
      <c r="A941" s="56"/>
      <c r="B941" s="56"/>
      <c r="C941" s="56"/>
      <c r="D941" s="56"/>
      <c r="E941" s="57"/>
      <c r="F941" s="58"/>
      <c r="G941" s="56"/>
      <c r="H941" s="56"/>
      <c r="I941" s="59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</row>
    <row r="942" spans="1:32" ht="57" customHeight="1" x14ac:dyDescent="0.25">
      <c r="A942" s="56"/>
      <c r="B942" s="56"/>
      <c r="C942" s="56"/>
      <c r="D942" s="56"/>
      <c r="E942" s="57"/>
      <c r="F942" s="58"/>
      <c r="G942" s="56"/>
      <c r="H942" s="56"/>
      <c r="I942" s="59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</row>
    <row r="943" spans="1:32" ht="57" customHeight="1" x14ac:dyDescent="0.25">
      <c r="A943" s="56"/>
      <c r="B943" s="56"/>
      <c r="C943" s="56"/>
      <c r="D943" s="56"/>
      <c r="E943" s="57"/>
      <c r="F943" s="58"/>
      <c r="G943" s="56"/>
      <c r="H943" s="56"/>
      <c r="I943" s="59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</row>
    <row r="944" spans="1:32" ht="57" customHeight="1" x14ac:dyDescent="0.25">
      <c r="A944" s="56"/>
      <c r="B944" s="56"/>
      <c r="C944" s="56"/>
      <c r="D944" s="56"/>
      <c r="E944" s="57"/>
      <c r="F944" s="58"/>
      <c r="G944" s="56"/>
      <c r="H944" s="56"/>
      <c r="I944" s="59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</row>
    <row r="945" spans="1:32" ht="57" customHeight="1" x14ac:dyDescent="0.25">
      <c r="A945" s="56"/>
      <c r="B945" s="56"/>
      <c r="C945" s="56"/>
      <c r="D945" s="56"/>
      <c r="E945" s="57"/>
      <c r="F945" s="58"/>
      <c r="G945" s="56"/>
      <c r="H945" s="56"/>
      <c r="I945" s="59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</row>
    <row r="946" spans="1:32" ht="57" customHeight="1" x14ac:dyDescent="0.25">
      <c r="A946" s="56"/>
      <c r="B946" s="56"/>
      <c r="C946" s="56"/>
      <c r="D946" s="56"/>
      <c r="E946" s="57"/>
      <c r="F946" s="58"/>
      <c r="G946" s="56"/>
      <c r="H946" s="56"/>
      <c r="I946" s="59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</row>
    <row r="947" spans="1:32" ht="57" customHeight="1" x14ac:dyDescent="0.25">
      <c r="A947" s="56"/>
      <c r="B947" s="56"/>
      <c r="C947" s="56"/>
      <c r="D947" s="56"/>
      <c r="E947" s="57"/>
      <c r="F947" s="58"/>
      <c r="G947" s="56"/>
      <c r="H947" s="56"/>
      <c r="I947" s="59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</row>
    <row r="948" spans="1:32" ht="57" customHeight="1" x14ac:dyDescent="0.25">
      <c r="A948" s="56"/>
      <c r="B948" s="56"/>
      <c r="C948" s="56"/>
      <c r="D948" s="56"/>
      <c r="E948" s="57"/>
      <c r="F948" s="58"/>
      <c r="G948" s="56"/>
      <c r="H948" s="56"/>
      <c r="I948" s="59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</row>
    <row r="949" spans="1:32" ht="57" customHeight="1" x14ac:dyDescent="0.25">
      <c r="A949" s="56"/>
      <c r="B949" s="56"/>
      <c r="C949" s="56"/>
      <c r="D949" s="56"/>
      <c r="E949" s="57"/>
      <c r="F949" s="58"/>
      <c r="G949" s="56"/>
      <c r="H949" s="56"/>
      <c r="I949" s="59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</row>
    <row r="950" spans="1:32" ht="57" customHeight="1" x14ac:dyDescent="0.25">
      <c r="A950" s="56"/>
      <c r="B950" s="56"/>
      <c r="C950" s="56"/>
      <c r="D950" s="56"/>
      <c r="E950" s="57"/>
      <c r="F950" s="58"/>
      <c r="G950" s="56"/>
      <c r="H950" s="56"/>
      <c r="I950" s="59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</row>
    <row r="951" spans="1:32" ht="57" customHeight="1" x14ac:dyDescent="0.25">
      <c r="A951" s="56"/>
      <c r="B951" s="56"/>
      <c r="C951" s="56"/>
      <c r="D951" s="56"/>
      <c r="E951" s="57"/>
      <c r="F951" s="58"/>
      <c r="G951" s="56"/>
      <c r="H951" s="56"/>
      <c r="I951" s="59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</row>
    <row r="952" spans="1:32" ht="57" customHeight="1" x14ac:dyDescent="0.25">
      <c r="A952" s="56"/>
      <c r="B952" s="56"/>
      <c r="C952" s="56"/>
      <c r="D952" s="56"/>
      <c r="E952" s="57"/>
      <c r="F952" s="58"/>
      <c r="G952" s="56"/>
      <c r="H952" s="56"/>
      <c r="I952" s="59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</row>
    <row r="953" spans="1:32" ht="57" customHeight="1" x14ac:dyDescent="0.25">
      <c r="A953" s="56"/>
      <c r="B953" s="56"/>
      <c r="C953" s="56"/>
      <c r="D953" s="56"/>
      <c r="E953" s="57"/>
      <c r="F953" s="58"/>
      <c r="G953" s="56"/>
      <c r="H953" s="56"/>
      <c r="I953" s="59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</row>
    <row r="954" spans="1:32" ht="57" customHeight="1" x14ac:dyDescent="0.25">
      <c r="A954" s="56"/>
      <c r="B954" s="56"/>
      <c r="C954" s="56"/>
      <c r="D954" s="56"/>
      <c r="E954" s="57"/>
      <c r="F954" s="58"/>
      <c r="G954" s="56"/>
      <c r="H954" s="56"/>
      <c r="I954" s="59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</row>
    <row r="955" spans="1:32" ht="57" customHeight="1" x14ac:dyDescent="0.25">
      <c r="A955" s="56"/>
      <c r="B955" s="56"/>
      <c r="C955" s="56"/>
      <c r="D955" s="56"/>
      <c r="E955" s="57"/>
      <c r="F955" s="58"/>
      <c r="G955" s="56"/>
      <c r="H955" s="56"/>
      <c r="I955" s="59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</row>
    <row r="956" spans="1:32" ht="57" customHeight="1" x14ac:dyDescent="0.25">
      <c r="A956" s="56"/>
      <c r="B956" s="56"/>
      <c r="C956" s="56"/>
      <c r="D956" s="56"/>
      <c r="E956" s="57"/>
      <c r="F956" s="58"/>
      <c r="G956" s="56"/>
      <c r="H956" s="56"/>
      <c r="I956" s="59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</row>
    <row r="957" spans="1:32" ht="57" customHeight="1" x14ac:dyDescent="0.25">
      <c r="A957" s="56"/>
      <c r="B957" s="56"/>
      <c r="C957" s="56"/>
      <c r="D957" s="56"/>
      <c r="E957" s="57"/>
      <c r="F957" s="58"/>
      <c r="G957" s="56"/>
      <c r="H957" s="56"/>
      <c r="I957" s="59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</row>
    <row r="958" spans="1:32" ht="57" customHeight="1" x14ac:dyDescent="0.25">
      <c r="A958" s="56"/>
      <c r="B958" s="56"/>
      <c r="C958" s="56"/>
      <c r="D958" s="56"/>
      <c r="E958" s="57"/>
      <c r="F958" s="58"/>
      <c r="G958" s="56"/>
      <c r="H958" s="56"/>
      <c r="I958" s="59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</row>
    <row r="959" spans="1:32" ht="57" customHeight="1" x14ac:dyDescent="0.25">
      <c r="A959" s="56"/>
      <c r="B959" s="56"/>
      <c r="C959" s="56"/>
      <c r="D959" s="56"/>
      <c r="E959" s="57"/>
      <c r="F959" s="58"/>
      <c r="G959" s="56"/>
      <c r="H959" s="56"/>
      <c r="I959" s="59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</row>
    <row r="960" spans="1:32" ht="57" customHeight="1" x14ac:dyDescent="0.25">
      <c r="A960" s="56"/>
      <c r="B960" s="56"/>
      <c r="C960" s="56"/>
      <c r="D960" s="56"/>
      <c r="E960" s="57"/>
      <c r="F960" s="58"/>
      <c r="G960" s="56"/>
      <c r="H960" s="56"/>
      <c r="I960" s="59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</row>
    <row r="961" spans="1:32" ht="57" customHeight="1" x14ac:dyDescent="0.25">
      <c r="A961" s="56"/>
      <c r="B961" s="56"/>
      <c r="C961" s="56"/>
      <c r="D961" s="56"/>
      <c r="E961" s="57"/>
      <c r="F961" s="58"/>
      <c r="G961" s="56"/>
      <c r="H961" s="56"/>
      <c r="I961" s="59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</row>
    <row r="962" spans="1:32" ht="57" customHeight="1" x14ac:dyDescent="0.25">
      <c r="A962" s="56"/>
      <c r="B962" s="56"/>
      <c r="C962" s="56"/>
      <c r="D962" s="56"/>
      <c r="E962" s="57"/>
      <c r="F962" s="58"/>
      <c r="G962" s="56"/>
      <c r="H962" s="56"/>
      <c r="I962" s="59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</row>
    <row r="963" spans="1:32" ht="57" customHeight="1" x14ac:dyDescent="0.25">
      <c r="A963" s="56"/>
      <c r="B963" s="56"/>
      <c r="C963" s="56"/>
      <c r="D963" s="56"/>
      <c r="E963" s="57"/>
      <c r="F963" s="58"/>
      <c r="G963" s="56"/>
      <c r="H963" s="56"/>
      <c r="I963" s="59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</row>
    <row r="964" spans="1:32" ht="57" customHeight="1" x14ac:dyDescent="0.25">
      <c r="A964" s="56"/>
      <c r="B964" s="56"/>
      <c r="C964" s="56"/>
      <c r="D964" s="56"/>
      <c r="E964" s="57"/>
      <c r="F964" s="58"/>
      <c r="G964" s="56"/>
      <c r="H964" s="56"/>
      <c r="I964" s="59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</row>
    <row r="965" spans="1:32" ht="57" customHeight="1" x14ac:dyDescent="0.25">
      <c r="A965" s="56"/>
      <c r="B965" s="56"/>
      <c r="C965" s="56"/>
      <c r="D965" s="56"/>
      <c r="E965" s="57"/>
      <c r="F965" s="58"/>
      <c r="G965" s="56"/>
      <c r="H965" s="56"/>
      <c r="I965" s="59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</row>
    <row r="966" spans="1:32" ht="57" customHeight="1" x14ac:dyDescent="0.25">
      <c r="A966" s="56"/>
      <c r="B966" s="56"/>
      <c r="C966" s="56"/>
      <c r="D966" s="56"/>
      <c r="E966" s="57"/>
      <c r="F966" s="58"/>
      <c r="G966" s="56"/>
      <c r="H966" s="56"/>
      <c r="I966" s="59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</row>
    <row r="967" spans="1:32" ht="57" customHeight="1" x14ac:dyDescent="0.25">
      <c r="A967" s="56"/>
      <c r="B967" s="56"/>
      <c r="C967" s="56"/>
      <c r="D967" s="56"/>
      <c r="E967" s="57"/>
      <c r="F967" s="58"/>
      <c r="G967" s="56"/>
      <c r="H967" s="56"/>
      <c r="I967" s="59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</row>
    <row r="968" spans="1:32" ht="57" customHeight="1" x14ac:dyDescent="0.25">
      <c r="A968" s="56"/>
      <c r="B968" s="56"/>
      <c r="C968" s="56"/>
      <c r="D968" s="56"/>
      <c r="E968" s="57"/>
      <c r="F968" s="58"/>
      <c r="G968" s="56"/>
      <c r="H968" s="56"/>
      <c r="I968" s="59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</row>
    <row r="969" spans="1:32" ht="57" customHeight="1" x14ac:dyDescent="0.25">
      <c r="A969" s="56"/>
      <c r="B969" s="56"/>
      <c r="C969" s="56"/>
      <c r="D969" s="56"/>
      <c r="E969" s="57"/>
      <c r="F969" s="58"/>
      <c r="G969" s="56"/>
      <c r="H969" s="56"/>
      <c r="I969" s="59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</row>
    <row r="970" spans="1:32" ht="57" customHeight="1" x14ac:dyDescent="0.25">
      <c r="A970" s="56"/>
      <c r="B970" s="56"/>
      <c r="C970" s="56"/>
      <c r="D970" s="56"/>
      <c r="E970" s="57"/>
      <c r="F970" s="58"/>
      <c r="G970" s="56"/>
      <c r="H970" s="56"/>
      <c r="I970" s="59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</row>
    <row r="971" spans="1:32" ht="57" customHeight="1" x14ac:dyDescent="0.25">
      <c r="A971" s="56"/>
      <c r="B971" s="56"/>
      <c r="C971" s="56"/>
      <c r="D971" s="56"/>
      <c r="E971" s="57"/>
      <c r="F971" s="58"/>
      <c r="G971" s="56"/>
      <c r="H971" s="56"/>
      <c r="I971" s="59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</row>
    <row r="972" spans="1:32" ht="57" customHeight="1" x14ac:dyDescent="0.25">
      <c r="A972" s="56"/>
      <c r="B972" s="56"/>
      <c r="C972" s="56"/>
      <c r="D972" s="56"/>
      <c r="E972" s="57"/>
      <c r="F972" s="58"/>
      <c r="G972" s="56"/>
      <c r="H972" s="56"/>
      <c r="I972" s="59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</row>
    <row r="973" spans="1:32" ht="57" customHeight="1" x14ac:dyDescent="0.25">
      <c r="A973" s="56"/>
      <c r="B973" s="56"/>
      <c r="C973" s="56"/>
      <c r="D973" s="56"/>
      <c r="E973" s="57"/>
      <c r="F973" s="58"/>
      <c r="G973" s="56"/>
      <c r="H973" s="56"/>
      <c r="I973" s="59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</row>
    <row r="974" spans="1:32" ht="57" customHeight="1" x14ac:dyDescent="0.25">
      <c r="A974" s="56"/>
      <c r="B974" s="56"/>
      <c r="C974" s="56"/>
      <c r="D974" s="56"/>
      <c r="E974" s="57"/>
      <c r="F974" s="58"/>
      <c r="G974" s="56"/>
      <c r="H974" s="56"/>
      <c r="I974" s="59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</row>
    <row r="975" spans="1:32" ht="57" customHeight="1" x14ac:dyDescent="0.25">
      <c r="A975" s="56"/>
      <c r="B975" s="56"/>
      <c r="C975" s="56"/>
      <c r="D975" s="56"/>
      <c r="E975" s="57"/>
      <c r="F975" s="58"/>
      <c r="G975" s="56"/>
      <c r="H975" s="56"/>
      <c r="I975" s="59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</row>
    <row r="976" spans="1:32" ht="57" customHeight="1" x14ac:dyDescent="0.25">
      <c r="A976" s="56"/>
      <c r="B976" s="56"/>
      <c r="C976" s="56"/>
      <c r="D976" s="56"/>
      <c r="E976" s="57"/>
      <c r="F976" s="58"/>
      <c r="G976" s="56"/>
      <c r="H976" s="56"/>
      <c r="I976" s="59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</row>
    <row r="977" spans="1:32" ht="57" customHeight="1" x14ac:dyDescent="0.25">
      <c r="A977" s="56"/>
      <c r="B977" s="56"/>
      <c r="C977" s="56"/>
      <c r="D977" s="56"/>
      <c r="E977" s="57"/>
      <c r="F977" s="58"/>
      <c r="G977" s="56"/>
      <c r="H977" s="56"/>
      <c r="I977" s="59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</row>
    <row r="978" spans="1:32" ht="57" customHeight="1" x14ac:dyDescent="0.25">
      <c r="A978" s="56"/>
      <c r="B978" s="56"/>
      <c r="C978" s="56"/>
      <c r="D978" s="56"/>
      <c r="E978" s="57"/>
      <c r="F978" s="58"/>
      <c r="G978" s="56"/>
      <c r="H978" s="56"/>
      <c r="I978" s="59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</row>
    <row r="979" spans="1:32" ht="57" customHeight="1" x14ac:dyDescent="0.25">
      <c r="A979" s="56"/>
      <c r="B979" s="56"/>
      <c r="C979" s="56"/>
      <c r="D979" s="56"/>
      <c r="E979" s="57"/>
      <c r="F979" s="58"/>
      <c r="G979" s="56"/>
      <c r="H979" s="56"/>
      <c r="I979" s="59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</row>
    <row r="980" spans="1:32" ht="57" customHeight="1" x14ac:dyDescent="0.25">
      <c r="A980" s="56"/>
      <c r="B980" s="56"/>
      <c r="C980" s="56"/>
      <c r="D980" s="56"/>
      <c r="E980" s="57"/>
      <c r="F980" s="58"/>
      <c r="G980" s="56"/>
      <c r="H980" s="56"/>
      <c r="I980" s="59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</row>
    <row r="981" spans="1:32" ht="57" customHeight="1" x14ac:dyDescent="0.25">
      <c r="A981" s="56"/>
      <c r="B981" s="56"/>
      <c r="C981" s="56"/>
      <c r="D981" s="56"/>
      <c r="E981" s="57"/>
      <c r="F981" s="58"/>
      <c r="G981" s="56"/>
      <c r="H981" s="56"/>
      <c r="I981" s="59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</row>
    <row r="982" spans="1:32" ht="57" customHeight="1" x14ac:dyDescent="0.25">
      <c r="A982" s="56"/>
      <c r="B982" s="56"/>
      <c r="C982" s="56"/>
      <c r="D982" s="56"/>
      <c r="E982" s="57"/>
      <c r="F982" s="58"/>
      <c r="G982" s="56"/>
      <c r="H982" s="56"/>
      <c r="I982" s="59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</row>
    <row r="983" spans="1:32" ht="57" customHeight="1" x14ac:dyDescent="0.25">
      <c r="A983" s="56"/>
      <c r="B983" s="56"/>
      <c r="C983" s="56"/>
      <c r="D983" s="56"/>
      <c r="E983" s="57"/>
      <c r="F983" s="58"/>
      <c r="G983" s="56"/>
      <c r="H983" s="56"/>
      <c r="I983" s="59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</row>
    <row r="984" spans="1:32" ht="57" customHeight="1" x14ac:dyDescent="0.25">
      <c r="A984" s="56"/>
      <c r="B984" s="56"/>
      <c r="C984" s="56"/>
      <c r="D984" s="56"/>
      <c r="E984" s="57"/>
      <c r="F984" s="58"/>
      <c r="G984" s="56"/>
      <c r="H984" s="56"/>
      <c r="I984" s="59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</row>
    <row r="985" spans="1:32" ht="57" customHeight="1" x14ac:dyDescent="0.25">
      <c r="A985" s="56"/>
      <c r="B985" s="56"/>
      <c r="C985" s="56"/>
      <c r="D985" s="56"/>
      <c r="E985" s="57"/>
      <c r="F985" s="58"/>
      <c r="G985" s="56"/>
      <c r="H985" s="56"/>
      <c r="I985" s="59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</row>
    <row r="986" spans="1:32" ht="57" customHeight="1" x14ac:dyDescent="0.25">
      <c r="A986" s="56"/>
      <c r="B986" s="56"/>
      <c r="C986" s="56"/>
      <c r="D986" s="56"/>
      <c r="E986" s="57"/>
      <c r="F986" s="58"/>
      <c r="G986" s="56"/>
      <c r="H986" s="56"/>
      <c r="I986" s="59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</row>
    <row r="987" spans="1:32" ht="57" customHeight="1" x14ac:dyDescent="0.25">
      <c r="A987" s="56"/>
      <c r="B987" s="56"/>
      <c r="C987" s="56"/>
      <c r="D987" s="56"/>
      <c r="E987" s="57"/>
      <c r="F987" s="58"/>
      <c r="G987" s="56"/>
      <c r="H987" s="56"/>
      <c r="I987" s="59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</row>
    <row r="988" spans="1:32" ht="57" customHeight="1" x14ac:dyDescent="0.25">
      <c r="A988" s="56"/>
      <c r="B988" s="56"/>
      <c r="C988" s="56"/>
      <c r="D988" s="56"/>
      <c r="E988" s="57"/>
      <c r="F988" s="58"/>
      <c r="G988" s="56"/>
      <c r="H988" s="56"/>
      <c r="I988" s="59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</row>
    <row r="989" spans="1:32" ht="57" customHeight="1" x14ac:dyDescent="0.25">
      <c r="A989" s="56"/>
      <c r="B989" s="56"/>
      <c r="C989" s="56"/>
      <c r="D989" s="56"/>
      <c r="E989" s="57"/>
      <c r="F989" s="58"/>
      <c r="G989" s="56"/>
      <c r="H989" s="56"/>
      <c r="I989" s="59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</row>
    <row r="990" spans="1:32" ht="57" customHeight="1" x14ac:dyDescent="0.25">
      <c r="A990" s="56"/>
      <c r="B990" s="56"/>
      <c r="C990" s="56"/>
      <c r="D990" s="56"/>
      <c r="E990" s="57"/>
      <c r="F990" s="58"/>
      <c r="G990" s="56"/>
      <c r="H990" s="56"/>
      <c r="I990" s="59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</row>
    <row r="991" spans="1:32" ht="57" customHeight="1" x14ac:dyDescent="0.25">
      <c r="A991" s="56"/>
      <c r="B991" s="56"/>
      <c r="C991" s="56"/>
      <c r="D991" s="56"/>
      <c r="E991" s="57"/>
      <c r="F991" s="58"/>
      <c r="G991" s="56"/>
      <c r="H991" s="56"/>
      <c r="I991" s="59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</row>
    <row r="992" spans="1:32" ht="57" customHeight="1" x14ac:dyDescent="0.25">
      <c r="A992" s="56"/>
      <c r="B992" s="56"/>
      <c r="C992" s="56"/>
      <c r="D992" s="56"/>
      <c r="E992" s="57"/>
      <c r="F992" s="58"/>
      <c r="G992" s="56"/>
      <c r="H992" s="56"/>
      <c r="I992" s="59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</row>
    <row r="993" spans="1:32" ht="57" customHeight="1" x14ac:dyDescent="0.25">
      <c r="A993" s="56"/>
      <c r="B993" s="56"/>
      <c r="C993" s="56"/>
      <c r="D993" s="56"/>
      <c r="E993" s="57"/>
      <c r="F993" s="58"/>
      <c r="G993" s="56"/>
      <c r="H993" s="56"/>
      <c r="I993" s="59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</row>
    <row r="994" spans="1:32" ht="57" customHeight="1" x14ac:dyDescent="0.25">
      <c r="A994" s="56"/>
      <c r="B994" s="56"/>
      <c r="C994" s="56"/>
      <c r="D994" s="56"/>
      <c r="E994" s="57"/>
      <c r="F994" s="58"/>
      <c r="G994" s="56"/>
      <c r="H994" s="56"/>
      <c r="I994" s="59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</row>
    <row r="995" spans="1:32" ht="57" customHeight="1" x14ac:dyDescent="0.25">
      <c r="A995" s="56"/>
      <c r="B995" s="56"/>
      <c r="C995" s="56"/>
      <c r="D995" s="56"/>
      <c r="E995" s="57"/>
      <c r="F995" s="58"/>
      <c r="G995" s="56"/>
      <c r="H995" s="56"/>
      <c r="I995" s="59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</row>
    <row r="996" spans="1:32" ht="57" customHeight="1" x14ac:dyDescent="0.25">
      <c r="A996" s="56"/>
      <c r="B996" s="56"/>
      <c r="C996" s="56"/>
      <c r="D996" s="56"/>
      <c r="E996" s="57"/>
      <c r="F996" s="58"/>
      <c r="G996" s="56"/>
      <c r="H996" s="56"/>
      <c r="I996" s="59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</row>
    <row r="997" spans="1:32" ht="57" customHeight="1" x14ac:dyDescent="0.25">
      <c r="A997" s="56"/>
      <c r="B997" s="56"/>
      <c r="C997" s="56"/>
      <c r="D997" s="56"/>
      <c r="E997" s="57"/>
      <c r="F997" s="58"/>
      <c r="G997" s="56"/>
      <c r="H997" s="56"/>
      <c r="I997" s="59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</row>
    <row r="998" spans="1:32" ht="57" customHeight="1" x14ac:dyDescent="0.25">
      <c r="A998" s="56"/>
      <c r="B998" s="56"/>
      <c r="C998" s="56"/>
      <c r="D998" s="56"/>
      <c r="E998" s="57"/>
      <c r="F998" s="58"/>
      <c r="G998" s="56"/>
      <c r="H998" s="56"/>
      <c r="I998" s="59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</row>
    <row r="999" spans="1:32" ht="57" customHeight="1" x14ac:dyDescent="0.25">
      <c r="A999" s="56"/>
      <c r="B999" s="56"/>
      <c r="C999" s="56"/>
      <c r="D999" s="56"/>
      <c r="E999" s="57"/>
      <c r="F999" s="58"/>
      <c r="G999" s="56"/>
      <c r="H999" s="56"/>
      <c r="I999" s="59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</row>
    <row r="1000" spans="1:32" ht="57" customHeight="1" x14ac:dyDescent="0.25">
      <c r="A1000" s="56"/>
      <c r="B1000" s="56"/>
      <c r="C1000" s="56"/>
      <c r="D1000" s="56"/>
      <c r="E1000" s="57"/>
      <c r="F1000" s="58"/>
      <c r="G1000" s="56"/>
      <c r="H1000" s="56"/>
      <c r="I1000" s="59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</row>
  </sheetData>
  <mergeCells count="154">
    <mergeCell ref="U12:U13"/>
    <mergeCell ref="V12:V13"/>
    <mergeCell ref="U10:U11"/>
    <mergeCell ref="V10:V11"/>
    <mergeCell ref="W10:W11"/>
    <mergeCell ref="X10:X11"/>
    <mergeCell ref="Y10:Y11"/>
    <mergeCell ref="Z10:Z11"/>
    <mergeCell ref="AA10:AA11"/>
    <mergeCell ref="W12:W13"/>
    <mergeCell ref="X12:X13"/>
    <mergeCell ref="Y12:Y13"/>
    <mergeCell ref="Z12:Z13"/>
    <mergeCell ref="AA12:AA13"/>
    <mergeCell ref="U8:U9"/>
    <mergeCell ref="V8:V9"/>
    <mergeCell ref="W8:W9"/>
    <mergeCell ref="X8:X9"/>
    <mergeCell ref="Y8:Y9"/>
    <mergeCell ref="Z8:Z9"/>
    <mergeCell ref="AA8:AA9"/>
    <mergeCell ref="AE16:AE17"/>
    <mergeCell ref="AF16:AF17"/>
    <mergeCell ref="X16:X17"/>
    <mergeCell ref="Y16:Y17"/>
    <mergeCell ref="Z16:Z17"/>
    <mergeCell ref="AA16:AA17"/>
    <mergeCell ref="AB16:AB17"/>
    <mergeCell ref="AC16:AC17"/>
    <mergeCell ref="AD16:AD17"/>
    <mergeCell ref="AD14:AD15"/>
    <mergeCell ref="AE14:AE15"/>
    <mergeCell ref="AF14:AF15"/>
    <mergeCell ref="W14:W15"/>
    <mergeCell ref="X14:X15"/>
    <mergeCell ref="Y14:Y15"/>
    <mergeCell ref="Z14:Z15"/>
    <mergeCell ref="AA14:AA15"/>
    <mergeCell ref="O14:O15"/>
    <mergeCell ref="P14:P15"/>
    <mergeCell ref="R14:R15"/>
    <mergeCell ref="S14:S15"/>
    <mergeCell ref="T14:T15"/>
    <mergeCell ref="U14:U15"/>
    <mergeCell ref="V14:V15"/>
    <mergeCell ref="O16:O17"/>
    <mergeCell ref="P16:P17"/>
    <mergeCell ref="R16:R17"/>
    <mergeCell ref="S16:S17"/>
    <mergeCell ref="T16:T17"/>
    <mergeCell ref="U16:U17"/>
    <mergeCell ref="V16:V17"/>
    <mergeCell ref="AB14:AB15"/>
    <mergeCell ref="AC14:AC15"/>
    <mergeCell ref="AB10:AB11"/>
    <mergeCell ref="AC10:AC11"/>
    <mergeCell ref="AD10:AD11"/>
    <mergeCell ref="AE10:AE11"/>
    <mergeCell ref="AF10:AF11"/>
    <mergeCell ref="AD12:AD13"/>
    <mergeCell ref="AE12:AE13"/>
    <mergeCell ref="AF12:AF13"/>
    <mergeCell ref="AB12:AB13"/>
    <mergeCell ref="AC12:AC13"/>
    <mergeCell ref="AB6:AB7"/>
    <mergeCell ref="AC6:AC7"/>
    <mergeCell ref="AD6:AD7"/>
    <mergeCell ref="AE6:AE7"/>
    <mergeCell ref="AF6:AF7"/>
    <mergeCell ref="AB8:AB9"/>
    <mergeCell ref="AC8:AC9"/>
    <mergeCell ref="AD8:AD9"/>
    <mergeCell ref="AE8:AE9"/>
    <mergeCell ref="AF8:AF9"/>
    <mergeCell ref="AB4:AB5"/>
    <mergeCell ref="AC4:AC5"/>
    <mergeCell ref="AD4:AD5"/>
    <mergeCell ref="AE4:AE5"/>
    <mergeCell ref="A1:A2"/>
    <mergeCell ref="B1:AF1"/>
    <mergeCell ref="B2:L2"/>
    <mergeCell ref="M2:S2"/>
    <mergeCell ref="T2:AA2"/>
    <mergeCell ref="AB2:AF2"/>
    <mergeCell ref="AF4:AF5"/>
    <mergeCell ref="U4:U5"/>
    <mergeCell ref="V4:V5"/>
    <mergeCell ref="W4:W5"/>
    <mergeCell ref="X4:X5"/>
    <mergeCell ref="Y4:Y5"/>
    <mergeCell ref="D4:D5"/>
    <mergeCell ref="E4:E5"/>
    <mergeCell ref="O4:O5"/>
    <mergeCell ref="P4:P5"/>
    <mergeCell ref="R4:R5"/>
    <mergeCell ref="S4:S5"/>
    <mergeCell ref="T4:T5"/>
    <mergeCell ref="B16:B17"/>
    <mergeCell ref="C16:C17"/>
    <mergeCell ref="D16:D17"/>
    <mergeCell ref="E16:E17"/>
    <mergeCell ref="B10:B11"/>
    <mergeCell ref="C10:C11"/>
    <mergeCell ref="A12:A17"/>
    <mergeCell ref="B12:B13"/>
    <mergeCell ref="C12:C13"/>
    <mergeCell ref="B14:B15"/>
    <mergeCell ref="C14:C15"/>
    <mergeCell ref="D14:D15"/>
    <mergeCell ref="E14:E15"/>
    <mergeCell ref="A4:A11"/>
    <mergeCell ref="B6:B7"/>
    <mergeCell ref="C6:C7"/>
    <mergeCell ref="D6:D7"/>
    <mergeCell ref="E6:E7"/>
    <mergeCell ref="B8:B9"/>
    <mergeCell ref="C8:C9"/>
    <mergeCell ref="D8:D9"/>
    <mergeCell ref="E8:E9"/>
    <mergeCell ref="B4:B5"/>
    <mergeCell ref="C4:C5"/>
    <mergeCell ref="O6:O7"/>
    <mergeCell ref="P6:P7"/>
    <mergeCell ref="R6:R7"/>
    <mergeCell ref="S6:S7"/>
    <mergeCell ref="T6:T7"/>
    <mergeCell ref="D10:D11"/>
    <mergeCell ref="E10:E11"/>
    <mergeCell ref="D12:D13"/>
    <mergeCell ref="E12:E13"/>
    <mergeCell ref="O8:O9"/>
    <mergeCell ref="P8:P9"/>
    <mergeCell ref="R8:R9"/>
    <mergeCell ref="S8:S9"/>
    <mergeCell ref="T8:T9"/>
    <mergeCell ref="O10:O11"/>
    <mergeCell ref="P10:P11"/>
    <mergeCell ref="R10:R11"/>
    <mergeCell ref="S10:S11"/>
    <mergeCell ref="T10:T11"/>
    <mergeCell ref="O12:O13"/>
    <mergeCell ref="P12:P13"/>
    <mergeCell ref="R12:R13"/>
    <mergeCell ref="S12:S13"/>
    <mergeCell ref="T12:T13"/>
    <mergeCell ref="Y6:Y7"/>
    <mergeCell ref="Z6:Z7"/>
    <mergeCell ref="Z4:Z5"/>
    <mergeCell ref="AA4:AA5"/>
    <mergeCell ref="U6:U7"/>
    <mergeCell ref="V6:V7"/>
    <mergeCell ref="AA6:AA7"/>
    <mergeCell ref="W6:W7"/>
    <mergeCell ref="X6:X7"/>
  </mergeCells>
  <dataValidations count="1">
    <dataValidation type="list" allowBlank="1" showErrorMessage="1" sqref="R4 R6 R8 R10 R12 R14 R16" xr:uid="{00000000-0002-0000-0300-000000000000}">
      <formula1>$A$200:$A$201</formula1>
    </dataValidation>
  </dataValidations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000"/>
  <sheetViews>
    <sheetView topLeftCell="B1" workbookViewId="0"/>
  </sheetViews>
  <sheetFormatPr baseColWidth="10" defaultColWidth="14.42578125" defaultRowHeight="15" customHeight="1" x14ac:dyDescent="0.25"/>
  <cols>
    <col min="1" max="1" width="12.85546875" hidden="1" customWidth="1"/>
    <col min="2" max="2" width="24.85546875" customWidth="1"/>
    <col min="3" max="3" width="21.7109375" customWidth="1"/>
    <col min="4" max="4" width="48" customWidth="1"/>
    <col min="5" max="5" width="76.7109375" customWidth="1"/>
    <col min="6" max="6" width="24.7109375" customWidth="1"/>
    <col min="7" max="7" width="79.85546875" customWidth="1"/>
    <col min="8" max="8" width="49.42578125" customWidth="1"/>
    <col min="9" max="9" width="15.140625" customWidth="1"/>
    <col min="10" max="10" width="11.28515625" customWidth="1"/>
    <col min="11" max="11" width="20.28515625" customWidth="1"/>
    <col min="12" max="12" width="28.5703125" customWidth="1"/>
    <col min="13" max="13" width="34.42578125" customWidth="1"/>
    <col min="14" max="14" width="22.28515625" customWidth="1"/>
    <col min="15" max="15" width="48.7109375" customWidth="1"/>
    <col min="16" max="16" width="36.5703125" customWidth="1"/>
    <col min="17" max="17" width="88" customWidth="1"/>
    <col min="18" max="18" width="95.28515625" customWidth="1"/>
    <col min="19" max="19" width="64.85546875" customWidth="1"/>
    <col min="20" max="20" width="62" customWidth="1"/>
    <col min="21" max="21" width="72.85546875" customWidth="1"/>
    <col min="22" max="22" width="24.7109375" customWidth="1"/>
    <col min="23" max="23" width="38" customWidth="1"/>
    <col min="24" max="24" width="28.28515625" customWidth="1"/>
    <col min="25" max="25" width="29.42578125" customWidth="1"/>
    <col min="26" max="26" width="19.140625" customWidth="1"/>
    <col min="27" max="27" width="21.85546875" customWidth="1"/>
    <col min="28" max="28" width="38" customWidth="1"/>
    <col min="29" max="29" width="32" customWidth="1"/>
    <col min="30" max="30" width="33" customWidth="1"/>
    <col min="31" max="31" width="31.28515625" customWidth="1"/>
    <col min="32" max="32" width="45.85546875" customWidth="1"/>
    <col min="33" max="33" width="46" customWidth="1"/>
  </cols>
  <sheetData>
    <row r="1" spans="1:33" ht="61.5" customHeight="1" x14ac:dyDescent="0.25">
      <c r="A1" s="22"/>
      <c r="B1" s="147"/>
      <c r="C1" s="93" t="s">
        <v>0</v>
      </c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5"/>
    </row>
    <row r="2" spans="1:33" ht="61.5" customHeight="1" x14ac:dyDescent="0.25">
      <c r="A2" s="2"/>
      <c r="B2" s="82"/>
      <c r="C2" s="100" t="s">
        <v>655</v>
      </c>
      <c r="D2" s="97"/>
      <c r="E2" s="97"/>
      <c r="F2" s="97"/>
      <c r="G2" s="97"/>
      <c r="H2" s="97"/>
      <c r="I2" s="97"/>
      <c r="J2" s="97"/>
      <c r="K2" s="97"/>
      <c r="L2" s="97"/>
      <c r="M2" s="98"/>
      <c r="N2" s="124" t="s">
        <v>286</v>
      </c>
      <c r="O2" s="97"/>
      <c r="P2" s="97"/>
      <c r="Q2" s="97"/>
      <c r="R2" s="97"/>
      <c r="S2" s="97"/>
      <c r="T2" s="98"/>
      <c r="U2" s="100" t="s">
        <v>656</v>
      </c>
      <c r="V2" s="97"/>
      <c r="W2" s="97"/>
      <c r="X2" s="97"/>
      <c r="Y2" s="97"/>
      <c r="Z2" s="97"/>
      <c r="AA2" s="97"/>
      <c r="AB2" s="98"/>
      <c r="AC2" s="101" t="s">
        <v>4</v>
      </c>
      <c r="AD2" s="97"/>
      <c r="AE2" s="97"/>
      <c r="AF2" s="97"/>
      <c r="AG2" s="98"/>
    </row>
    <row r="3" spans="1:33" ht="99.75" customHeight="1" x14ac:dyDescent="0.25">
      <c r="A3" s="69" t="s">
        <v>657</v>
      </c>
      <c r="B3" s="3" t="s">
        <v>5</v>
      </c>
      <c r="C3" s="3" t="s">
        <v>6</v>
      </c>
      <c r="D3" s="3" t="s">
        <v>7</v>
      </c>
      <c r="E3" s="3" t="s">
        <v>8</v>
      </c>
      <c r="F3" s="4" t="s">
        <v>9</v>
      </c>
      <c r="G3" s="3" t="s">
        <v>10</v>
      </c>
      <c r="H3" s="3" t="s">
        <v>11</v>
      </c>
      <c r="I3" s="3" t="s">
        <v>12</v>
      </c>
      <c r="J3" s="5" t="s">
        <v>13</v>
      </c>
      <c r="K3" s="3" t="s">
        <v>14</v>
      </c>
      <c r="L3" s="3" t="s">
        <v>15</v>
      </c>
      <c r="M3" s="3" t="s">
        <v>16</v>
      </c>
      <c r="N3" s="6" t="s">
        <v>17</v>
      </c>
      <c r="O3" s="7" t="s">
        <v>18</v>
      </c>
      <c r="P3" s="7" t="s">
        <v>19</v>
      </c>
      <c r="Q3" s="3" t="s">
        <v>20</v>
      </c>
      <c r="R3" s="3" t="s">
        <v>21</v>
      </c>
      <c r="S3" s="8" t="s">
        <v>22</v>
      </c>
      <c r="T3" s="8" t="s">
        <v>23</v>
      </c>
      <c r="U3" s="3" t="s">
        <v>7</v>
      </c>
      <c r="V3" s="3" t="s">
        <v>24</v>
      </c>
      <c r="W3" s="3" t="s">
        <v>25</v>
      </c>
      <c r="X3" s="3" t="s">
        <v>14</v>
      </c>
      <c r="Y3" s="3" t="s">
        <v>15</v>
      </c>
      <c r="Z3" s="3" t="s">
        <v>26</v>
      </c>
      <c r="AA3" s="3" t="s">
        <v>27</v>
      </c>
      <c r="AB3" s="3" t="s">
        <v>13</v>
      </c>
      <c r="AC3" s="9" t="s">
        <v>28</v>
      </c>
      <c r="AD3" s="3" t="s">
        <v>29</v>
      </c>
      <c r="AE3" s="4" t="s">
        <v>30</v>
      </c>
      <c r="AF3" s="3" t="s">
        <v>31</v>
      </c>
      <c r="AG3" s="3" t="s">
        <v>32</v>
      </c>
    </row>
    <row r="4" spans="1:33" ht="61.5" customHeight="1" x14ac:dyDescent="0.25">
      <c r="A4" s="70">
        <v>61</v>
      </c>
      <c r="B4" s="81" t="s">
        <v>658</v>
      </c>
      <c r="C4" s="113" t="s">
        <v>659</v>
      </c>
      <c r="D4" s="81" t="s">
        <v>660</v>
      </c>
      <c r="E4" s="91" t="s">
        <v>661</v>
      </c>
      <c r="F4" s="102">
        <v>260000000</v>
      </c>
      <c r="G4" s="48" t="s">
        <v>662</v>
      </c>
      <c r="H4" s="12" t="s">
        <v>663</v>
      </c>
      <c r="I4" s="12">
        <v>0</v>
      </c>
      <c r="J4" s="13">
        <v>1</v>
      </c>
      <c r="K4" s="12" t="s">
        <v>39</v>
      </c>
      <c r="L4" s="12" t="s">
        <v>40</v>
      </c>
      <c r="M4" s="81" t="s">
        <v>664</v>
      </c>
      <c r="N4" s="64">
        <v>0</v>
      </c>
      <c r="O4" s="15">
        <f t="shared" ref="O4:O13" si="0">IF((N4/J4)&gt;1,1,N4/J4)</f>
        <v>0</v>
      </c>
      <c r="P4" s="83">
        <f>AVERAGE(O4:O5)</f>
        <v>0</v>
      </c>
      <c r="Q4" s="16"/>
      <c r="R4" s="12">
        <f t="shared" ref="R4:R13" si="1">0</f>
        <v>0</v>
      </c>
      <c r="S4" s="81"/>
      <c r="T4" s="81"/>
      <c r="U4" s="81" t="s">
        <v>665</v>
      </c>
      <c r="V4" s="81">
        <v>400201601</v>
      </c>
      <c r="W4" s="81" t="s">
        <v>666</v>
      </c>
      <c r="X4" s="81" t="s">
        <v>39</v>
      </c>
      <c r="Y4" s="81" t="s">
        <v>40</v>
      </c>
      <c r="Z4" s="81">
        <v>0</v>
      </c>
      <c r="AA4" s="81">
        <v>1</v>
      </c>
      <c r="AB4" s="81">
        <v>0</v>
      </c>
      <c r="AC4" s="84">
        <v>0</v>
      </c>
      <c r="AD4" s="83">
        <f>IF((AC4/AA4)&gt;1,1,AC4/AA4)</f>
        <v>0</v>
      </c>
      <c r="AE4" s="85">
        <f>F4</f>
        <v>260000000</v>
      </c>
      <c r="AF4" s="81">
        <f>SUM(R4:R5)</f>
        <v>0</v>
      </c>
      <c r="AG4" s="83">
        <f>IF((AF4/AE4)&gt;1,1,AF4/AE4)</f>
        <v>0</v>
      </c>
    </row>
    <row r="5" spans="1:33" ht="61.5" customHeight="1" x14ac:dyDescent="0.25">
      <c r="A5" s="70"/>
      <c r="B5" s="104"/>
      <c r="C5" s="90"/>
      <c r="D5" s="90"/>
      <c r="E5" s="92"/>
      <c r="F5" s="82"/>
      <c r="G5" s="48" t="s">
        <v>667</v>
      </c>
      <c r="H5" s="12" t="s">
        <v>99</v>
      </c>
      <c r="I5" s="12">
        <v>0</v>
      </c>
      <c r="J5" s="13">
        <v>1</v>
      </c>
      <c r="K5" s="12" t="s">
        <v>39</v>
      </c>
      <c r="L5" s="12" t="s">
        <v>40</v>
      </c>
      <c r="M5" s="82"/>
      <c r="N5" s="64">
        <v>0</v>
      </c>
      <c r="O5" s="15">
        <f t="shared" si="0"/>
        <v>0</v>
      </c>
      <c r="P5" s="82"/>
      <c r="Q5" s="16"/>
      <c r="R5" s="12">
        <f t="shared" si="1"/>
        <v>0</v>
      </c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</row>
    <row r="6" spans="1:33" ht="61.5" customHeight="1" x14ac:dyDescent="0.25">
      <c r="A6" s="70">
        <v>62</v>
      </c>
      <c r="B6" s="104"/>
      <c r="C6" s="113" t="s">
        <v>668</v>
      </c>
      <c r="D6" s="81" t="s">
        <v>669</v>
      </c>
      <c r="E6" s="91" t="s">
        <v>670</v>
      </c>
      <c r="F6" s="102">
        <v>500000000</v>
      </c>
      <c r="G6" s="48" t="s">
        <v>671</v>
      </c>
      <c r="H6" s="12" t="s">
        <v>157</v>
      </c>
      <c r="I6" s="12">
        <v>1</v>
      </c>
      <c r="J6" s="13">
        <v>1</v>
      </c>
      <c r="K6" s="12" t="s">
        <v>39</v>
      </c>
      <c r="L6" s="12" t="s">
        <v>40</v>
      </c>
      <c r="M6" s="81" t="s">
        <v>131</v>
      </c>
      <c r="N6" s="64">
        <v>0</v>
      </c>
      <c r="O6" s="15">
        <f t="shared" si="0"/>
        <v>0</v>
      </c>
      <c r="P6" s="83">
        <f>AVERAGE(O6:O7)</f>
        <v>0</v>
      </c>
      <c r="Q6" s="16"/>
      <c r="R6" s="12">
        <f t="shared" si="1"/>
        <v>0</v>
      </c>
      <c r="S6" s="81"/>
      <c r="T6" s="81"/>
      <c r="U6" s="81" t="s">
        <v>672</v>
      </c>
      <c r="V6" s="81">
        <v>450200110</v>
      </c>
      <c r="W6" s="81" t="s">
        <v>666</v>
      </c>
      <c r="X6" s="81" t="s">
        <v>39</v>
      </c>
      <c r="Y6" s="81" t="s">
        <v>40</v>
      </c>
      <c r="Z6" s="81">
        <v>0</v>
      </c>
      <c r="AA6" s="81">
        <v>1</v>
      </c>
      <c r="AB6" s="81">
        <v>0.25</v>
      </c>
      <c r="AC6" s="84">
        <v>0</v>
      </c>
      <c r="AD6" s="83">
        <f>IF((AC6/AA6)&gt;1,1,AC6/AA6)</f>
        <v>0</v>
      </c>
      <c r="AE6" s="85">
        <f>F6</f>
        <v>500000000</v>
      </c>
      <c r="AF6" s="81">
        <f>SUM(R6:R7)</f>
        <v>0</v>
      </c>
      <c r="AG6" s="83">
        <f>IF((AF6/AE6)&gt;1,1,AF6/AE6)</f>
        <v>0</v>
      </c>
    </row>
    <row r="7" spans="1:33" ht="61.5" customHeight="1" x14ac:dyDescent="0.25">
      <c r="A7" s="70"/>
      <c r="B7" s="104"/>
      <c r="C7" s="90"/>
      <c r="D7" s="90"/>
      <c r="E7" s="92"/>
      <c r="F7" s="82"/>
      <c r="G7" s="48" t="s">
        <v>673</v>
      </c>
      <c r="H7" s="12" t="s">
        <v>674</v>
      </c>
      <c r="I7" s="12">
        <v>0</v>
      </c>
      <c r="J7" s="13">
        <v>1</v>
      </c>
      <c r="K7" s="12" t="s">
        <v>39</v>
      </c>
      <c r="L7" s="12" t="s">
        <v>40</v>
      </c>
      <c r="M7" s="82"/>
      <c r="N7" s="64">
        <v>0</v>
      </c>
      <c r="O7" s="15">
        <f t="shared" si="0"/>
        <v>0</v>
      </c>
      <c r="P7" s="82"/>
      <c r="Q7" s="16"/>
      <c r="R7" s="12">
        <f t="shared" si="1"/>
        <v>0</v>
      </c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</row>
    <row r="8" spans="1:33" ht="61.5" customHeight="1" x14ac:dyDescent="0.25">
      <c r="A8" s="70">
        <v>63</v>
      </c>
      <c r="B8" s="104"/>
      <c r="C8" s="113" t="s">
        <v>675</v>
      </c>
      <c r="D8" s="81" t="s">
        <v>676</v>
      </c>
      <c r="E8" s="91" t="s">
        <v>677</v>
      </c>
      <c r="F8" s="102">
        <v>20000000</v>
      </c>
      <c r="G8" s="48" t="s">
        <v>678</v>
      </c>
      <c r="H8" s="12" t="s">
        <v>679</v>
      </c>
      <c r="I8" s="12">
        <v>1</v>
      </c>
      <c r="J8" s="13">
        <v>1</v>
      </c>
      <c r="K8" s="12" t="s">
        <v>39</v>
      </c>
      <c r="L8" s="12" t="s">
        <v>40</v>
      </c>
      <c r="M8" s="81" t="s">
        <v>131</v>
      </c>
      <c r="N8" s="64">
        <v>0</v>
      </c>
      <c r="O8" s="15">
        <f t="shared" si="0"/>
        <v>0</v>
      </c>
      <c r="P8" s="83">
        <f>AVERAGE(O8:O9)</f>
        <v>0</v>
      </c>
      <c r="Q8" s="16"/>
      <c r="R8" s="12">
        <f t="shared" si="1"/>
        <v>0</v>
      </c>
      <c r="S8" s="81"/>
      <c r="T8" s="81"/>
      <c r="U8" s="81" t="s">
        <v>680</v>
      </c>
      <c r="V8" s="81">
        <v>450200110</v>
      </c>
      <c r="W8" s="81" t="s">
        <v>681</v>
      </c>
      <c r="X8" s="81" t="s">
        <v>39</v>
      </c>
      <c r="Y8" s="81" t="s">
        <v>40</v>
      </c>
      <c r="Z8" s="81">
        <v>0</v>
      </c>
      <c r="AA8" s="81">
        <v>1</v>
      </c>
      <c r="AB8" s="81">
        <v>0.25</v>
      </c>
      <c r="AC8" s="84">
        <v>0</v>
      </c>
      <c r="AD8" s="83">
        <f>IF((AC8/AA8)&gt;1,1,AC8/AA8)</f>
        <v>0</v>
      </c>
      <c r="AE8" s="85">
        <f>F8</f>
        <v>20000000</v>
      </c>
      <c r="AF8" s="81">
        <f>SUM(R8:R9)</f>
        <v>0</v>
      </c>
      <c r="AG8" s="83">
        <f>IF((AF8/AE8)&gt;1,1,AF8/AE8)</f>
        <v>0</v>
      </c>
    </row>
    <row r="9" spans="1:33" ht="61.5" customHeight="1" x14ac:dyDescent="0.25">
      <c r="A9" s="70"/>
      <c r="B9" s="82"/>
      <c r="C9" s="82"/>
      <c r="D9" s="82"/>
      <c r="E9" s="87"/>
      <c r="F9" s="82"/>
      <c r="G9" s="48" t="s">
        <v>682</v>
      </c>
      <c r="H9" s="12" t="s">
        <v>683</v>
      </c>
      <c r="I9" s="12">
        <v>0</v>
      </c>
      <c r="J9" s="13">
        <v>2</v>
      </c>
      <c r="K9" s="12" t="s">
        <v>39</v>
      </c>
      <c r="L9" s="12" t="s">
        <v>40</v>
      </c>
      <c r="M9" s="82"/>
      <c r="N9" s="64">
        <v>0</v>
      </c>
      <c r="O9" s="15">
        <f t="shared" si="0"/>
        <v>0</v>
      </c>
      <c r="P9" s="82"/>
      <c r="Q9" s="16"/>
      <c r="R9" s="12">
        <f t="shared" si="1"/>
        <v>0</v>
      </c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</row>
    <row r="10" spans="1:33" ht="61.5" customHeight="1" x14ac:dyDescent="0.25">
      <c r="A10" s="70">
        <v>64</v>
      </c>
      <c r="B10" s="81" t="s">
        <v>684</v>
      </c>
      <c r="C10" s="113" t="s">
        <v>685</v>
      </c>
      <c r="D10" s="81" t="s">
        <v>686</v>
      </c>
      <c r="E10" s="91" t="s">
        <v>687</v>
      </c>
      <c r="F10" s="102">
        <v>576555000</v>
      </c>
      <c r="G10" s="48" t="s">
        <v>688</v>
      </c>
      <c r="H10" s="12" t="s">
        <v>689</v>
      </c>
      <c r="I10" s="12">
        <v>0</v>
      </c>
      <c r="J10" s="13">
        <v>1.111</v>
      </c>
      <c r="K10" s="12" t="s">
        <v>88</v>
      </c>
      <c r="L10" s="12" t="s">
        <v>690</v>
      </c>
      <c r="M10" s="81" t="s">
        <v>90</v>
      </c>
      <c r="N10" s="64">
        <v>0</v>
      </c>
      <c r="O10" s="15">
        <f t="shared" si="0"/>
        <v>0</v>
      </c>
      <c r="P10" s="83">
        <f>AVERAGE(O10:O11)</f>
        <v>0</v>
      </c>
      <c r="Q10" s="16"/>
      <c r="R10" s="12">
        <f t="shared" si="1"/>
        <v>0</v>
      </c>
      <c r="S10" s="81"/>
      <c r="T10" s="81"/>
      <c r="U10" s="81" t="s">
        <v>691</v>
      </c>
      <c r="V10" s="81">
        <v>409901101</v>
      </c>
      <c r="W10" s="81" t="s">
        <v>692</v>
      </c>
      <c r="X10" s="81" t="s">
        <v>39</v>
      </c>
      <c r="Y10" s="81" t="s">
        <v>693</v>
      </c>
      <c r="Z10" s="81">
        <v>0</v>
      </c>
      <c r="AA10" s="81">
        <v>2000</v>
      </c>
      <c r="AB10" s="81">
        <v>500</v>
      </c>
      <c r="AC10" s="84">
        <v>0</v>
      </c>
      <c r="AD10" s="83">
        <f>IF((AC10/AA10)&gt;1,1,AC10/AA10)</f>
        <v>0</v>
      </c>
      <c r="AE10" s="85">
        <f>F10</f>
        <v>576555000</v>
      </c>
      <c r="AF10" s="81">
        <f>SUM(R10:R11)</f>
        <v>0</v>
      </c>
      <c r="AG10" s="83">
        <f>IF((AF10/AE10)&gt;1,1,AF10/AE10)</f>
        <v>0</v>
      </c>
    </row>
    <row r="11" spans="1:33" ht="61.5" customHeight="1" x14ac:dyDescent="0.25">
      <c r="A11" s="70"/>
      <c r="B11" s="104"/>
      <c r="C11" s="82"/>
      <c r="D11" s="90"/>
      <c r="E11" s="92"/>
      <c r="F11" s="82"/>
      <c r="G11" s="48" t="s">
        <v>694</v>
      </c>
      <c r="H11" s="12" t="s">
        <v>695</v>
      </c>
      <c r="I11" s="12">
        <v>0</v>
      </c>
      <c r="J11" s="13">
        <v>100</v>
      </c>
      <c r="K11" s="12" t="s">
        <v>88</v>
      </c>
      <c r="L11" s="12" t="s">
        <v>690</v>
      </c>
      <c r="M11" s="90"/>
      <c r="N11" s="64">
        <v>0</v>
      </c>
      <c r="O11" s="15">
        <f t="shared" si="0"/>
        <v>0</v>
      </c>
      <c r="P11" s="82"/>
      <c r="Q11" s="16"/>
      <c r="R11" s="12">
        <f t="shared" si="1"/>
        <v>0</v>
      </c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</row>
    <row r="12" spans="1:33" ht="61.5" customHeight="1" x14ac:dyDescent="0.25">
      <c r="A12" s="70"/>
      <c r="B12" s="104"/>
      <c r="C12" s="113" t="s">
        <v>696</v>
      </c>
      <c r="D12" s="81" t="s">
        <v>697</v>
      </c>
      <c r="E12" s="81" t="s">
        <v>698</v>
      </c>
      <c r="F12" s="102">
        <v>1652433913</v>
      </c>
      <c r="G12" s="48" t="s">
        <v>699</v>
      </c>
      <c r="H12" s="12" t="s">
        <v>700</v>
      </c>
      <c r="I12" s="12">
        <v>0</v>
      </c>
      <c r="J12" s="13">
        <v>1</v>
      </c>
      <c r="K12" s="12" t="s">
        <v>39</v>
      </c>
      <c r="L12" s="12" t="s">
        <v>40</v>
      </c>
      <c r="M12" s="81" t="s">
        <v>90</v>
      </c>
      <c r="N12" s="64">
        <v>0</v>
      </c>
      <c r="O12" s="15">
        <f t="shared" si="0"/>
        <v>0</v>
      </c>
      <c r="P12" s="83">
        <f>AVERAGE(O12:O13)</f>
        <v>0</v>
      </c>
      <c r="Q12" s="16"/>
      <c r="R12" s="12">
        <f t="shared" si="1"/>
        <v>0</v>
      </c>
      <c r="S12" s="81"/>
      <c r="T12" s="81"/>
      <c r="U12" s="81" t="s">
        <v>701</v>
      </c>
      <c r="V12" s="81">
        <v>409901101</v>
      </c>
      <c r="W12" s="81" t="s">
        <v>692</v>
      </c>
      <c r="X12" s="81" t="s">
        <v>39</v>
      </c>
      <c r="Y12" s="81" t="s">
        <v>693</v>
      </c>
      <c r="Z12" s="81">
        <v>0</v>
      </c>
      <c r="AA12" s="81">
        <v>200</v>
      </c>
      <c r="AB12" s="81">
        <v>50</v>
      </c>
      <c r="AC12" s="84">
        <v>0</v>
      </c>
      <c r="AD12" s="83">
        <f>IF((AC12/AA12)&gt;1,1,AC12/AA12)</f>
        <v>0</v>
      </c>
      <c r="AE12" s="85">
        <f>F12</f>
        <v>1652433913</v>
      </c>
      <c r="AF12" s="81">
        <f>SUM(R12:R13)</f>
        <v>0</v>
      </c>
      <c r="AG12" s="83">
        <f>IF((AF12/AE12)&gt;1,1,AF12/AE12)</f>
        <v>0</v>
      </c>
    </row>
    <row r="13" spans="1:33" ht="61.5" customHeight="1" x14ac:dyDescent="0.25">
      <c r="A13" s="70">
        <v>65</v>
      </c>
      <c r="B13" s="104"/>
      <c r="C13" s="82"/>
      <c r="D13" s="82"/>
      <c r="E13" s="90"/>
      <c r="F13" s="90"/>
      <c r="G13" s="71" t="s">
        <v>702</v>
      </c>
      <c r="H13" s="72" t="s">
        <v>703</v>
      </c>
      <c r="I13" s="72">
        <v>0</v>
      </c>
      <c r="J13" s="73">
        <v>50</v>
      </c>
      <c r="K13" s="72" t="s">
        <v>88</v>
      </c>
      <c r="L13" s="72" t="s">
        <v>704</v>
      </c>
      <c r="M13" s="90"/>
      <c r="N13" s="74">
        <v>0</v>
      </c>
      <c r="O13" s="75">
        <f t="shared" si="0"/>
        <v>0</v>
      </c>
      <c r="P13" s="82"/>
      <c r="Q13" s="16"/>
      <c r="R13" s="12">
        <f t="shared" si="1"/>
        <v>0</v>
      </c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</row>
    <row r="14" spans="1:33" ht="61.5" customHeight="1" x14ac:dyDescent="0.25">
      <c r="A14" s="70"/>
      <c r="B14" s="104"/>
      <c r="C14" s="27" t="s">
        <v>705</v>
      </c>
      <c r="D14" s="72" t="s">
        <v>706</v>
      </c>
      <c r="E14" s="12" t="s">
        <v>707</v>
      </c>
      <c r="F14" s="17">
        <v>50000000</v>
      </c>
      <c r="G14" s="129" t="s">
        <v>219</v>
      </c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8"/>
      <c r="U14" s="12" t="s">
        <v>708</v>
      </c>
      <c r="V14" s="76">
        <v>210201000</v>
      </c>
      <c r="W14" s="16" t="s">
        <v>709</v>
      </c>
      <c r="X14" s="12" t="s">
        <v>39</v>
      </c>
      <c r="Y14" s="12" t="s">
        <v>710</v>
      </c>
      <c r="Z14" s="12">
        <v>0</v>
      </c>
      <c r="AA14" s="12">
        <v>1000</v>
      </c>
      <c r="AB14" s="12">
        <v>250</v>
      </c>
      <c r="AC14" s="129" t="s">
        <v>219</v>
      </c>
      <c r="AD14" s="98"/>
      <c r="AE14" s="29">
        <f t="shared" ref="AE14:AE15" si="2">F14</f>
        <v>50000000</v>
      </c>
      <c r="AF14" s="129" t="s">
        <v>219</v>
      </c>
      <c r="AG14" s="98"/>
    </row>
    <row r="15" spans="1:33" ht="61.5" customHeight="1" x14ac:dyDescent="0.25">
      <c r="A15" s="70"/>
      <c r="B15" s="104"/>
      <c r="C15" s="113" t="s">
        <v>711</v>
      </c>
      <c r="D15" s="81" t="s">
        <v>712</v>
      </c>
      <c r="E15" s="81" t="s">
        <v>713</v>
      </c>
      <c r="F15" s="102">
        <v>1000000000</v>
      </c>
      <c r="G15" s="48" t="s">
        <v>714</v>
      </c>
      <c r="H15" s="12" t="s">
        <v>715</v>
      </c>
      <c r="I15" s="12">
        <v>0</v>
      </c>
      <c r="J15" s="13">
        <v>1</v>
      </c>
      <c r="K15" s="12" t="s">
        <v>39</v>
      </c>
      <c r="L15" s="12" t="s">
        <v>422</v>
      </c>
      <c r="M15" s="81" t="s">
        <v>90</v>
      </c>
      <c r="N15" s="64">
        <v>0</v>
      </c>
      <c r="O15" s="15">
        <f t="shared" ref="O15:O24" si="3">IF((N15/J15)&gt;1,1,N15/J15)</f>
        <v>0</v>
      </c>
      <c r="P15" s="149">
        <f>AVERAGE(O15:O16)</f>
        <v>0</v>
      </c>
      <c r="Q15" s="16"/>
      <c r="R15" s="12">
        <f t="shared" ref="R15:R24" si="4">0</f>
        <v>0</v>
      </c>
      <c r="S15" s="81"/>
      <c r="T15" s="81"/>
      <c r="U15" s="81" t="s">
        <v>716</v>
      </c>
      <c r="V15" s="81">
        <v>240212100</v>
      </c>
      <c r="W15" s="81" t="s">
        <v>717</v>
      </c>
      <c r="X15" s="81" t="s">
        <v>39</v>
      </c>
      <c r="Y15" s="81" t="s">
        <v>710</v>
      </c>
      <c r="Z15" s="81">
        <v>0</v>
      </c>
      <c r="AA15" s="81">
        <v>1600</v>
      </c>
      <c r="AB15" s="81">
        <v>400</v>
      </c>
      <c r="AC15" s="84">
        <v>0</v>
      </c>
      <c r="AD15" s="83">
        <f>IF((AC15/AA15)&gt;1,1,AC15/AA15)</f>
        <v>0</v>
      </c>
      <c r="AE15" s="102">
        <f t="shared" si="2"/>
        <v>1000000000</v>
      </c>
      <c r="AF15" s="81">
        <f>SUM(R15:R16)</f>
        <v>0</v>
      </c>
      <c r="AG15" s="83">
        <f>IF((AF15/AE15)&gt;1,1,AF15/AE15)</f>
        <v>0</v>
      </c>
    </row>
    <row r="16" spans="1:33" ht="61.5" customHeight="1" x14ac:dyDescent="0.25">
      <c r="A16" s="70"/>
      <c r="B16" s="82"/>
      <c r="C16" s="82"/>
      <c r="D16" s="90"/>
      <c r="E16" s="82"/>
      <c r="F16" s="82"/>
      <c r="G16" s="48" t="s">
        <v>718</v>
      </c>
      <c r="H16" s="12" t="s">
        <v>719</v>
      </c>
      <c r="I16" s="12">
        <v>0</v>
      </c>
      <c r="J16" s="13">
        <v>300</v>
      </c>
      <c r="K16" s="12" t="s">
        <v>39</v>
      </c>
      <c r="L16" s="12" t="s">
        <v>720</v>
      </c>
      <c r="M16" s="82"/>
      <c r="N16" s="64">
        <v>0</v>
      </c>
      <c r="O16" s="15">
        <f t="shared" si="3"/>
        <v>0</v>
      </c>
      <c r="P16" s="87"/>
      <c r="Q16" s="16"/>
      <c r="R16" s="12">
        <f t="shared" si="4"/>
        <v>0</v>
      </c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61.5" customHeight="1" x14ac:dyDescent="0.25">
      <c r="A17" s="70">
        <v>67</v>
      </c>
      <c r="B17" s="81" t="s">
        <v>721</v>
      </c>
      <c r="C17" s="113" t="s">
        <v>722</v>
      </c>
      <c r="D17" s="81" t="s">
        <v>723</v>
      </c>
      <c r="E17" s="81" t="s">
        <v>724</v>
      </c>
      <c r="F17" s="102">
        <v>10000000</v>
      </c>
      <c r="G17" s="48" t="s">
        <v>725</v>
      </c>
      <c r="H17" s="12" t="s">
        <v>726</v>
      </c>
      <c r="I17" s="12">
        <v>0</v>
      </c>
      <c r="J17" s="13">
        <v>1</v>
      </c>
      <c r="K17" s="12" t="s">
        <v>39</v>
      </c>
      <c r="L17" s="12" t="s">
        <v>422</v>
      </c>
      <c r="M17" s="81" t="s">
        <v>90</v>
      </c>
      <c r="N17" s="64">
        <v>0</v>
      </c>
      <c r="O17" s="15">
        <f t="shared" si="3"/>
        <v>0</v>
      </c>
      <c r="P17" s="149">
        <f>AVERAGE(O17:O18)</f>
        <v>0</v>
      </c>
      <c r="Q17" s="16"/>
      <c r="R17" s="12">
        <f t="shared" si="4"/>
        <v>0</v>
      </c>
      <c r="S17" s="81"/>
      <c r="T17" s="81"/>
      <c r="U17" s="81" t="s">
        <v>727</v>
      </c>
      <c r="V17" s="81">
        <v>400103100</v>
      </c>
      <c r="W17" s="81" t="s">
        <v>728</v>
      </c>
      <c r="X17" s="81" t="s">
        <v>39</v>
      </c>
      <c r="Y17" s="143" t="s">
        <v>40</v>
      </c>
      <c r="Z17" s="81">
        <v>0</v>
      </c>
      <c r="AA17" s="81">
        <v>150</v>
      </c>
      <c r="AB17" s="81">
        <v>100</v>
      </c>
      <c r="AC17" s="84">
        <v>0</v>
      </c>
      <c r="AD17" s="83">
        <f>IF((AC17/AA17)&gt;1,1,AC17/AA17)</f>
        <v>0</v>
      </c>
      <c r="AE17" s="102">
        <f>F17</f>
        <v>10000000</v>
      </c>
      <c r="AF17" s="81">
        <f>SUM(R17:R18)</f>
        <v>0</v>
      </c>
      <c r="AG17" s="83">
        <f>IF((AF17/AE17)&gt;1,1,AF17/AE17)</f>
        <v>0</v>
      </c>
    </row>
    <row r="18" spans="1:33" ht="61.5" customHeight="1" x14ac:dyDescent="0.25">
      <c r="A18" s="70"/>
      <c r="B18" s="104"/>
      <c r="C18" s="90"/>
      <c r="D18" s="90"/>
      <c r="E18" s="82"/>
      <c r="F18" s="82"/>
      <c r="G18" s="48" t="s">
        <v>729</v>
      </c>
      <c r="H18" s="12" t="s">
        <v>730</v>
      </c>
      <c r="I18" s="12">
        <v>0</v>
      </c>
      <c r="J18" s="13">
        <v>70</v>
      </c>
      <c r="K18" s="12" t="s">
        <v>39</v>
      </c>
      <c r="L18" s="12" t="s">
        <v>422</v>
      </c>
      <c r="M18" s="82"/>
      <c r="N18" s="64">
        <v>0</v>
      </c>
      <c r="O18" s="15">
        <f t="shared" si="3"/>
        <v>0</v>
      </c>
      <c r="P18" s="87"/>
      <c r="Q18" s="16"/>
      <c r="R18" s="12">
        <f t="shared" si="4"/>
        <v>0</v>
      </c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61.5" customHeight="1" x14ac:dyDescent="0.25">
      <c r="A19" s="70">
        <v>68</v>
      </c>
      <c r="B19" s="104"/>
      <c r="C19" s="113" t="s">
        <v>731</v>
      </c>
      <c r="D19" s="81" t="s">
        <v>732</v>
      </c>
      <c r="E19" s="81" t="s">
        <v>733</v>
      </c>
      <c r="F19" s="102">
        <v>10000000</v>
      </c>
      <c r="G19" s="48" t="s">
        <v>734</v>
      </c>
      <c r="H19" s="12" t="s">
        <v>726</v>
      </c>
      <c r="I19" s="12">
        <v>0</v>
      </c>
      <c r="J19" s="13">
        <v>1</v>
      </c>
      <c r="K19" s="12" t="s">
        <v>39</v>
      </c>
      <c r="L19" s="12" t="s">
        <v>422</v>
      </c>
      <c r="M19" s="81" t="s">
        <v>90</v>
      </c>
      <c r="N19" s="64">
        <v>0</v>
      </c>
      <c r="O19" s="15">
        <f t="shared" si="3"/>
        <v>0</v>
      </c>
      <c r="P19" s="149">
        <f>AVERAGE(O19:O20)</f>
        <v>0</v>
      </c>
      <c r="Q19" s="16"/>
      <c r="R19" s="12">
        <f t="shared" si="4"/>
        <v>0</v>
      </c>
      <c r="S19" s="81"/>
      <c r="T19" s="81"/>
      <c r="U19" s="81" t="s">
        <v>735</v>
      </c>
      <c r="V19" s="81">
        <v>400103200</v>
      </c>
      <c r="W19" s="81" t="s">
        <v>736</v>
      </c>
      <c r="X19" s="81" t="s">
        <v>39</v>
      </c>
      <c r="Y19" s="143" t="s">
        <v>40</v>
      </c>
      <c r="Z19" s="81">
        <v>0</v>
      </c>
      <c r="AA19" s="81">
        <v>150</v>
      </c>
      <c r="AB19" s="81">
        <v>60</v>
      </c>
      <c r="AC19" s="84">
        <v>0</v>
      </c>
      <c r="AD19" s="83">
        <f>IF((AC19/AA19)&gt;1,1,AC19/AA19)</f>
        <v>0</v>
      </c>
      <c r="AE19" s="102">
        <f>F19</f>
        <v>10000000</v>
      </c>
      <c r="AF19" s="81">
        <f>SUM(R19:R20)</f>
        <v>0</v>
      </c>
      <c r="AG19" s="83">
        <f>IF((AF19/AE19)&gt;1,1,AF19/AE19)</f>
        <v>0</v>
      </c>
    </row>
    <row r="20" spans="1:33" ht="61.5" customHeight="1" x14ac:dyDescent="0.25">
      <c r="A20" s="70"/>
      <c r="B20" s="104"/>
      <c r="C20" s="82"/>
      <c r="D20" s="82"/>
      <c r="E20" s="82"/>
      <c r="F20" s="82"/>
      <c r="G20" s="48" t="s">
        <v>737</v>
      </c>
      <c r="H20" s="12" t="s">
        <v>730</v>
      </c>
      <c r="I20" s="12">
        <v>0</v>
      </c>
      <c r="J20" s="13">
        <v>68</v>
      </c>
      <c r="K20" s="12" t="s">
        <v>39</v>
      </c>
      <c r="L20" s="12" t="s">
        <v>422</v>
      </c>
      <c r="M20" s="82"/>
      <c r="N20" s="64">
        <v>0</v>
      </c>
      <c r="O20" s="15">
        <f t="shared" si="3"/>
        <v>0</v>
      </c>
      <c r="P20" s="87"/>
      <c r="Q20" s="16"/>
      <c r="R20" s="12">
        <f t="shared" si="4"/>
        <v>0</v>
      </c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61.5" customHeight="1" x14ac:dyDescent="0.25">
      <c r="A21" s="70">
        <v>69</v>
      </c>
      <c r="B21" s="104"/>
      <c r="C21" s="113" t="s">
        <v>738</v>
      </c>
      <c r="D21" s="81" t="s">
        <v>739</v>
      </c>
      <c r="E21" s="81" t="s">
        <v>740</v>
      </c>
      <c r="F21" s="102">
        <v>70000000</v>
      </c>
      <c r="G21" s="48" t="s">
        <v>741</v>
      </c>
      <c r="H21" s="12" t="s">
        <v>726</v>
      </c>
      <c r="I21" s="12">
        <v>0</v>
      </c>
      <c r="J21" s="13">
        <v>1</v>
      </c>
      <c r="K21" s="12" t="s">
        <v>39</v>
      </c>
      <c r="L21" s="12" t="s">
        <v>422</v>
      </c>
      <c r="M21" s="81" t="s">
        <v>90</v>
      </c>
      <c r="N21" s="64">
        <v>0</v>
      </c>
      <c r="O21" s="15">
        <f t="shared" si="3"/>
        <v>0</v>
      </c>
      <c r="P21" s="149">
        <f>AVERAGE(O21:O22)</f>
        <v>0</v>
      </c>
      <c r="Q21" s="16"/>
      <c r="R21" s="12">
        <f t="shared" si="4"/>
        <v>0</v>
      </c>
      <c r="S21" s="81"/>
      <c r="T21" s="81"/>
      <c r="U21" s="81" t="s">
        <v>742</v>
      </c>
      <c r="V21" s="81">
        <v>400103100</v>
      </c>
      <c r="W21" s="81" t="s">
        <v>728</v>
      </c>
      <c r="X21" s="81" t="s">
        <v>39</v>
      </c>
      <c r="Y21" s="143" t="s">
        <v>40</v>
      </c>
      <c r="Z21" s="81">
        <v>0</v>
      </c>
      <c r="AA21" s="81">
        <v>4</v>
      </c>
      <c r="AB21" s="81">
        <v>1</v>
      </c>
      <c r="AC21" s="84">
        <v>0</v>
      </c>
      <c r="AD21" s="83">
        <f>IF((AC21/AA21)&gt;1,1,AC21/AA21)</f>
        <v>0</v>
      </c>
      <c r="AE21" s="102">
        <f>F21</f>
        <v>70000000</v>
      </c>
      <c r="AF21" s="81">
        <f>SUM(R21:R22)</f>
        <v>0</v>
      </c>
      <c r="AG21" s="83">
        <f>IF((AF21/AE21)&gt;1,1,AF21/AE21)</f>
        <v>0</v>
      </c>
    </row>
    <row r="22" spans="1:33" ht="61.5" customHeight="1" x14ac:dyDescent="0.25">
      <c r="A22" s="70"/>
      <c r="B22" s="104"/>
      <c r="C22" s="90"/>
      <c r="D22" s="82"/>
      <c r="E22" s="82"/>
      <c r="F22" s="82"/>
      <c r="G22" s="48" t="s">
        <v>743</v>
      </c>
      <c r="H22" s="12" t="s">
        <v>730</v>
      </c>
      <c r="I22" s="12">
        <v>0</v>
      </c>
      <c r="J22" s="13">
        <v>4</v>
      </c>
      <c r="K22" s="12" t="s">
        <v>39</v>
      </c>
      <c r="L22" s="12" t="s">
        <v>422</v>
      </c>
      <c r="M22" s="82"/>
      <c r="N22" s="64">
        <v>0</v>
      </c>
      <c r="O22" s="15">
        <f t="shared" si="3"/>
        <v>0</v>
      </c>
      <c r="P22" s="87"/>
      <c r="Q22" s="16"/>
      <c r="R22" s="12">
        <f t="shared" si="4"/>
        <v>0</v>
      </c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</row>
    <row r="23" spans="1:33" ht="61.5" customHeight="1" x14ac:dyDescent="0.25">
      <c r="A23" s="70">
        <v>70</v>
      </c>
      <c r="B23" s="104"/>
      <c r="C23" s="113" t="s">
        <v>744</v>
      </c>
      <c r="D23" s="120" t="s">
        <v>745</v>
      </c>
      <c r="E23" s="81" t="s">
        <v>746</v>
      </c>
      <c r="F23" s="102">
        <v>30000000</v>
      </c>
      <c r="G23" s="48" t="s">
        <v>747</v>
      </c>
      <c r="H23" s="12" t="s">
        <v>748</v>
      </c>
      <c r="I23" s="12">
        <v>0</v>
      </c>
      <c r="J23" s="13">
        <v>1</v>
      </c>
      <c r="K23" s="12" t="s">
        <v>39</v>
      </c>
      <c r="L23" s="12" t="s">
        <v>422</v>
      </c>
      <c r="M23" s="81" t="s">
        <v>90</v>
      </c>
      <c r="N23" s="64">
        <v>0</v>
      </c>
      <c r="O23" s="15">
        <f t="shared" si="3"/>
        <v>0</v>
      </c>
      <c r="P23" s="149">
        <f>AVERAGE(O23:O24)</f>
        <v>0</v>
      </c>
      <c r="Q23" s="16"/>
      <c r="R23" s="12">
        <f t="shared" si="4"/>
        <v>0</v>
      </c>
      <c r="S23" s="81"/>
      <c r="T23" s="81"/>
      <c r="U23" s="81" t="s">
        <v>749</v>
      </c>
      <c r="V23" s="81">
        <v>400300800</v>
      </c>
      <c r="W23" s="81" t="s">
        <v>750</v>
      </c>
      <c r="X23" s="81" t="s">
        <v>39</v>
      </c>
      <c r="Y23" s="143" t="s">
        <v>40</v>
      </c>
      <c r="Z23" s="81">
        <v>0</v>
      </c>
      <c r="AA23" s="81">
        <v>33</v>
      </c>
      <c r="AB23" s="81">
        <v>7</v>
      </c>
      <c r="AC23" s="84">
        <v>0</v>
      </c>
      <c r="AD23" s="83">
        <f>IF((AC23/AA23)&gt;1,1,AC23/AA23)</f>
        <v>0</v>
      </c>
      <c r="AE23" s="102">
        <f>F23</f>
        <v>30000000</v>
      </c>
      <c r="AF23" s="81">
        <f>SUM(R23:R24)</f>
        <v>0</v>
      </c>
      <c r="AG23" s="83">
        <f>IF((AF23/AE23)&gt;1,1,AF23/AE23)</f>
        <v>0</v>
      </c>
    </row>
    <row r="24" spans="1:33" ht="61.5" customHeight="1" x14ac:dyDescent="0.25">
      <c r="A24" s="70"/>
      <c r="B24" s="82"/>
      <c r="C24" s="82"/>
      <c r="D24" s="82"/>
      <c r="E24" s="82"/>
      <c r="F24" s="82"/>
      <c r="G24" s="48" t="s">
        <v>751</v>
      </c>
      <c r="H24" s="12" t="s">
        <v>752</v>
      </c>
      <c r="I24" s="12">
        <v>0</v>
      </c>
      <c r="J24" s="13">
        <v>50</v>
      </c>
      <c r="K24" s="12" t="s">
        <v>39</v>
      </c>
      <c r="L24" s="12" t="s">
        <v>422</v>
      </c>
      <c r="M24" s="82"/>
      <c r="N24" s="64">
        <v>0</v>
      </c>
      <c r="O24" s="15">
        <f t="shared" si="3"/>
        <v>0</v>
      </c>
      <c r="P24" s="87"/>
      <c r="Q24" s="16"/>
      <c r="R24" s="12">
        <f t="shared" si="4"/>
        <v>0</v>
      </c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</row>
    <row r="25" spans="1:33" ht="61.5" customHeight="1" x14ac:dyDescent="0.25">
      <c r="A25" s="34"/>
      <c r="B25" s="34"/>
      <c r="C25" s="34"/>
      <c r="D25" s="35"/>
      <c r="E25" s="36"/>
      <c r="F25" s="34"/>
      <c r="G25" s="34"/>
      <c r="H25" s="37"/>
      <c r="I25" s="34"/>
      <c r="J25" s="34"/>
      <c r="K25" s="34"/>
      <c r="L25" s="34"/>
      <c r="M25" s="34"/>
      <c r="N25" s="38" t="s">
        <v>282</v>
      </c>
      <c r="O25" s="39">
        <f t="shared" ref="O25:P25" si="5">AVERAGE(O4:O24)</f>
        <v>0</v>
      </c>
      <c r="P25" s="39">
        <f t="shared" si="5"/>
        <v>0</v>
      </c>
      <c r="Q25" s="38" t="s">
        <v>282</v>
      </c>
      <c r="R25" s="61">
        <f>SUM(R4:R24)</f>
        <v>0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8" t="s">
        <v>282</v>
      </c>
      <c r="AD25" s="39">
        <f>AVERAGE(AD4:AD24)</f>
        <v>0</v>
      </c>
      <c r="AE25" s="41" t="s">
        <v>282</v>
      </c>
      <c r="AF25" s="40">
        <f>SUM(AF4:AF24)</f>
        <v>0</v>
      </c>
      <c r="AG25" s="39">
        <f>AVERAGE(AG4:AG24)</f>
        <v>0</v>
      </c>
    </row>
    <row r="26" spans="1:33" ht="61.5" customHeight="1" x14ac:dyDescent="0.25">
      <c r="A26" s="77"/>
      <c r="B26" s="56"/>
      <c r="C26" s="56"/>
      <c r="D26" s="56"/>
      <c r="E26" s="56"/>
      <c r="F26" s="57"/>
      <c r="G26" s="78"/>
      <c r="H26" s="56"/>
      <c r="I26" s="56"/>
      <c r="J26" s="59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</row>
    <row r="27" spans="1:33" ht="61.5" customHeight="1" x14ac:dyDescent="0.25">
      <c r="A27" s="77"/>
      <c r="B27" s="56"/>
      <c r="C27" s="56"/>
      <c r="D27" s="56"/>
      <c r="E27" s="56"/>
      <c r="F27" s="57"/>
      <c r="G27" s="78"/>
      <c r="H27" s="56"/>
      <c r="I27" s="56"/>
      <c r="J27" s="59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</row>
    <row r="28" spans="1:33" ht="61.5" customHeight="1" x14ac:dyDescent="0.25">
      <c r="A28" s="77"/>
      <c r="B28" s="56"/>
      <c r="C28" s="56"/>
      <c r="D28" s="56"/>
      <c r="E28" s="56"/>
      <c r="F28" s="57"/>
      <c r="G28" s="78"/>
      <c r="H28" s="56"/>
      <c r="I28" s="56"/>
      <c r="J28" s="59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</row>
    <row r="29" spans="1:33" ht="61.5" customHeight="1" x14ac:dyDescent="0.25">
      <c r="A29" s="77"/>
      <c r="B29" s="56"/>
      <c r="C29" s="56"/>
      <c r="D29" s="56"/>
      <c r="E29" s="56"/>
      <c r="F29" s="57"/>
      <c r="G29" s="78"/>
      <c r="H29" s="56"/>
      <c r="I29" s="56"/>
      <c r="J29" s="5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</row>
    <row r="30" spans="1:33" ht="61.5" customHeight="1" x14ac:dyDescent="0.25">
      <c r="A30" s="77"/>
      <c r="B30" s="56"/>
      <c r="C30" s="56"/>
      <c r="D30" s="56"/>
      <c r="E30" s="56"/>
      <c r="F30" s="57"/>
      <c r="G30" s="78"/>
      <c r="H30" s="56"/>
      <c r="I30" s="56"/>
      <c r="J30" s="59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</row>
    <row r="31" spans="1:33" ht="61.5" customHeight="1" x14ac:dyDescent="0.25">
      <c r="A31" s="77"/>
      <c r="B31" s="56"/>
      <c r="C31" s="56"/>
      <c r="D31" s="56"/>
      <c r="E31" s="56"/>
      <c r="F31" s="57"/>
      <c r="G31" s="78"/>
      <c r="H31" s="56"/>
      <c r="I31" s="56"/>
      <c r="J31" s="59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</row>
    <row r="32" spans="1:33" ht="61.5" customHeight="1" x14ac:dyDescent="0.25">
      <c r="A32" s="77"/>
      <c r="B32" s="56"/>
      <c r="C32" s="56"/>
      <c r="D32" s="56"/>
      <c r="E32" s="56"/>
      <c r="F32" s="57"/>
      <c r="G32" s="78"/>
      <c r="H32" s="56"/>
      <c r="I32" s="56"/>
      <c r="J32" s="59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</row>
    <row r="33" spans="1:33" ht="61.5" customHeight="1" x14ac:dyDescent="0.25">
      <c r="A33" s="77"/>
      <c r="B33" s="56"/>
      <c r="C33" s="56"/>
      <c r="D33" s="56"/>
      <c r="E33" s="56"/>
      <c r="F33" s="57"/>
      <c r="G33" s="78"/>
      <c r="H33" s="56"/>
      <c r="I33" s="56"/>
      <c r="J33" s="59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</row>
    <row r="34" spans="1:33" ht="61.5" customHeight="1" x14ac:dyDescent="0.25">
      <c r="A34" s="77"/>
      <c r="B34" s="56"/>
      <c r="C34" s="56"/>
      <c r="D34" s="56"/>
      <c r="E34" s="56"/>
      <c r="F34" s="57"/>
      <c r="G34" s="78"/>
      <c r="H34" s="56"/>
      <c r="I34" s="56"/>
      <c r="J34" s="59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</row>
    <row r="35" spans="1:33" ht="61.5" customHeight="1" x14ac:dyDescent="0.25">
      <c r="A35" s="77"/>
      <c r="B35" s="56"/>
      <c r="C35" s="56"/>
      <c r="D35" s="56"/>
      <c r="E35" s="56"/>
      <c r="F35" s="57"/>
      <c r="G35" s="78"/>
      <c r="H35" s="56"/>
      <c r="I35" s="56"/>
      <c r="J35" s="59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</row>
    <row r="36" spans="1:33" ht="61.5" customHeight="1" x14ac:dyDescent="0.25">
      <c r="A36" s="77"/>
      <c r="B36" s="56"/>
      <c r="C36" s="56"/>
      <c r="D36" s="56"/>
      <c r="E36" s="56"/>
      <c r="F36" s="57"/>
      <c r="G36" s="78"/>
      <c r="H36" s="56"/>
      <c r="I36" s="56"/>
      <c r="J36" s="59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</row>
    <row r="37" spans="1:33" ht="61.5" customHeight="1" x14ac:dyDescent="0.25">
      <c r="A37" s="77"/>
      <c r="B37" s="56"/>
      <c r="C37" s="56"/>
      <c r="D37" s="56"/>
      <c r="E37" s="56"/>
      <c r="F37" s="57"/>
      <c r="G37" s="78"/>
      <c r="H37" s="56"/>
      <c r="I37" s="56"/>
      <c r="J37" s="59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</row>
    <row r="38" spans="1:33" ht="61.5" customHeight="1" x14ac:dyDescent="0.25">
      <c r="A38" s="77"/>
      <c r="B38" s="56"/>
      <c r="C38" s="56"/>
      <c r="D38" s="56"/>
      <c r="E38" s="56"/>
      <c r="F38" s="57"/>
      <c r="G38" s="78"/>
      <c r="H38" s="56"/>
      <c r="I38" s="56"/>
      <c r="J38" s="59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</row>
    <row r="39" spans="1:33" ht="61.5" customHeight="1" x14ac:dyDescent="0.25">
      <c r="A39" s="77"/>
      <c r="B39" s="56"/>
      <c r="C39" s="56"/>
      <c r="D39" s="56"/>
      <c r="E39" s="56"/>
      <c r="F39" s="57"/>
      <c r="G39" s="78"/>
      <c r="H39" s="56"/>
      <c r="I39" s="56"/>
      <c r="J39" s="59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</row>
    <row r="40" spans="1:33" ht="61.5" customHeight="1" x14ac:dyDescent="0.25">
      <c r="A40" s="77"/>
      <c r="B40" s="56"/>
      <c r="C40" s="56"/>
      <c r="D40" s="56"/>
      <c r="E40" s="56"/>
      <c r="F40" s="57"/>
      <c r="G40" s="78"/>
      <c r="H40" s="56"/>
      <c r="I40" s="56"/>
      <c r="J40" s="59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</row>
    <row r="41" spans="1:33" ht="61.5" customHeight="1" x14ac:dyDescent="0.25">
      <c r="A41" s="77"/>
      <c r="B41" s="56"/>
      <c r="C41" s="56"/>
      <c r="D41" s="56"/>
      <c r="E41" s="56"/>
      <c r="F41" s="57"/>
      <c r="G41" s="78"/>
      <c r="H41" s="56"/>
      <c r="I41" s="56"/>
      <c r="J41" s="59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</row>
    <row r="42" spans="1:33" ht="61.5" customHeight="1" x14ac:dyDescent="0.25">
      <c r="A42" s="77"/>
      <c r="B42" s="56"/>
      <c r="C42" s="56"/>
      <c r="D42" s="56"/>
      <c r="E42" s="56"/>
      <c r="F42" s="57"/>
      <c r="G42" s="78"/>
      <c r="H42" s="56"/>
      <c r="I42" s="56"/>
      <c r="J42" s="59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</row>
    <row r="43" spans="1:33" ht="61.5" customHeight="1" x14ac:dyDescent="0.25">
      <c r="A43" s="77"/>
      <c r="B43" s="56"/>
      <c r="C43" s="56"/>
      <c r="D43" s="56"/>
      <c r="E43" s="56"/>
      <c r="F43" s="57"/>
      <c r="G43" s="78"/>
      <c r="H43" s="56"/>
      <c r="I43" s="56"/>
      <c r="J43" s="59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</row>
    <row r="44" spans="1:33" ht="61.5" customHeight="1" x14ac:dyDescent="0.25">
      <c r="A44" s="77"/>
      <c r="B44" s="56"/>
      <c r="C44" s="56"/>
      <c r="D44" s="56"/>
      <c r="E44" s="56"/>
      <c r="F44" s="57"/>
      <c r="G44" s="78"/>
      <c r="H44" s="56"/>
      <c r="I44" s="56"/>
      <c r="J44" s="59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</row>
    <row r="45" spans="1:33" ht="61.5" customHeight="1" x14ac:dyDescent="0.25">
      <c r="A45" s="77"/>
      <c r="B45" s="56"/>
      <c r="C45" s="56"/>
      <c r="D45" s="56"/>
      <c r="E45" s="56"/>
      <c r="F45" s="57"/>
      <c r="G45" s="78"/>
      <c r="H45" s="56"/>
      <c r="I45" s="56"/>
      <c r="J45" s="59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</row>
    <row r="46" spans="1:33" ht="61.5" customHeight="1" x14ac:dyDescent="0.25">
      <c r="A46" s="77"/>
      <c r="B46" s="56"/>
      <c r="C46" s="56"/>
      <c r="D46" s="56"/>
      <c r="E46" s="56"/>
      <c r="F46" s="57"/>
      <c r="G46" s="78"/>
      <c r="H46" s="56"/>
      <c r="I46" s="56"/>
      <c r="J46" s="59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</row>
    <row r="47" spans="1:33" ht="61.5" customHeight="1" x14ac:dyDescent="0.25">
      <c r="A47" s="77"/>
      <c r="B47" s="56"/>
      <c r="C47" s="56"/>
      <c r="D47" s="56"/>
      <c r="E47" s="56"/>
      <c r="F47" s="57"/>
      <c r="G47" s="78"/>
      <c r="H47" s="56"/>
      <c r="I47" s="56"/>
      <c r="J47" s="59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</row>
    <row r="48" spans="1:33" ht="61.5" customHeight="1" x14ac:dyDescent="0.25">
      <c r="A48" s="77"/>
      <c r="B48" s="56"/>
      <c r="C48" s="56"/>
      <c r="D48" s="56"/>
      <c r="E48" s="56"/>
      <c r="F48" s="57"/>
      <c r="G48" s="78"/>
      <c r="H48" s="56"/>
      <c r="I48" s="56"/>
      <c r="J48" s="59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</row>
    <row r="49" spans="1:33" ht="61.5" customHeight="1" x14ac:dyDescent="0.25">
      <c r="A49" s="77"/>
      <c r="B49" s="56"/>
      <c r="C49" s="56"/>
      <c r="D49" s="56"/>
      <c r="E49" s="56"/>
      <c r="F49" s="57"/>
      <c r="G49" s="78"/>
      <c r="H49" s="56"/>
      <c r="I49" s="56"/>
      <c r="J49" s="59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</row>
    <row r="50" spans="1:33" ht="61.5" customHeight="1" x14ac:dyDescent="0.25">
      <c r="A50" s="77"/>
      <c r="B50" s="56"/>
      <c r="C50" s="56"/>
      <c r="D50" s="56"/>
      <c r="E50" s="56"/>
      <c r="F50" s="57"/>
      <c r="G50" s="78"/>
      <c r="H50" s="56"/>
      <c r="I50" s="56"/>
      <c r="J50" s="59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</row>
    <row r="51" spans="1:33" ht="61.5" customHeight="1" x14ac:dyDescent="0.25">
      <c r="A51" s="77"/>
      <c r="B51" s="56"/>
      <c r="C51" s="56"/>
      <c r="D51" s="56"/>
      <c r="E51" s="56"/>
      <c r="F51" s="57"/>
      <c r="G51" s="78"/>
      <c r="H51" s="56"/>
      <c r="I51" s="56"/>
      <c r="J51" s="59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</row>
    <row r="52" spans="1:33" ht="61.5" customHeight="1" x14ac:dyDescent="0.25">
      <c r="A52" s="77"/>
      <c r="B52" s="56"/>
      <c r="C52" s="56"/>
      <c r="D52" s="56"/>
      <c r="E52" s="56"/>
      <c r="F52" s="57"/>
      <c r="G52" s="78"/>
      <c r="H52" s="56"/>
      <c r="I52" s="56"/>
      <c r="J52" s="59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</row>
    <row r="53" spans="1:33" ht="61.5" customHeight="1" x14ac:dyDescent="0.25">
      <c r="A53" s="77"/>
      <c r="B53" s="56"/>
      <c r="C53" s="56"/>
      <c r="D53" s="56"/>
      <c r="E53" s="56"/>
      <c r="F53" s="57"/>
      <c r="G53" s="78"/>
      <c r="H53" s="56"/>
      <c r="I53" s="56"/>
      <c r="J53" s="59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</row>
    <row r="54" spans="1:33" ht="61.5" customHeight="1" x14ac:dyDescent="0.25">
      <c r="A54" s="77"/>
      <c r="B54" s="56"/>
      <c r="C54" s="56"/>
      <c r="D54" s="56"/>
      <c r="E54" s="56"/>
      <c r="F54" s="57"/>
      <c r="G54" s="78"/>
      <c r="H54" s="56"/>
      <c r="I54" s="56"/>
      <c r="J54" s="59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</row>
    <row r="55" spans="1:33" ht="61.5" customHeight="1" x14ac:dyDescent="0.25">
      <c r="A55" s="77"/>
      <c r="B55" s="56"/>
      <c r="C55" s="56"/>
      <c r="D55" s="56"/>
      <c r="E55" s="56"/>
      <c r="F55" s="57"/>
      <c r="G55" s="78"/>
      <c r="H55" s="56"/>
      <c r="I55" s="56"/>
      <c r="J55" s="59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</row>
    <row r="56" spans="1:33" ht="61.5" customHeight="1" x14ac:dyDescent="0.25">
      <c r="A56" s="77"/>
      <c r="B56" s="56"/>
      <c r="C56" s="56"/>
      <c r="D56" s="56"/>
      <c r="E56" s="56"/>
      <c r="F56" s="57"/>
      <c r="G56" s="78"/>
      <c r="H56" s="56"/>
      <c r="I56" s="56"/>
      <c r="J56" s="59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</row>
    <row r="57" spans="1:33" ht="61.5" customHeight="1" x14ac:dyDescent="0.25">
      <c r="A57" s="77"/>
      <c r="B57" s="56"/>
      <c r="C57" s="56"/>
      <c r="D57" s="56"/>
      <c r="E57" s="56"/>
      <c r="F57" s="57"/>
      <c r="G57" s="78"/>
      <c r="H57" s="56"/>
      <c r="I57" s="56"/>
      <c r="J57" s="59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</row>
    <row r="58" spans="1:33" ht="61.5" customHeight="1" x14ac:dyDescent="0.25">
      <c r="A58" s="77"/>
      <c r="B58" s="56"/>
      <c r="C58" s="56"/>
      <c r="D58" s="56"/>
      <c r="E58" s="56"/>
      <c r="F58" s="57"/>
      <c r="G58" s="78"/>
      <c r="H58" s="56"/>
      <c r="I58" s="56"/>
      <c r="J58" s="59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</row>
    <row r="59" spans="1:33" ht="61.5" customHeight="1" x14ac:dyDescent="0.25">
      <c r="A59" s="77"/>
      <c r="B59" s="56"/>
      <c r="C59" s="56"/>
      <c r="D59" s="56"/>
      <c r="E59" s="56"/>
      <c r="F59" s="57"/>
      <c r="G59" s="78"/>
      <c r="H59" s="56"/>
      <c r="I59" s="56"/>
      <c r="J59" s="59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</row>
    <row r="60" spans="1:33" ht="61.5" customHeight="1" x14ac:dyDescent="0.25">
      <c r="A60" s="77"/>
      <c r="B60" s="56"/>
      <c r="C60" s="56"/>
      <c r="D60" s="56"/>
      <c r="E60" s="56"/>
      <c r="F60" s="57"/>
      <c r="G60" s="78"/>
      <c r="H60" s="56"/>
      <c r="I60" s="56"/>
      <c r="J60" s="59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</row>
    <row r="61" spans="1:33" ht="61.5" customHeight="1" x14ac:dyDescent="0.25">
      <c r="A61" s="77"/>
      <c r="B61" s="56"/>
      <c r="C61" s="56"/>
      <c r="D61" s="56"/>
      <c r="E61" s="56"/>
      <c r="F61" s="57"/>
      <c r="G61" s="78"/>
      <c r="H61" s="56"/>
      <c r="I61" s="56"/>
      <c r="J61" s="59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</row>
    <row r="62" spans="1:33" ht="61.5" customHeight="1" x14ac:dyDescent="0.25">
      <c r="A62" s="77"/>
      <c r="B62" s="56"/>
      <c r="C62" s="56"/>
      <c r="D62" s="56"/>
      <c r="E62" s="56"/>
      <c r="F62" s="57"/>
      <c r="G62" s="78"/>
      <c r="H62" s="56"/>
      <c r="I62" s="56"/>
      <c r="J62" s="59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</row>
    <row r="63" spans="1:33" ht="61.5" customHeight="1" x14ac:dyDescent="0.25">
      <c r="A63" s="77"/>
      <c r="B63" s="56"/>
      <c r="C63" s="56"/>
      <c r="D63" s="56"/>
      <c r="E63" s="56"/>
      <c r="F63" s="57"/>
      <c r="G63" s="78"/>
      <c r="H63" s="56"/>
      <c r="I63" s="56"/>
      <c r="J63" s="59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</row>
    <row r="64" spans="1:33" ht="61.5" customHeight="1" x14ac:dyDescent="0.25">
      <c r="A64" s="77"/>
      <c r="B64" s="56"/>
      <c r="C64" s="56"/>
      <c r="D64" s="56"/>
      <c r="E64" s="56"/>
      <c r="F64" s="57"/>
      <c r="G64" s="78"/>
      <c r="H64" s="56"/>
      <c r="I64" s="56"/>
      <c r="J64" s="59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</row>
    <row r="65" spans="1:33" ht="61.5" customHeight="1" x14ac:dyDescent="0.25">
      <c r="A65" s="77"/>
      <c r="B65" s="56"/>
      <c r="C65" s="56"/>
      <c r="D65" s="56"/>
      <c r="E65" s="56"/>
      <c r="F65" s="57"/>
      <c r="G65" s="78"/>
      <c r="H65" s="56"/>
      <c r="I65" s="56"/>
      <c r="J65" s="59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</row>
    <row r="66" spans="1:33" ht="61.5" customHeight="1" x14ac:dyDescent="0.25">
      <c r="A66" s="77"/>
      <c r="B66" s="56"/>
      <c r="C66" s="56"/>
      <c r="D66" s="56"/>
      <c r="E66" s="56"/>
      <c r="F66" s="57"/>
      <c r="G66" s="78"/>
      <c r="H66" s="56"/>
      <c r="I66" s="56"/>
      <c r="J66" s="59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</row>
    <row r="67" spans="1:33" ht="61.5" customHeight="1" x14ac:dyDescent="0.25">
      <c r="A67" s="77"/>
      <c r="B67" s="56"/>
      <c r="C67" s="56"/>
      <c r="D67" s="56"/>
      <c r="E67" s="56"/>
      <c r="F67" s="57"/>
      <c r="G67" s="78"/>
      <c r="H67" s="56"/>
      <c r="I67" s="56"/>
      <c r="J67" s="59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</row>
    <row r="68" spans="1:33" ht="61.5" customHeight="1" x14ac:dyDescent="0.25">
      <c r="A68" s="77"/>
      <c r="B68" s="56"/>
      <c r="C68" s="56"/>
      <c r="D68" s="56"/>
      <c r="E68" s="56"/>
      <c r="F68" s="57"/>
      <c r="G68" s="78"/>
      <c r="H68" s="56"/>
      <c r="I68" s="56"/>
      <c r="J68" s="59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</row>
    <row r="69" spans="1:33" ht="61.5" customHeight="1" x14ac:dyDescent="0.25">
      <c r="A69" s="77"/>
      <c r="B69" s="56"/>
      <c r="C69" s="56"/>
      <c r="D69" s="56"/>
      <c r="E69" s="56"/>
      <c r="F69" s="57"/>
      <c r="G69" s="78"/>
      <c r="H69" s="56"/>
      <c r="I69" s="56"/>
      <c r="J69" s="59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</row>
    <row r="70" spans="1:33" ht="61.5" customHeight="1" x14ac:dyDescent="0.25">
      <c r="A70" s="77"/>
      <c r="B70" s="56"/>
      <c r="C70" s="56"/>
      <c r="D70" s="56"/>
      <c r="E70" s="56"/>
      <c r="F70" s="57"/>
      <c r="G70" s="78"/>
      <c r="H70" s="56"/>
      <c r="I70" s="56"/>
      <c r="J70" s="59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</row>
    <row r="71" spans="1:33" ht="61.5" customHeight="1" x14ac:dyDescent="0.25">
      <c r="A71" s="77"/>
      <c r="B71" s="56"/>
      <c r="C71" s="56"/>
      <c r="D71" s="56"/>
      <c r="E71" s="56"/>
      <c r="F71" s="57"/>
      <c r="G71" s="78"/>
      <c r="H71" s="56"/>
      <c r="I71" s="56"/>
      <c r="J71" s="59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</row>
    <row r="72" spans="1:33" ht="61.5" customHeight="1" x14ac:dyDescent="0.25">
      <c r="A72" s="77"/>
      <c r="B72" s="56"/>
      <c r="C72" s="56"/>
      <c r="D72" s="56"/>
      <c r="E72" s="56"/>
      <c r="F72" s="57"/>
      <c r="G72" s="78"/>
      <c r="H72" s="56"/>
      <c r="I72" s="56"/>
      <c r="J72" s="59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</row>
    <row r="73" spans="1:33" ht="61.5" customHeight="1" x14ac:dyDescent="0.25">
      <c r="A73" s="77"/>
      <c r="B73" s="56"/>
      <c r="C73" s="56"/>
      <c r="D73" s="56"/>
      <c r="E73" s="56"/>
      <c r="F73" s="57"/>
      <c r="G73" s="78"/>
      <c r="H73" s="56"/>
      <c r="I73" s="56"/>
      <c r="J73" s="59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</row>
    <row r="74" spans="1:33" ht="61.5" customHeight="1" x14ac:dyDescent="0.25">
      <c r="A74" s="77"/>
      <c r="B74" s="56"/>
      <c r="C74" s="56"/>
      <c r="D74" s="56"/>
      <c r="E74" s="56"/>
      <c r="F74" s="57"/>
      <c r="G74" s="78"/>
      <c r="H74" s="56"/>
      <c r="I74" s="56"/>
      <c r="J74" s="59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</row>
    <row r="75" spans="1:33" ht="61.5" customHeight="1" x14ac:dyDescent="0.25">
      <c r="A75" s="77"/>
      <c r="B75" s="56"/>
      <c r="C75" s="56"/>
      <c r="D75" s="56"/>
      <c r="E75" s="56"/>
      <c r="F75" s="57"/>
      <c r="G75" s="78"/>
      <c r="H75" s="56"/>
      <c r="I75" s="56"/>
      <c r="J75" s="59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</row>
    <row r="76" spans="1:33" ht="61.5" customHeight="1" x14ac:dyDescent="0.25">
      <c r="A76" s="77"/>
      <c r="B76" s="56"/>
      <c r="C76" s="56"/>
      <c r="D76" s="56"/>
      <c r="E76" s="56"/>
      <c r="F76" s="57"/>
      <c r="G76" s="78"/>
      <c r="H76" s="56"/>
      <c r="I76" s="56"/>
      <c r="J76" s="59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</row>
    <row r="77" spans="1:33" ht="61.5" customHeight="1" x14ac:dyDescent="0.25">
      <c r="A77" s="77"/>
      <c r="B77" s="56"/>
      <c r="C77" s="56"/>
      <c r="D77" s="56"/>
      <c r="E77" s="56"/>
      <c r="F77" s="57"/>
      <c r="G77" s="78"/>
      <c r="H77" s="56"/>
      <c r="I77" s="56"/>
      <c r="J77" s="59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</row>
    <row r="78" spans="1:33" ht="61.5" customHeight="1" x14ac:dyDescent="0.25">
      <c r="A78" s="77"/>
      <c r="B78" s="56"/>
      <c r="C78" s="56"/>
      <c r="D78" s="56"/>
      <c r="E78" s="56"/>
      <c r="F78" s="57"/>
      <c r="G78" s="78"/>
      <c r="H78" s="56"/>
      <c r="I78" s="56"/>
      <c r="J78" s="59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</row>
    <row r="79" spans="1:33" ht="61.5" customHeight="1" x14ac:dyDescent="0.25">
      <c r="A79" s="77"/>
      <c r="B79" s="56"/>
      <c r="C79" s="56"/>
      <c r="D79" s="56"/>
      <c r="E79" s="56"/>
      <c r="F79" s="57"/>
      <c r="G79" s="78"/>
      <c r="H79" s="56"/>
      <c r="I79" s="56"/>
      <c r="J79" s="59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</row>
    <row r="80" spans="1:33" ht="61.5" customHeight="1" x14ac:dyDescent="0.25">
      <c r="A80" s="77"/>
      <c r="B80" s="56"/>
      <c r="C80" s="56"/>
      <c r="D80" s="56"/>
      <c r="E80" s="56"/>
      <c r="F80" s="57"/>
      <c r="G80" s="78"/>
      <c r="H80" s="56"/>
      <c r="I80" s="56"/>
      <c r="J80" s="59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</row>
    <row r="81" spans="1:33" ht="61.5" customHeight="1" x14ac:dyDescent="0.25">
      <c r="A81" s="77"/>
      <c r="B81" s="56"/>
      <c r="C81" s="56"/>
      <c r="D81" s="56"/>
      <c r="E81" s="56"/>
      <c r="F81" s="57"/>
      <c r="G81" s="78"/>
      <c r="H81" s="56"/>
      <c r="I81" s="56"/>
      <c r="J81" s="59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</row>
    <row r="82" spans="1:33" ht="61.5" customHeight="1" x14ac:dyDescent="0.25">
      <c r="A82" s="77"/>
      <c r="B82" s="56"/>
      <c r="C82" s="56"/>
      <c r="D82" s="56"/>
      <c r="E82" s="56"/>
      <c r="F82" s="57"/>
      <c r="G82" s="78"/>
      <c r="H82" s="56"/>
      <c r="I82" s="56"/>
      <c r="J82" s="59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</row>
    <row r="83" spans="1:33" ht="61.5" customHeight="1" x14ac:dyDescent="0.25">
      <c r="A83" s="77"/>
      <c r="B83" s="56"/>
      <c r="C83" s="56"/>
      <c r="D83" s="56"/>
      <c r="E83" s="56"/>
      <c r="F83" s="57"/>
      <c r="G83" s="78"/>
      <c r="H83" s="56"/>
      <c r="I83" s="56"/>
      <c r="J83" s="59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</row>
    <row r="84" spans="1:33" ht="61.5" customHeight="1" x14ac:dyDescent="0.25">
      <c r="A84" s="77"/>
      <c r="B84" s="56"/>
      <c r="C84" s="56"/>
      <c r="D84" s="56"/>
      <c r="E84" s="56"/>
      <c r="F84" s="57"/>
      <c r="G84" s="78"/>
      <c r="H84" s="56"/>
      <c r="I84" s="56"/>
      <c r="J84" s="59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</row>
    <row r="85" spans="1:33" ht="61.5" customHeight="1" x14ac:dyDescent="0.25">
      <c r="A85" s="77"/>
      <c r="B85" s="56"/>
      <c r="C85" s="56"/>
      <c r="D85" s="56"/>
      <c r="E85" s="56"/>
      <c r="F85" s="57"/>
      <c r="G85" s="78"/>
      <c r="H85" s="56"/>
      <c r="I85" s="56"/>
      <c r="J85" s="59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</row>
    <row r="86" spans="1:33" ht="61.5" customHeight="1" x14ac:dyDescent="0.25">
      <c r="A86" s="77"/>
      <c r="B86" s="56"/>
      <c r="C86" s="56"/>
      <c r="D86" s="56"/>
      <c r="E86" s="56"/>
      <c r="F86" s="57"/>
      <c r="G86" s="78"/>
      <c r="H86" s="56"/>
      <c r="I86" s="56"/>
      <c r="J86" s="59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</row>
    <row r="87" spans="1:33" ht="61.5" customHeight="1" x14ac:dyDescent="0.25">
      <c r="A87" s="77"/>
      <c r="B87" s="56"/>
      <c r="C87" s="56"/>
      <c r="D87" s="56"/>
      <c r="E87" s="56"/>
      <c r="F87" s="57"/>
      <c r="G87" s="78"/>
      <c r="H87" s="56"/>
      <c r="I87" s="56"/>
      <c r="J87" s="59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</row>
    <row r="88" spans="1:33" ht="61.5" customHeight="1" x14ac:dyDescent="0.25">
      <c r="A88" s="77"/>
      <c r="B88" s="56"/>
      <c r="C88" s="56"/>
      <c r="D88" s="56"/>
      <c r="E88" s="56"/>
      <c r="F88" s="57"/>
      <c r="G88" s="78"/>
      <c r="H88" s="56"/>
      <c r="I88" s="56"/>
      <c r="J88" s="59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</row>
    <row r="89" spans="1:33" ht="61.5" customHeight="1" x14ac:dyDescent="0.25">
      <c r="A89" s="77"/>
      <c r="B89" s="56"/>
      <c r="C89" s="56"/>
      <c r="D89" s="56"/>
      <c r="E89" s="56"/>
      <c r="F89" s="57"/>
      <c r="G89" s="78"/>
      <c r="H89" s="56"/>
      <c r="I89" s="56"/>
      <c r="J89" s="59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</row>
    <row r="90" spans="1:33" ht="61.5" customHeight="1" x14ac:dyDescent="0.25">
      <c r="A90" s="77"/>
      <c r="B90" s="56"/>
      <c r="C90" s="56"/>
      <c r="D90" s="56"/>
      <c r="E90" s="56"/>
      <c r="F90" s="57"/>
      <c r="G90" s="78"/>
      <c r="H90" s="56"/>
      <c r="I90" s="56"/>
      <c r="J90" s="59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</row>
    <row r="91" spans="1:33" ht="61.5" customHeight="1" x14ac:dyDescent="0.25">
      <c r="A91" s="77"/>
      <c r="B91" s="56"/>
      <c r="C91" s="56"/>
      <c r="D91" s="56"/>
      <c r="E91" s="56"/>
      <c r="F91" s="57"/>
      <c r="G91" s="78"/>
      <c r="H91" s="56"/>
      <c r="I91" s="56"/>
      <c r="J91" s="59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</row>
    <row r="92" spans="1:33" ht="61.5" customHeight="1" x14ac:dyDescent="0.25">
      <c r="A92" s="77"/>
      <c r="B92" s="56"/>
      <c r="C92" s="56"/>
      <c r="D92" s="56"/>
      <c r="E92" s="56"/>
      <c r="F92" s="57"/>
      <c r="G92" s="78"/>
      <c r="H92" s="56"/>
      <c r="I92" s="56"/>
      <c r="J92" s="59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</row>
    <row r="93" spans="1:33" ht="61.5" customHeight="1" x14ac:dyDescent="0.25">
      <c r="A93" s="77"/>
      <c r="B93" s="56"/>
      <c r="C93" s="56"/>
      <c r="D93" s="56"/>
      <c r="E93" s="56"/>
      <c r="F93" s="57"/>
      <c r="G93" s="78"/>
      <c r="H93" s="56"/>
      <c r="I93" s="56"/>
      <c r="J93" s="59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</row>
    <row r="94" spans="1:33" ht="61.5" customHeight="1" x14ac:dyDescent="0.25">
      <c r="A94" s="77"/>
      <c r="B94" s="56"/>
      <c r="C94" s="56"/>
      <c r="D94" s="56"/>
      <c r="E94" s="56"/>
      <c r="F94" s="57"/>
      <c r="G94" s="78"/>
      <c r="H94" s="56"/>
      <c r="I94" s="56"/>
      <c r="J94" s="59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</row>
    <row r="95" spans="1:33" ht="61.5" customHeight="1" x14ac:dyDescent="0.25">
      <c r="A95" s="77"/>
      <c r="B95" s="56"/>
      <c r="C95" s="56"/>
      <c r="D95" s="56"/>
      <c r="E95" s="56"/>
      <c r="F95" s="57"/>
      <c r="G95" s="78"/>
      <c r="H95" s="56"/>
      <c r="I95" s="56"/>
      <c r="J95" s="59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</row>
    <row r="96" spans="1:33" ht="61.5" customHeight="1" x14ac:dyDescent="0.25">
      <c r="A96" s="77"/>
      <c r="B96" s="56"/>
      <c r="C96" s="56"/>
      <c r="D96" s="56"/>
      <c r="E96" s="56"/>
      <c r="F96" s="57"/>
      <c r="G96" s="78"/>
      <c r="H96" s="56"/>
      <c r="I96" s="56"/>
      <c r="J96" s="59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</row>
    <row r="97" spans="1:33" ht="61.5" customHeight="1" x14ac:dyDescent="0.25">
      <c r="A97" s="77"/>
      <c r="B97" s="56"/>
      <c r="C97" s="56"/>
      <c r="D97" s="56"/>
      <c r="E97" s="56"/>
      <c r="F97" s="57"/>
      <c r="G97" s="78"/>
      <c r="H97" s="56"/>
      <c r="I97" s="56"/>
      <c r="J97" s="59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</row>
    <row r="98" spans="1:33" ht="61.5" customHeight="1" x14ac:dyDescent="0.25">
      <c r="A98" s="77"/>
      <c r="B98" s="56"/>
      <c r="C98" s="56"/>
      <c r="D98" s="56"/>
      <c r="E98" s="56"/>
      <c r="F98" s="57"/>
      <c r="G98" s="78"/>
      <c r="H98" s="56"/>
      <c r="I98" s="56"/>
      <c r="J98" s="59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</row>
    <row r="99" spans="1:33" ht="61.5" customHeight="1" x14ac:dyDescent="0.25">
      <c r="A99" s="77"/>
      <c r="B99" s="56"/>
      <c r="C99" s="56"/>
      <c r="D99" s="56"/>
      <c r="E99" s="56"/>
      <c r="F99" s="57"/>
      <c r="G99" s="78"/>
      <c r="H99" s="56"/>
      <c r="I99" s="56"/>
      <c r="J99" s="59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</row>
    <row r="100" spans="1:33" ht="61.5" customHeight="1" x14ac:dyDescent="0.25">
      <c r="A100" s="77"/>
      <c r="B100" s="56"/>
      <c r="C100" s="56"/>
      <c r="D100" s="56"/>
      <c r="E100" s="56"/>
      <c r="F100" s="57"/>
      <c r="G100" s="78"/>
      <c r="H100" s="56"/>
      <c r="I100" s="56"/>
      <c r="J100" s="59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</row>
    <row r="101" spans="1:33" ht="61.5" customHeight="1" x14ac:dyDescent="0.25">
      <c r="A101" s="77"/>
      <c r="B101" s="56"/>
      <c r="C101" s="56"/>
      <c r="D101" s="56"/>
      <c r="E101" s="56"/>
      <c r="F101" s="57"/>
      <c r="G101" s="78"/>
      <c r="H101" s="56"/>
      <c r="I101" s="56"/>
      <c r="J101" s="59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</row>
    <row r="102" spans="1:33" ht="61.5" customHeight="1" x14ac:dyDescent="0.25">
      <c r="A102" s="77"/>
      <c r="B102" s="56"/>
      <c r="C102" s="56"/>
      <c r="D102" s="56"/>
      <c r="E102" s="56"/>
      <c r="F102" s="57"/>
      <c r="G102" s="78"/>
      <c r="H102" s="56"/>
      <c r="I102" s="56"/>
      <c r="J102" s="59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</row>
    <row r="103" spans="1:33" ht="61.5" customHeight="1" x14ac:dyDescent="0.25">
      <c r="A103" s="77"/>
      <c r="B103" s="56"/>
      <c r="C103" s="56"/>
      <c r="D103" s="56"/>
      <c r="E103" s="56"/>
      <c r="F103" s="57"/>
      <c r="G103" s="78"/>
      <c r="H103" s="56"/>
      <c r="I103" s="56"/>
      <c r="J103" s="59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</row>
    <row r="104" spans="1:33" ht="61.5" customHeight="1" x14ac:dyDescent="0.25">
      <c r="A104" s="77"/>
      <c r="B104" s="56"/>
      <c r="C104" s="56"/>
      <c r="D104" s="56"/>
      <c r="E104" s="56"/>
      <c r="F104" s="57"/>
      <c r="G104" s="78"/>
      <c r="H104" s="56"/>
      <c r="I104" s="56"/>
      <c r="J104" s="59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</row>
    <row r="105" spans="1:33" ht="61.5" customHeight="1" x14ac:dyDescent="0.25">
      <c r="A105" s="77"/>
      <c r="B105" s="56"/>
      <c r="C105" s="56"/>
      <c r="D105" s="56"/>
      <c r="E105" s="56"/>
      <c r="F105" s="57"/>
      <c r="G105" s="78"/>
      <c r="H105" s="56"/>
      <c r="I105" s="56"/>
      <c r="J105" s="59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</row>
    <row r="106" spans="1:33" ht="61.5" customHeight="1" x14ac:dyDescent="0.25">
      <c r="A106" s="77"/>
      <c r="B106" s="56"/>
      <c r="C106" s="56"/>
      <c r="D106" s="56"/>
      <c r="E106" s="56"/>
      <c r="F106" s="57"/>
      <c r="G106" s="78"/>
      <c r="H106" s="56"/>
      <c r="I106" s="56"/>
      <c r="J106" s="59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</row>
    <row r="107" spans="1:33" ht="61.5" customHeight="1" x14ac:dyDescent="0.25">
      <c r="A107" s="77"/>
      <c r="B107" s="56"/>
      <c r="C107" s="56"/>
      <c r="D107" s="56"/>
      <c r="E107" s="56"/>
      <c r="F107" s="57"/>
      <c r="G107" s="78"/>
      <c r="H107" s="56"/>
      <c r="I107" s="56"/>
      <c r="J107" s="59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</row>
    <row r="108" spans="1:33" ht="61.5" customHeight="1" x14ac:dyDescent="0.25">
      <c r="A108" s="77"/>
      <c r="B108" s="56"/>
      <c r="C108" s="56"/>
      <c r="D108" s="56"/>
      <c r="E108" s="56"/>
      <c r="F108" s="57"/>
      <c r="G108" s="78"/>
      <c r="H108" s="56"/>
      <c r="I108" s="56"/>
      <c r="J108" s="59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</row>
    <row r="109" spans="1:33" ht="61.5" customHeight="1" x14ac:dyDescent="0.25">
      <c r="A109" s="77"/>
      <c r="B109" s="56"/>
      <c r="C109" s="56"/>
      <c r="D109" s="56"/>
      <c r="E109" s="56"/>
      <c r="F109" s="57"/>
      <c r="G109" s="78"/>
      <c r="H109" s="56"/>
      <c r="I109" s="56"/>
      <c r="J109" s="59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</row>
    <row r="110" spans="1:33" ht="61.5" customHeight="1" x14ac:dyDescent="0.25">
      <c r="A110" s="77"/>
      <c r="B110" s="56"/>
      <c r="C110" s="56"/>
      <c r="D110" s="56"/>
      <c r="E110" s="56"/>
      <c r="F110" s="57"/>
      <c r="G110" s="78"/>
      <c r="H110" s="56"/>
      <c r="I110" s="56"/>
      <c r="J110" s="59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</row>
    <row r="111" spans="1:33" ht="61.5" customHeight="1" x14ac:dyDescent="0.25">
      <c r="A111" s="77"/>
      <c r="B111" s="56"/>
      <c r="C111" s="56"/>
      <c r="D111" s="56"/>
      <c r="E111" s="56"/>
      <c r="F111" s="57"/>
      <c r="G111" s="78"/>
      <c r="H111" s="56"/>
      <c r="I111" s="56"/>
      <c r="J111" s="59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</row>
    <row r="112" spans="1:33" ht="61.5" customHeight="1" x14ac:dyDescent="0.25">
      <c r="A112" s="77"/>
      <c r="B112" s="56"/>
      <c r="C112" s="56"/>
      <c r="D112" s="56"/>
      <c r="E112" s="56"/>
      <c r="F112" s="57"/>
      <c r="G112" s="78"/>
      <c r="H112" s="56"/>
      <c r="I112" s="56"/>
      <c r="J112" s="59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</row>
    <row r="113" spans="1:33" ht="61.5" customHeight="1" x14ac:dyDescent="0.25">
      <c r="A113" s="77"/>
      <c r="B113" s="56"/>
      <c r="C113" s="56"/>
      <c r="D113" s="56"/>
      <c r="E113" s="56"/>
      <c r="F113" s="57"/>
      <c r="G113" s="78"/>
      <c r="H113" s="56"/>
      <c r="I113" s="56"/>
      <c r="J113" s="59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</row>
    <row r="114" spans="1:33" ht="61.5" customHeight="1" x14ac:dyDescent="0.25">
      <c r="A114" s="77"/>
      <c r="B114" s="56"/>
      <c r="C114" s="56"/>
      <c r="D114" s="56"/>
      <c r="E114" s="56"/>
      <c r="F114" s="57"/>
      <c r="G114" s="78"/>
      <c r="H114" s="56"/>
      <c r="I114" s="56"/>
      <c r="J114" s="59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</row>
    <row r="115" spans="1:33" ht="61.5" customHeight="1" x14ac:dyDescent="0.25">
      <c r="A115" s="77"/>
      <c r="B115" s="56"/>
      <c r="C115" s="56"/>
      <c r="D115" s="56"/>
      <c r="E115" s="56"/>
      <c r="F115" s="57"/>
      <c r="G115" s="78"/>
      <c r="H115" s="56"/>
      <c r="I115" s="56"/>
      <c r="J115" s="59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</row>
    <row r="116" spans="1:33" ht="61.5" customHeight="1" x14ac:dyDescent="0.25">
      <c r="A116" s="77"/>
      <c r="B116" s="56"/>
      <c r="C116" s="56"/>
      <c r="D116" s="56"/>
      <c r="E116" s="56"/>
      <c r="F116" s="57"/>
      <c r="G116" s="78"/>
      <c r="H116" s="56"/>
      <c r="I116" s="56"/>
      <c r="J116" s="59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</row>
    <row r="117" spans="1:33" ht="61.5" customHeight="1" x14ac:dyDescent="0.25">
      <c r="A117" s="77"/>
      <c r="B117" s="56"/>
      <c r="C117" s="56"/>
      <c r="D117" s="56"/>
      <c r="E117" s="56"/>
      <c r="F117" s="57"/>
      <c r="G117" s="78"/>
      <c r="H117" s="56"/>
      <c r="I117" s="56"/>
      <c r="J117" s="59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</row>
    <row r="118" spans="1:33" ht="61.5" customHeight="1" x14ac:dyDescent="0.25">
      <c r="A118" s="77"/>
      <c r="B118" s="56"/>
      <c r="C118" s="56"/>
      <c r="D118" s="56"/>
      <c r="E118" s="56"/>
      <c r="F118" s="57"/>
      <c r="G118" s="78"/>
      <c r="H118" s="56"/>
      <c r="I118" s="56"/>
      <c r="J118" s="59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</row>
    <row r="119" spans="1:33" ht="61.5" customHeight="1" x14ac:dyDescent="0.25">
      <c r="A119" s="77"/>
      <c r="B119" s="56"/>
      <c r="C119" s="56"/>
      <c r="D119" s="56"/>
      <c r="E119" s="56"/>
      <c r="F119" s="57"/>
      <c r="G119" s="78"/>
      <c r="H119" s="56"/>
      <c r="I119" s="56"/>
      <c r="J119" s="59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</row>
    <row r="120" spans="1:33" ht="61.5" customHeight="1" x14ac:dyDescent="0.25">
      <c r="A120" s="77"/>
      <c r="B120" s="56"/>
      <c r="C120" s="56"/>
      <c r="D120" s="56"/>
      <c r="E120" s="56"/>
      <c r="F120" s="57"/>
      <c r="G120" s="78"/>
      <c r="H120" s="56"/>
      <c r="I120" s="56"/>
      <c r="J120" s="59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</row>
    <row r="121" spans="1:33" ht="61.5" customHeight="1" x14ac:dyDescent="0.25">
      <c r="A121" s="77"/>
      <c r="B121" s="56"/>
      <c r="C121" s="56"/>
      <c r="D121" s="56"/>
      <c r="E121" s="56"/>
      <c r="F121" s="57"/>
      <c r="G121" s="78"/>
      <c r="H121" s="56"/>
      <c r="I121" s="56"/>
      <c r="J121" s="59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</row>
    <row r="122" spans="1:33" ht="61.5" customHeight="1" x14ac:dyDescent="0.25">
      <c r="A122" s="77"/>
      <c r="B122" s="56"/>
      <c r="C122" s="56"/>
      <c r="D122" s="56"/>
      <c r="E122" s="56"/>
      <c r="F122" s="57"/>
      <c r="G122" s="78"/>
      <c r="H122" s="56"/>
      <c r="I122" s="56"/>
      <c r="J122" s="59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</row>
    <row r="123" spans="1:33" ht="61.5" customHeight="1" x14ac:dyDescent="0.25">
      <c r="A123" s="77"/>
      <c r="B123" s="56"/>
      <c r="C123" s="56"/>
      <c r="D123" s="56"/>
      <c r="E123" s="56"/>
      <c r="F123" s="57"/>
      <c r="G123" s="78"/>
      <c r="H123" s="56"/>
      <c r="I123" s="56"/>
      <c r="J123" s="59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</row>
    <row r="124" spans="1:33" ht="61.5" customHeight="1" x14ac:dyDescent="0.25">
      <c r="A124" s="77"/>
      <c r="B124" s="56"/>
      <c r="C124" s="56"/>
      <c r="D124" s="56"/>
      <c r="E124" s="56"/>
      <c r="F124" s="57"/>
      <c r="G124" s="78"/>
      <c r="H124" s="56"/>
      <c r="I124" s="56"/>
      <c r="J124" s="59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</row>
    <row r="125" spans="1:33" ht="61.5" customHeight="1" x14ac:dyDescent="0.25">
      <c r="A125" s="77"/>
      <c r="B125" s="56"/>
      <c r="C125" s="56"/>
      <c r="D125" s="56"/>
      <c r="E125" s="56"/>
      <c r="F125" s="57"/>
      <c r="G125" s="78"/>
      <c r="H125" s="56"/>
      <c r="I125" s="56"/>
      <c r="J125" s="59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</row>
    <row r="126" spans="1:33" ht="61.5" customHeight="1" x14ac:dyDescent="0.25">
      <c r="A126" s="77"/>
      <c r="B126" s="56"/>
      <c r="C126" s="56"/>
      <c r="D126" s="56"/>
      <c r="E126" s="56"/>
      <c r="F126" s="57"/>
      <c r="G126" s="78"/>
      <c r="H126" s="56"/>
      <c r="I126" s="56"/>
      <c r="J126" s="59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</row>
    <row r="127" spans="1:33" ht="61.5" customHeight="1" x14ac:dyDescent="0.25">
      <c r="A127" s="77"/>
      <c r="B127" s="56"/>
      <c r="C127" s="56"/>
      <c r="D127" s="56"/>
      <c r="E127" s="56"/>
      <c r="F127" s="57"/>
      <c r="G127" s="78"/>
      <c r="H127" s="56"/>
      <c r="I127" s="56"/>
      <c r="J127" s="59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</row>
    <row r="128" spans="1:33" ht="61.5" customHeight="1" x14ac:dyDescent="0.25">
      <c r="A128" s="77"/>
      <c r="B128" s="56"/>
      <c r="C128" s="56"/>
      <c r="D128" s="56"/>
      <c r="E128" s="56"/>
      <c r="F128" s="57"/>
      <c r="G128" s="78"/>
      <c r="H128" s="56"/>
      <c r="I128" s="56"/>
      <c r="J128" s="59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</row>
    <row r="129" spans="1:33" ht="61.5" customHeight="1" x14ac:dyDescent="0.25">
      <c r="A129" s="77"/>
      <c r="B129" s="56"/>
      <c r="C129" s="56"/>
      <c r="D129" s="56"/>
      <c r="E129" s="56"/>
      <c r="F129" s="57"/>
      <c r="G129" s="78"/>
      <c r="H129" s="56"/>
      <c r="I129" s="56"/>
      <c r="J129" s="59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</row>
    <row r="130" spans="1:33" ht="61.5" customHeight="1" x14ac:dyDescent="0.25">
      <c r="A130" s="77"/>
      <c r="B130" s="56"/>
      <c r="C130" s="56"/>
      <c r="D130" s="56"/>
      <c r="E130" s="56"/>
      <c r="F130" s="57"/>
      <c r="G130" s="78"/>
      <c r="H130" s="56"/>
      <c r="I130" s="56"/>
      <c r="J130" s="59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</row>
    <row r="131" spans="1:33" ht="61.5" customHeight="1" x14ac:dyDescent="0.25">
      <c r="A131" s="77"/>
      <c r="B131" s="56"/>
      <c r="C131" s="56"/>
      <c r="D131" s="56"/>
      <c r="E131" s="56"/>
      <c r="F131" s="57"/>
      <c r="G131" s="78"/>
      <c r="H131" s="56"/>
      <c r="I131" s="56"/>
      <c r="J131" s="59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</row>
    <row r="132" spans="1:33" ht="61.5" customHeight="1" x14ac:dyDescent="0.25">
      <c r="A132" s="77"/>
      <c r="B132" s="56"/>
      <c r="C132" s="56"/>
      <c r="D132" s="56"/>
      <c r="E132" s="56"/>
      <c r="F132" s="57"/>
      <c r="G132" s="78"/>
      <c r="H132" s="56"/>
      <c r="I132" s="56"/>
      <c r="J132" s="59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</row>
    <row r="133" spans="1:33" ht="61.5" customHeight="1" x14ac:dyDescent="0.25">
      <c r="A133" s="77"/>
      <c r="B133" s="56"/>
      <c r="C133" s="56"/>
      <c r="D133" s="56"/>
      <c r="E133" s="56"/>
      <c r="F133" s="57"/>
      <c r="G133" s="78"/>
      <c r="H133" s="56"/>
      <c r="I133" s="56"/>
      <c r="J133" s="59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</row>
    <row r="134" spans="1:33" ht="61.5" customHeight="1" x14ac:dyDescent="0.25">
      <c r="A134" s="77"/>
      <c r="B134" s="56"/>
      <c r="C134" s="56"/>
      <c r="D134" s="56"/>
      <c r="E134" s="56"/>
      <c r="F134" s="57"/>
      <c r="G134" s="78"/>
      <c r="H134" s="56"/>
      <c r="I134" s="56"/>
      <c r="J134" s="59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</row>
    <row r="135" spans="1:33" ht="61.5" customHeight="1" x14ac:dyDescent="0.25">
      <c r="A135" s="77"/>
      <c r="B135" s="56"/>
      <c r="C135" s="56"/>
      <c r="D135" s="56"/>
      <c r="E135" s="56"/>
      <c r="F135" s="57"/>
      <c r="G135" s="78"/>
      <c r="H135" s="56"/>
      <c r="I135" s="56"/>
      <c r="J135" s="59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</row>
    <row r="136" spans="1:33" ht="61.5" customHeight="1" x14ac:dyDescent="0.25">
      <c r="A136" s="77"/>
      <c r="B136" s="56"/>
      <c r="C136" s="56"/>
      <c r="D136" s="56"/>
      <c r="E136" s="56"/>
      <c r="F136" s="57"/>
      <c r="G136" s="78"/>
      <c r="H136" s="56"/>
      <c r="I136" s="56"/>
      <c r="J136" s="59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</row>
    <row r="137" spans="1:33" ht="61.5" customHeight="1" x14ac:dyDescent="0.25">
      <c r="A137" s="77"/>
      <c r="B137" s="56"/>
      <c r="C137" s="56"/>
      <c r="D137" s="56"/>
      <c r="E137" s="56"/>
      <c r="F137" s="57"/>
      <c r="G137" s="78"/>
      <c r="H137" s="56"/>
      <c r="I137" s="56"/>
      <c r="J137" s="59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</row>
    <row r="138" spans="1:33" ht="61.5" customHeight="1" x14ac:dyDescent="0.25">
      <c r="A138" s="77"/>
      <c r="B138" s="56"/>
      <c r="C138" s="56"/>
      <c r="D138" s="56"/>
      <c r="E138" s="56"/>
      <c r="F138" s="57"/>
      <c r="G138" s="78"/>
      <c r="H138" s="56"/>
      <c r="I138" s="56"/>
      <c r="J138" s="59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</row>
    <row r="139" spans="1:33" ht="61.5" customHeight="1" x14ac:dyDescent="0.25">
      <c r="A139" s="77"/>
      <c r="B139" s="56"/>
      <c r="C139" s="56"/>
      <c r="D139" s="56"/>
      <c r="E139" s="56"/>
      <c r="F139" s="57"/>
      <c r="G139" s="78"/>
      <c r="H139" s="56"/>
      <c r="I139" s="56"/>
      <c r="J139" s="59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</row>
    <row r="140" spans="1:33" ht="61.5" customHeight="1" x14ac:dyDescent="0.25">
      <c r="A140" s="77"/>
      <c r="B140" s="56"/>
      <c r="C140" s="56"/>
      <c r="D140" s="56"/>
      <c r="E140" s="56"/>
      <c r="F140" s="57"/>
      <c r="G140" s="78"/>
      <c r="H140" s="56"/>
      <c r="I140" s="56"/>
      <c r="J140" s="59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</row>
    <row r="141" spans="1:33" ht="61.5" customHeight="1" x14ac:dyDescent="0.25">
      <c r="A141" s="77"/>
      <c r="B141" s="56"/>
      <c r="C141" s="56"/>
      <c r="D141" s="56"/>
      <c r="E141" s="56"/>
      <c r="F141" s="57"/>
      <c r="G141" s="78"/>
      <c r="H141" s="56"/>
      <c r="I141" s="56"/>
      <c r="J141" s="59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</row>
    <row r="142" spans="1:33" ht="61.5" customHeight="1" x14ac:dyDescent="0.25">
      <c r="A142" s="77"/>
      <c r="B142" s="56"/>
      <c r="C142" s="56"/>
      <c r="D142" s="56"/>
      <c r="E142" s="56"/>
      <c r="F142" s="57"/>
      <c r="G142" s="78"/>
      <c r="H142" s="56"/>
      <c r="I142" s="56"/>
      <c r="J142" s="59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</row>
    <row r="143" spans="1:33" ht="61.5" customHeight="1" x14ac:dyDescent="0.25">
      <c r="A143" s="77"/>
      <c r="B143" s="56"/>
      <c r="C143" s="56"/>
      <c r="D143" s="56"/>
      <c r="E143" s="56"/>
      <c r="F143" s="57"/>
      <c r="G143" s="78"/>
      <c r="H143" s="56"/>
      <c r="I143" s="56"/>
      <c r="J143" s="59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</row>
    <row r="144" spans="1:33" ht="61.5" customHeight="1" x14ac:dyDescent="0.25">
      <c r="A144" s="77"/>
      <c r="B144" s="56"/>
      <c r="C144" s="56"/>
      <c r="D144" s="56"/>
      <c r="E144" s="56"/>
      <c r="F144" s="57"/>
      <c r="G144" s="78"/>
      <c r="H144" s="56"/>
      <c r="I144" s="56"/>
      <c r="J144" s="59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</row>
    <row r="145" spans="1:33" ht="61.5" customHeight="1" x14ac:dyDescent="0.25">
      <c r="A145" s="77"/>
      <c r="B145" s="56"/>
      <c r="C145" s="56"/>
      <c r="D145" s="56"/>
      <c r="E145" s="56"/>
      <c r="F145" s="57"/>
      <c r="G145" s="78"/>
      <c r="H145" s="56"/>
      <c r="I145" s="56"/>
      <c r="J145" s="59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</row>
    <row r="146" spans="1:33" ht="61.5" customHeight="1" x14ac:dyDescent="0.25">
      <c r="A146" s="77"/>
      <c r="B146" s="56"/>
      <c r="C146" s="56"/>
      <c r="D146" s="56"/>
      <c r="E146" s="56"/>
      <c r="F146" s="57"/>
      <c r="G146" s="78"/>
      <c r="H146" s="56"/>
      <c r="I146" s="56"/>
      <c r="J146" s="59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</row>
    <row r="147" spans="1:33" ht="61.5" customHeight="1" x14ac:dyDescent="0.25">
      <c r="A147" s="77"/>
      <c r="B147" s="56"/>
      <c r="C147" s="56"/>
      <c r="D147" s="56"/>
      <c r="E147" s="56"/>
      <c r="F147" s="57"/>
      <c r="G147" s="78"/>
      <c r="H147" s="56"/>
      <c r="I147" s="56"/>
      <c r="J147" s="59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</row>
    <row r="148" spans="1:33" ht="61.5" customHeight="1" x14ac:dyDescent="0.25">
      <c r="A148" s="77"/>
      <c r="B148" s="56"/>
      <c r="C148" s="56"/>
      <c r="D148" s="56"/>
      <c r="E148" s="56"/>
      <c r="F148" s="57"/>
      <c r="G148" s="78"/>
      <c r="H148" s="56"/>
      <c r="I148" s="56"/>
      <c r="J148" s="59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</row>
    <row r="149" spans="1:33" ht="61.5" customHeight="1" x14ac:dyDescent="0.25">
      <c r="A149" s="77"/>
      <c r="B149" s="56"/>
      <c r="C149" s="56"/>
      <c r="D149" s="56"/>
      <c r="E149" s="56"/>
      <c r="F149" s="57"/>
      <c r="G149" s="78"/>
      <c r="H149" s="56"/>
      <c r="I149" s="56"/>
      <c r="J149" s="59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</row>
    <row r="150" spans="1:33" ht="61.5" customHeight="1" x14ac:dyDescent="0.25">
      <c r="A150" s="77"/>
      <c r="B150" s="56"/>
      <c r="C150" s="56"/>
      <c r="D150" s="56"/>
      <c r="E150" s="56"/>
      <c r="F150" s="57"/>
      <c r="G150" s="78"/>
      <c r="H150" s="56"/>
      <c r="I150" s="56"/>
      <c r="J150" s="59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</row>
    <row r="151" spans="1:33" ht="61.5" customHeight="1" x14ac:dyDescent="0.25">
      <c r="A151" s="77"/>
      <c r="B151" s="56"/>
      <c r="C151" s="56"/>
      <c r="D151" s="56"/>
      <c r="E151" s="56"/>
      <c r="F151" s="57"/>
      <c r="G151" s="78"/>
      <c r="H151" s="56"/>
      <c r="I151" s="56"/>
      <c r="J151" s="59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</row>
    <row r="152" spans="1:33" ht="61.5" customHeight="1" x14ac:dyDescent="0.25">
      <c r="A152" s="77"/>
      <c r="B152" s="56"/>
      <c r="C152" s="56"/>
      <c r="D152" s="56"/>
      <c r="E152" s="56"/>
      <c r="F152" s="57"/>
      <c r="G152" s="78"/>
      <c r="H152" s="56"/>
      <c r="I152" s="56"/>
      <c r="J152" s="59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</row>
    <row r="153" spans="1:33" ht="61.5" customHeight="1" x14ac:dyDescent="0.25">
      <c r="A153" s="77"/>
      <c r="B153" s="56"/>
      <c r="C153" s="56"/>
      <c r="D153" s="56"/>
      <c r="E153" s="56"/>
      <c r="F153" s="57"/>
      <c r="G153" s="78"/>
      <c r="H153" s="56"/>
      <c r="I153" s="56"/>
      <c r="J153" s="59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</row>
    <row r="154" spans="1:33" ht="61.5" customHeight="1" x14ac:dyDescent="0.25">
      <c r="A154" s="77"/>
      <c r="B154" s="56"/>
      <c r="C154" s="56"/>
      <c r="D154" s="56"/>
      <c r="E154" s="56"/>
      <c r="F154" s="57"/>
      <c r="G154" s="78"/>
      <c r="H154" s="56"/>
      <c r="I154" s="56"/>
      <c r="J154" s="59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</row>
    <row r="155" spans="1:33" ht="61.5" customHeight="1" x14ac:dyDescent="0.25">
      <c r="A155" s="77"/>
      <c r="B155" s="56"/>
      <c r="C155" s="56"/>
      <c r="D155" s="56"/>
      <c r="E155" s="56"/>
      <c r="F155" s="57"/>
      <c r="G155" s="78"/>
      <c r="H155" s="56"/>
      <c r="I155" s="56"/>
      <c r="J155" s="59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</row>
    <row r="156" spans="1:33" ht="61.5" customHeight="1" x14ac:dyDescent="0.25">
      <c r="A156" s="77"/>
      <c r="B156" s="56"/>
      <c r="C156" s="56"/>
      <c r="D156" s="56"/>
      <c r="E156" s="56"/>
      <c r="F156" s="57"/>
      <c r="G156" s="78"/>
      <c r="H156" s="56"/>
      <c r="I156" s="56"/>
      <c r="J156" s="59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</row>
    <row r="157" spans="1:33" ht="61.5" customHeight="1" x14ac:dyDescent="0.25">
      <c r="A157" s="77"/>
      <c r="B157" s="56"/>
      <c r="C157" s="56"/>
      <c r="D157" s="56"/>
      <c r="E157" s="56"/>
      <c r="F157" s="57"/>
      <c r="G157" s="78"/>
      <c r="H157" s="56"/>
      <c r="I157" s="56"/>
      <c r="J157" s="59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</row>
    <row r="158" spans="1:33" ht="61.5" customHeight="1" x14ac:dyDescent="0.25">
      <c r="A158" s="77"/>
      <c r="B158" s="56"/>
      <c r="C158" s="56"/>
      <c r="D158" s="56"/>
      <c r="E158" s="56"/>
      <c r="F158" s="57"/>
      <c r="G158" s="78"/>
      <c r="H158" s="56"/>
      <c r="I158" s="56"/>
      <c r="J158" s="59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</row>
    <row r="159" spans="1:33" ht="61.5" customHeight="1" x14ac:dyDescent="0.25">
      <c r="A159" s="77"/>
      <c r="B159" s="56"/>
      <c r="C159" s="56"/>
      <c r="D159" s="56"/>
      <c r="E159" s="56"/>
      <c r="F159" s="57"/>
      <c r="G159" s="78"/>
      <c r="H159" s="56"/>
      <c r="I159" s="56"/>
      <c r="J159" s="59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</row>
    <row r="160" spans="1:33" ht="61.5" customHeight="1" x14ac:dyDescent="0.25">
      <c r="A160" s="77"/>
      <c r="B160" s="56"/>
      <c r="C160" s="56"/>
      <c r="D160" s="56"/>
      <c r="E160" s="56"/>
      <c r="F160" s="57"/>
      <c r="G160" s="78"/>
      <c r="H160" s="56"/>
      <c r="I160" s="56"/>
      <c r="J160" s="59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</row>
    <row r="161" spans="1:33" ht="61.5" customHeight="1" x14ac:dyDescent="0.25">
      <c r="A161" s="77"/>
      <c r="B161" s="56"/>
      <c r="C161" s="56"/>
      <c r="D161" s="56"/>
      <c r="E161" s="56"/>
      <c r="F161" s="57"/>
      <c r="G161" s="78"/>
      <c r="H161" s="56"/>
      <c r="I161" s="56"/>
      <c r="J161" s="59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</row>
    <row r="162" spans="1:33" ht="61.5" customHeight="1" x14ac:dyDescent="0.25">
      <c r="A162" s="77"/>
      <c r="B162" s="56"/>
      <c r="C162" s="56"/>
      <c r="D162" s="56"/>
      <c r="E162" s="56"/>
      <c r="F162" s="57"/>
      <c r="G162" s="78"/>
      <c r="H162" s="56"/>
      <c r="I162" s="56"/>
      <c r="J162" s="59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</row>
    <row r="163" spans="1:33" ht="61.5" customHeight="1" x14ac:dyDescent="0.25">
      <c r="A163" s="77"/>
      <c r="B163" s="56"/>
      <c r="C163" s="56"/>
      <c r="D163" s="56"/>
      <c r="E163" s="56"/>
      <c r="F163" s="57"/>
      <c r="G163" s="78"/>
      <c r="H163" s="56"/>
      <c r="I163" s="56"/>
      <c r="J163" s="59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</row>
    <row r="164" spans="1:33" ht="61.5" customHeight="1" x14ac:dyDescent="0.25">
      <c r="A164" s="77"/>
      <c r="B164" s="56"/>
      <c r="C164" s="56"/>
      <c r="D164" s="56"/>
      <c r="E164" s="56"/>
      <c r="F164" s="57"/>
      <c r="G164" s="78"/>
      <c r="H164" s="56"/>
      <c r="I164" s="56"/>
      <c r="J164" s="59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</row>
    <row r="165" spans="1:33" ht="61.5" customHeight="1" x14ac:dyDescent="0.25">
      <c r="A165" s="77"/>
      <c r="B165" s="56"/>
      <c r="C165" s="56"/>
      <c r="D165" s="56"/>
      <c r="E165" s="56"/>
      <c r="F165" s="57"/>
      <c r="G165" s="78"/>
      <c r="H165" s="56"/>
      <c r="I165" s="56"/>
      <c r="J165" s="59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</row>
    <row r="166" spans="1:33" ht="61.5" customHeight="1" x14ac:dyDescent="0.25">
      <c r="A166" s="77"/>
      <c r="B166" s="56"/>
      <c r="C166" s="56"/>
      <c r="D166" s="56"/>
      <c r="E166" s="56"/>
      <c r="F166" s="57"/>
      <c r="G166" s="78"/>
      <c r="H166" s="56"/>
      <c r="I166" s="56"/>
      <c r="J166" s="59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</row>
    <row r="167" spans="1:33" ht="61.5" customHeight="1" x14ac:dyDescent="0.25">
      <c r="A167" s="77"/>
      <c r="B167" s="56"/>
      <c r="C167" s="56"/>
      <c r="D167" s="56"/>
      <c r="E167" s="56"/>
      <c r="F167" s="57"/>
      <c r="G167" s="78"/>
      <c r="H167" s="56"/>
      <c r="I167" s="56"/>
      <c r="J167" s="59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</row>
    <row r="168" spans="1:33" ht="61.5" customHeight="1" x14ac:dyDescent="0.25">
      <c r="A168" s="77"/>
      <c r="B168" s="56"/>
      <c r="C168" s="56"/>
      <c r="D168" s="56"/>
      <c r="E168" s="56"/>
      <c r="F168" s="57"/>
      <c r="G168" s="78"/>
      <c r="H168" s="56"/>
      <c r="I168" s="56"/>
      <c r="J168" s="59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</row>
    <row r="169" spans="1:33" ht="61.5" customHeight="1" x14ac:dyDescent="0.25">
      <c r="A169" s="77"/>
      <c r="B169" s="56"/>
      <c r="C169" s="56"/>
      <c r="D169" s="56"/>
      <c r="E169" s="56"/>
      <c r="F169" s="57"/>
      <c r="G169" s="78"/>
      <c r="H169" s="56"/>
      <c r="I169" s="56"/>
      <c r="J169" s="59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</row>
    <row r="170" spans="1:33" ht="61.5" customHeight="1" x14ac:dyDescent="0.25">
      <c r="A170" s="77"/>
      <c r="B170" s="56"/>
      <c r="C170" s="56"/>
      <c r="D170" s="56"/>
      <c r="E170" s="56"/>
      <c r="F170" s="57"/>
      <c r="G170" s="78"/>
      <c r="H170" s="56"/>
      <c r="I170" s="56"/>
      <c r="J170" s="59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</row>
    <row r="171" spans="1:33" ht="61.5" customHeight="1" x14ac:dyDescent="0.25">
      <c r="A171" s="77"/>
      <c r="B171" s="56"/>
      <c r="C171" s="56"/>
      <c r="D171" s="56"/>
      <c r="E171" s="56"/>
      <c r="F171" s="57"/>
      <c r="G171" s="78"/>
      <c r="H171" s="56"/>
      <c r="I171" s="56"/>
      <c r="J171" s="59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</row>
    <row r="172" spans="1:33" ht="61.5" customHeight="1" x14ac:dyDescent="0.25">
      <c r="A172" s="77"/>
      <c r="B172" s="56"/>
      <c r="C172" s="56"/>
      <c r="D172" s="56"/>
      <c r="E172" s="56"/>
      <c r="F172" s="57"/>
      <c r="G172" s="78"/>
      <c r="H172" s="56"/>
      <c r="I172" s="56"/>
      <c r="J172" s="59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</row>
    <row r="173" spans="1:33" ht="61.5" customHeight="1" x14ac:dyDescent="0.25">
      <c r="A173" s="77"/>
      <c r="B173" s="56"/>
      <c r="C173" s="56"/>
      <c r="D173" s="56"/>
      <c r="E173" s="56"/>
      <c r="F173" s="57"/>
      <c r="G173" s="78"/>
      <c r="H173" s="56"/>
      <c r="I173" s="56"/>
      <c r="J173" s="59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</row>
    <row r="174" spans="1:33" ht="61.5" customHeight="1" x14ac:dyDescent="0.25">
      <c r="A174" s="77"/>
      <c r="B174" s="56"/>
      <c r="C174" s="56"/>
      <c r="D174" s="56"/>
      <c r="E174" s="56"/>
      <c r="F174" s="57"/>
      <c r="G174" s="78"/>
      <c r="H174" s="56"/>
      <c r="I174" s="56"/>
      <c r="J174" s="59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</row>
    <row r="175" spans="1:33" ht="61.5" customHeight="1" x14ac:dyDescent="0.25">
      <c r="A175" s="77"/>
      <c r="B175" s="56"/>
      <c r="C175" s="56"/>
      <c r="D175" s="56"/>
      <c r="E175" s="56"/>
      <c r="F175" s="57"/>
      <c r="G175" s="78"/>
      <c r="H175" s="56"/>
      <c r="I175" s="56"/>
      <c r="J175" s="59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</row>
    <row r="176" spans="1:33" ht="61.5" customHeight="1" x14ac:dyDescent="0.25">
      <c r="A176" s="77"/>
      <c r="B176" s="56"/>
      <c r="C176" s="56"/>
      <c r="D176" s="56"/>
      <c r="E176" s="56"/>
      <c r="F176" s="57"/>
      <c r="G176" s="78"/>
      <c r="H176" s="56"/>
      <c r="I176" s="56"/>
      <c r="J176" s="59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</row>
    <row r="177" spans="1:33" ht="61.5" customHeight="1" x14ac:dyDescent="0.25">
      <c r="A177" s="77"/>
      <c r="B177" s="56"/>
      <c r="C177" s="56"/>
      <c r="D177" s="56"/>
      <c r="E177" s="56"/>
      <c r="F177" s="57"/>
      <c r="G177" s="78"/>
      <c r="H177" s="56"/>
      <c r="I177" s="56"/>
      <c r="J177" s="59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</row>
    <row r="178" spans="1:33" ht="61.5" customHeight="1" x14ac:dyDescent="0.25">
      <c r="A178" s="77"/>
      <c r="B178" s="56"/>
      <c r="C178" s="56"/>
      <c r="D178" s="56"/>
      <c r="E178" s="56"/>
      <c r="F178" s="57"/>
      <c r="G178" s="78"/>
      <c r="H178" s="56"/>
      <c r="I178" s="56"/>
      <c r="J178" s="59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</row>
    <row r="179" spans="1:33" ht="61.5" customHeight="1" x14ac:dyDescent="0.25">
      <c r="A179" s="77"/>
      <c r="B179" s="56"/>
      <c r="C179" s="56"/>
      <c r="D179" s="56"/>
      <c r="E179" s="56"/>
      <c r="F179" s="57"/>
      <c r="G179" s="78"/>
      <c r="H179" s="56"/>
      <c r="I179" s="56"/>
      <c r="J179" s="59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</row>
    <row r="180" spans="1:33" ht="61.5" customHeight="1" x14ac:dyDescent="0.25">
      <c r="A180" s="77"/>
      <c r="B180" s="56"/>
      <c r="C180" s="56"/>
      <c r="D180" s="56"/>
      <c r="E180" s="56"/>
      <c r="F180" s="57"/>
      <c r="G180" s="78"/>
      <c r="H180" s="56"/>
      <c r="I180" s="56"/>
      <c r="J180" s="59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</row>
    <row r="181" spans="1:33" ht="61.5" customHeight="1" x14ac:dyDescent="0.25">
      <c r="A181" s="77"/>
      <c r="B181" s="56"/>
      <c r="C181" s="56"/>
      <c r="D181" s="56"/>
      <c r="E181" s="56"/>
      <c r="F181" s="57"/>
      <c r="G181" s="78"/>
      <c r="H181" s="56"/>
      <c r="I181" s="56"/>
      <c r="J181" s="59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</row>
    <row r="182" spans="1:33" ht="61.5" customHeight="1" x14ac:dyDescent="0.25">
      <c r="A182" s="77"/>
      <c r="B182" s="56"/>
      <c r="C182" s="56"/>
      <c r="D182" s="56"/>
      <c r="E182" s="56"/>
      <c r="F182" s="57"/>
      <c r="G182" s="78"/>
      <c r="H182" s="56"/>
      <c r="I182" s="56"/>
      <c r="J182" s="59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</row>
    <row r="183" spans="1:33" ht="61.5" customHeight="1" x14ac:dyDescent="0.25">
      <c r="A183" s="77"/>
      <c r="B183" s="56"/>
      <c r="C183" s="56"/>
      <c r="D183" s="56"/>
      <c r="E183" s="56"/>
      <c r="F183" s="57"/>
      <c r="G183" s="78"/>
      <c r="H183" s="56"/>
      <c r="I183" s="56"/>
      <c r="J183" s="59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</row>
    <row r="184" spans="1:33" ht="61.5" customHeight="1" x14ac:dyDescent="0.25">
      <c r="A184" s="77"/>
      <c r="B184" s="56"/>
      <c r="C184" s="56"/>
      <c r="D184" s="56"/>
      <c r="E184" s="56"/>
      <c r="F184" s="57"/>
      <c r="G184" s="78"/>
      <c r="H184" s="56"/>
      <c r="I184" s="56"/>
      <c r="J184" s="59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</row>
    <row r="185" spans="1:33" ht="61.5" customHeight="1" x14ac:dyDescent="0.25">
      <c r="A185" s="77"/>
      <c r="B185" s="56"/>
      <c r="C185" s="56"/>
      <c r="D185" s="56"/>
      <c r="E185" s="56"/>
      <c r="F185" s="57"/>
      <c r="G185" s="78"/>
      <c r="H185" s="56"/>
      <c r="I185" s="56"/>
      <c r="J185" s="59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</row>
    <row r="186" spans="1:33" ht="61.5" customHeight="1" x14ac:dyDescent="0.25">
      <c r="A186" s="77"/>
      <c r="B186" s="56"/>
      <c r="C186" s="56"/>
      <c r="D186" s="56"/>
      <c r="E186" s="56"/>
      <c r="F186" s="57"/>
      <c r="G186" s="78"/>
      <c r="H186" s="56"/>
      <c r="I186" s="56"/>
      <c r="J186" s="59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</row>
    <row r="187" spans="1:33" ht="61.5" customHeight="1" x14ac:dyDescent="0.25">
      <c r="A187" s="77"/>
      <c r="B187" s="56"/>
      <c r="C187" s="56"/>
      <c r="D187" s="56"/>
      <c r="E187" s="56"/>
      <c r="F187" s="57"/>
      <c r="G187" s="78"/>
      <c r="H187" s="56"/>
      <c r="I187" s="56"/>
      <c r="J187" s="59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</row>
    <row r="188" spans="1:33" ht="61.5" customHeight="1" x14ac:dyDescent="0.25">
      <c r="A188" s="77"/>
      <c r="B188" s="56"/>
      <c r="C188" s="56"/>
      <c r="D188" s="56"/>
      <c r="E188" s="56"/>
      <c r="F188" s="57"/>
      <c r="G188" s="78"/>
      <c r="H188" s="56"/>
      <c r="I188" s="56"/>
      <c r="J188" s="59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</row>
    <row r="189" spans="1:33" ht="61.5" customHeight="1" x14ac:dyDescent="0.25">
      <c r="A189" s="77"/>
      <c r="B189" s="56"/>
      <c r="C189" s="56"/>
      <c r="D189" s="56"/>
      <c r="E189" s="56"/>
      <c r="F189" s="57"/>
      <c r="G189" s="78"/>
      <c r="H189" s="56"/>
      <c r="I189" s="56"/>
      <c r="J189" s="59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</row>
    <row r="190" spans="1:33" ht="61.5" customHeight="1" x14ac:dyDescent="0.25">
      <c r="A190" s="77"/>
      <c r="B190" s="56"/>
      <c r="C190" s="56"/>
      <c r="D190" s="56"/>
      <c r="E190" s="56"/>
      <c r="F190" s="57"/>
      <c r="G190" s="78"/>
      <c r="H190" s="56"/>
      <c r="I190" s="56"/>
      <c r="J190" s="59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</row>
    <row r="191" spans="1:33" ht="61.5" customHeight="1" x14ac:dyDescent="0.25">
      <c r="A191" s="77"/>
      <c r="B191" s="56"/>
      <c r="C191" s="56"/>
      <c r="D191" s="56"/>
      <c r="E191" s="56"/>
      <c r="F191" s="57"/>
      <c r="G191" s="78"/>
      <c r="H191" s="56"/>
      <c r="I191" s="56"/>
      <c r="J191" s="59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</row>
    <row r="192" spans="1:33" ht="61.5" customHeight="1" x14ac:dyDescent="0.25">
      <c r="A192" s="77"/>
      <c r="B192" s="56"/>
      <c r="C192" s="56"/>
      <c r="D192" s="56"/>
      <c r="E192" s="56"/>
      <c r="F192" s="57"/>
      <c r="G192" s="78"/>
      <c r="H192" s="56"/>
      <c r="I192" s="56"/>
      <c r="J192" s="59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</row>
    <row r="193" spans="1:33" ht="61.5" customHeight="1" x14ac:dyDescent="0.25">
      <c r="A193" s="77"/>
      <c r="B193" s="56"/>
      <c r="C193" s="56"/>
      <c r="D193" s="56"/>
      <c r="E193" s="56"/>
      <c r="F193" s="57"/>
      <c r="G193" s="78"/>
      <c r="H193" s="56"/>
      <c r="I193" s="56"/>
      <c r="J193" s="59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</row>
    <row r="194" spans="1:33" ht="61.5" customHeight="1" x14ac:dyDescent="0.25">
      <c r="A194" s="77"/>
      <c r="B194" s="56"/>
      <c r="C194" s="56"/>
      <c r="D194" s="56"/>
      <c r="E194" s="56"/>
      <c r="F194" s="57"/>
      <c r="G194" s="78"/>
      <c r="H194" s="56"/>
      <c r="I194" s="56"/>
      <c r="J194" s="59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</row>
    <row r="195" spans="1:33" ht="61.5" customHeight="1" x14ac:dyDescent="0.25">
      <c r="A195" s="77"/>
      <c r="B195" s="56"/>
      <c r="C195" s="56"/>
      <c r="D195" s="56"/>
      <c r="E195" s="56"/>
      <c r="F195" s="57"/>
      <c r="G195" s="78"/>
      <c r="H195" s="56"/>
      <c r="I195" s="56"/>
      <c r="J195" s="59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</row>
    <row r="196" spans="1:33" ht="61.5" customHeight="1" x14ac:dyDescent="0.25">
      <c r="A196" s="77"/>
      <c r="B196" s="56"/>
      <c r="C196" s="56"/>
      <c r="D196" s="56"/>
      <c r="E196" s="56"/>
      <c r="F196" s="57"/>
      <c r="G196" s="78"/>
      <c r="H196" s="56"/>
      <c r="I196" s="56"/>
      <c r="J196" s="59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</row>
    <row r="197" spans="1:33" ht="61.5" customHeight="1" x14ac:dyDescent="0.25">
      <c r="A197" s="77"/>
      <c r="B197" s="56"/>
      <c r="C197" s="56"/>
      <c r="D197" s="56"/>
      <c r="E197" s="56"/>
      <c r="F197" s="57"/>
      <c r="G197" s="78"/>
      <c r="H197" s="56"/>
      <c r="I197" s="56"/>
      <c r="J197" s="59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</row>
    <row r="198" spans="1:33" ht="61.5" customHeight="1" x14ac:dyDescent="0.25">
      <c r="A198" s="77"/>
      <c r="B198" s="56"/>
      <c r="C198" s="56"/>
      <c r="D198" s="56"/>
      <c r="E198" s="56"/>
      <c r="F198" s="57"/>
      <c r="G198" s="78"/>
      <c r="H198" s="56"/>
      <c r="I198" s="56"/>
      <c r="J198" s="59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</row>
    <row r="199" spans="1:33" ht="61.5" customHeight="1" x14ac:dyDescent="0.25">
      <c r="A199" s="77"/>
      <c r="B199" s="56"/>
      <c r="C199" s="56"/>
      <c r="D199" s="56"/>
      <c r="E199" s="56"/>
      <c r="F199" s="57"/>
      <c r="G199" s="78"/>
      <c r="H199" s="56"/>
      <c r="I199" s="56"/>
      <c r="J199" s="59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</row>
    <row r="200" spans="1:33" ht="61.5" customHeight="1" x14ac:dyDescent="0.25">
      <c r="A200" s="77"/>
      <c r="B200" s="47" t="s">
        <v>283</v>
      </c>
      <c r="C200" s="56"/>
      <c r="D200" s="56"/>
      <c r="E200" s="56"/>
      <c r="F200" s="57"/>
      <c r="G200" s="78"/>
      <c r="H200" s="56"/>
      <c r="I200" s="56"/>
      <c r="J200" s="59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</row>
    <row r="201" spans="1:33" ht="61.5" customHeight="1" x14ac:dyDescent="0.25">
      <c r="A201" s="77"/>
      <c r="B201" s="47" t="s">
        <v>284</v>
      </c>
      <c r="C201" s="56"/>
      <c r="D201" s="56"/>
      <c r="E201" s="56"/>
      <c r="F201" s="57"/>
      <c r="G201" s="78"/>
      <c r="H201" s="56"/>
      <c r="I201" s="56"/>
      <c r="J201" s="59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</row>
    <row r="202" spans="1:33" ht="61.5" customHeight="1" x14ac:dyDescent="0.25">
      <c r="A202" s="77"/>
      <c r="B202" s="56"/>
      <c r="C202" s="56"/>
      <c r="D202" s="56"/>
      <c r="E202" s="56"/>
      <c r="F202" s="57"/>
      <c r="G202" s="78"/>
      <c r="H202" s="56"/>
      <c r="I202" s="56"/>
      <c r="J202" s="59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</row>
    <row r="203" spans="1:33" ht="61.5" customHeight="1" x14ac:dyDescent="0.25">
      <c r="A203" s="77"/>
      <c r="B203" s="56"/>
      <c r="C203" s="56"/>
      <c r="D203" s="56"/>
      <c r="E203" s="56"/>
      <c r="F203" s="57"/>
      <c r="G203" s="78"/>
      <c r="H203" s="56"/>
      <c r="I203" s="56"/>
      <c r="J203" s="59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</row>
    <row r="204" spans="1:33" ht="61.5" customHeight="1" x14ac:dyDescent="0.25">
      <c r="A204" s="77"/>
      <c r="B204" s="56"/>
      <c r="C204" s="56"/>
      <c r="D204" s="56"/>
      <c r="E204" s="56"/>
      <c r="F204" s="57"/>
      <c r="G204" s="78"/>
      <c r="H204" s="56"/>
      <c r="I204" s="56"/>
      <c r="J204" s="59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</row>
    <row r="205" spans="1:33" ht="61.5" customHeight="1" x14ac:dyDescent="0.25">
      <c r="A205" s="77"/>
      <c r="B205" s="56"/>
      <c r="C205" s="56"/>
      <c r="D205" s="56"/>
      <c r="E205" s="56"/>
      <c r="F205" s="57"/>
      <c r="G205" s="78"/>
      <c r="H205" s="56"/>
      <c r="I205" s="56"/>
      <c r="J205" s="59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</row>
    <row r="206" spans="1:33" ht="61.5" customHeight="1" x14ac:dyDescent="0.25">
      <c r="A206" s="77"/>
      <c r="B206" s="56"/>
      <c r="C206" s="56"/>
      <c r="D206" s="56"/>
      <c r="E206" s="56"/>
      <c r="F206" s="57"/>
      <c r="G206" s="78"/>
      <c r="H206" s="56"/>
      <c r="I206" s="56"/>
      <c r="J206" s="59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</row>
    <row r="207" spans="1:33" ht="61.5" customHeight="1" x14ac:dyDescent="0.25">
      <c r="A207" s="77"/>
      <c r="B207" s="56"/>
      <c r="C207" s="56"/>
      <c r="D207" s="56"/>
      <c r="E207" s="56"/>
      <c r="F207" s="57"/>
      <c r="G207" s="78"/>
      <c r="H207" s="56"/>
      <c r="I207" s="56"/>
      <c r="J207" s="59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</row>
    <row r="208" spans="1:33" ht="61.5" customHeight="1" x14ac:dyDescent="0.25">
      <c r="A208" s="77"/>
      <c r="B208" s="56"/>
      <c r="C208" s="56"/>
      <c r="D208" s="56"/>
      <c r="E208" s="56"/>
      <c r="F208" s="57"/>
      <c r="G208" s="78"/>
      <c r="H208" s="56"/>
      <c r="I208" s="56"/>
      <c r="J208" s="59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</row>
    <row r="209" spans="1:33" ht="61.5" customHeight="1" x14ac:dyDescent="0.25">
      <c r="A209" s="77"/>
      <c r="B209" s="56"/>
      <c r="C209" s="56"/>
      <c r="D209" s="56"/>
      <c r="E209" s="56"/>
      <c r="F209" s="57"/>
      <c r="G209" s="78"/>
      <c r="H209" s="56"/>
      <c r="I209" s="56"/>
      <c r="J209" s="59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</row>
    <row r="210" spans="1:33" ht="61.5" customHeight="1" x14ac:dyDescent="0.25">
      <c r="A210" s="77"/>
      <c r="B210" s="56"/>
      <c r="C210" s="56"/>
      <c r="D210" s="56"/>
      <c r="E210" s="56"/>
      <c r="F210" s="57"/>
      <c r="G210" s="78"/>
      <c r="H210" s="56"/>
      <c r="I210" s="56"/>
      <c r="J210" s="59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</row>
    <row r="211" spans="1:33" ht="61.5" customHeight="1" x14ac:dyDescent="0.25">
      <c r="A211" s="77"/>
      <c r="B211" s="56"/>
      <c r="C211" s="56"/>
      <c r="D211" s="56"/>
      <c r="E211" s="56"/>
      <c r="F211" s="57"/>
      <c r="G211" s="78"/>
      <c r="H211" s="56"/>
      <c r="I211" s="56"/>
      <c r="J211" s="59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</row>
    <row r="212" spans="1:33" ht="61.5" customHeight="1" x14ac:dyDescent="0.25">
      <c r="A212" s="77"/>
      <c r="B212" s="56"/>
      <c r="C212" s="56"/>
      <c r="D212" s="56"/>
      <c r="E212" s="56"/>
      <c r="F212" s="57"/>
      <c r="G212" s="78"/>
      <c r="H212" s="56"/>
      <c r="I212" s="56"/>
      <c r="J212" s="59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</row>
    <row r="213" spans="1:33" ht="61.5" customHeight="1" x14ac:dyDescent="0.25">
      <c r="A213" s="77"/>
      <c r="B213" s="56"/>
      <c r="C213" s="56"/>
      <c r="D213" s="56"/>
      <c r="E213" s="56"/>
      <c r="F213" s="57"/>
      <c r="G213" s="78"/>
      <c r="H213" s="56"/>
      <c r="I213" s="56"/>
      <c r="J213" s="59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</row>
    <row r="214" spans="1:33" ht="61.5" customHeight="1" x14ac:dyDescent="0.25">
      <c r="A214" s="56"/>
      <c r="B214" s="56"/>
      <c r="C214" s="56"/>
      <c r="D214" s="56"/>
      <c r="E214" s="56"/>
      <c r="F214" s="57"/>
      <c r="G214" s="78"/>
      <c r="H214" s="56"/>
      <c r="I214" s="56"/>
      <c r="J214" s="59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</row>
    <row r="215" spans="1:33" ht="61.5" customHeight="1" x14ac:dyDescent="0.25">
      <c r="A215" s="56"/>
      <c r="B215" s="56"/>
      <c r="C215" s="56"/>
      <c r="D215" s="56"/>
      <c r="E215" s="56"/>
      <c r="F215" s="57"/>
      <c r="G215" s="78"/>
      <c r="H215" s="56"/>
      <c r="I215" s="56"/>
      <c r="J215" s="59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</row>
    <row r="216" spans="1:33" ht="61.5" customHeight="1" x14ac:dyDescent="0.25">
      <c r="A216" s="56"/>
      <c r="B216" s="56"/>
      <c r="C216" s="56"/>
      <c r="D216" s="56"/>
      <c r="E216" s="56"/>
      <c r="F216" s="57"/>
      <c r="G216" s="78"/>
      <c r="H216" s="56"/>
      <c r="I216" s="56"/>
      <c r="J216" s="59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</row>
    <row r="217" spans="1:33" ht="61.5" customHeight="1" x14ac:dyDescent="0.25">
      <c r="A217" s="56"/>
      <c r="B217" s="56"/>
      <c r="C217" s="56"/>
      <c r="D217" s="56"/>
      <c r="E217" s="56"/>
      <c r="F217" s="57"/>
      <c r="G217" s="78"/>
      <c r="H217" s="56"/>
      <c r="I217" s="56"/>
      <c r="J217" s="59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</row>
    <row r="218" spans="1:33" ht="61.5" customHeight="1" x14ac:dyDescent="0.25">
      <c r="A218" s="56"/>
      <c r="B218" s="56"/>
      <c r="C218" s="56"/>
      <c r="D218" s="56"/>
      <c r="E218" s="56"/>
      <c r="F218" s="57"/>
      <c r="G218" s="78"/>
      <c r="H218" s="56"/>
      <c r="I218" s="56"/>
      <c r="J218" s="59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</row>
    <row r="219" spans="1:33" ht="61.5" customHeight="1" x14ac:dyDescent="0.25">
      <c r="A219" s="56"/>
      <c r="B219" s="56"/>
      <c r="C219" s="56"/>
      <c r="D219" s="56"/>
      <c r="E219" s="56"/>
      <c r="F219" s="57"/>
      <c r="G219" s="78"/>
      <c r="H219" s="56"/>
      <c r="I219" s="56"/>
      <c r="J219" s="59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</row>
    <row r="220" spans="1:33" ht="61.5" customHeight="1" x14ac:dyDescent="0.25">
      <c r="A220" s="56"/>
      <c r="B220" s="56"/>
      <c r="C220" s="56"/>
      <c r="D220" s="56"/>
      <c r="E220" s="56"/>
      <c r="F220" s="57"/>
      <c r="G220" s="78"/>
      <c r="H220" s="56"/>
      <c r="I220" s="56"/>
      <c r="J220" s="59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</row>
    <row r="221" spans="1:33" ht="61.5" customHeight="1" x14ac:dyDescent="0.25">
      <c r="A221" s="56"/>
      <c r="B221" s="56"/>
      <c r="C221" s="56"/>
      <c r="D221" s="56"/>
      <c r="E221" s="56"/>
      <c r="F221" s="57"/>
      <c r="G221" s="78"/>
      <c r="H221" s="56"/>
      <c r="I221" s="56"/>
      <c r="J221" s="59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</row>
    <row r="222" spans="1:33" ht="61.5" customHeight="1" x14ac:dyDescent="0.25">
      <c r="A222" s="56"/>
      <c r="B222" s="56"/>
      <c r="C222" s="56"/>
      <c r="D222" s="56"/>
      <c r="E222" s="56"/>
      <c r="F222" s="57"/>
      <c r="G222" s="78"/>
      <c r="H222" s="56"/>
      <c r="I222" s="56"/>
      <c r="J222" s="59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</row>
    <row r="223" spans="1:33" ht="61.5" customHeight="1" x14ac:dyDescent="0.25">
      <c r="A223" s="56"/>
      <c r="B223" s="56"/>
      <c r="C223" s="56"/>
      <c r="D223" s="56"/>
      <c r="E223" s="56"/>
      <c r="F223" s="57"/>
      <c r="G223" s="78"/>
      <c r="H223" s="56"/>
      <c r="I223" s="56"/>
      <c r="J223" s="59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</row>
    <row r="224" spans="1:33" ht="61.5" customHeight="1" x14ac:dyDescent="0.25">
      <c r="A224" s="56"/>
      <c r="B224" s="56"/>
      <c r="C224" s="56"/>
      <c r="D224" s="56"/>
      <c r="E224" s="56"/>
      <c r="F224" s="57"/>
      <c r="G224" s="78"/>
      <c r="H224" s="56"/>
      <c r="I224" s="56"/>
      <c r="J224" s="59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</row>
    <row r="225" spans="1:33" ht="61.5" customHeight="1" x14ac:dyDescent="0.25">
      <c r="A225" s="56"/>
      <c r="B225" s="56"/>
      <c r="C225" s="56"/>
      <c r="D225" s="56"/>
      <c r="E225" s="56"/>
      <c r="F225" s="57"/>
      <c r="G225" s="78"/>
      <c r="H225" s="56"/>
      <c r="I225" s="56"/>
      <c r="J225" s="59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</row>
    <row r="226" spans="1:33" ht="61.5" customHeight="1" x14ac:dyDescent="0.25">
      <c r="A226" s="56"/>
      <c r="B226" s="56"/>
      <c r="C226" s="56"/>
      <c r="D226" s="56"/>
      <c r="E226" s="56"/>
      <c r="F226" s="57"/>
      <c r="G226" s="78"/>
      <c r="H226" s="56"/>
      <c r="I226" s="56"/>
      <c r="J226" s="59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</row>
    <row r="227" spans="1:33" ht="61.5" customHeight="1" x14ac:dyDescent="0.25">
      <c r="A227" s="56"/>
      <c r="B227" s="56"/>
      <c r="C227" s="56"/>
      <c r="D227" s="56"/>
      <c r="E227" s="56"/>
      <c r="F227" s="57"/>
      <c r="G227" s="78"/>
      <c r="H227" s="56"/>
      <c r="I227" s="56"/>
      <c r="J227" s="59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</row>
    <row r="228" spans="1:33" ht="61.5" customHeight="1" x14ac:dyDescent="0.25">
      <c r="A228" s="56"/>
      <c r="B228" s="56"/>
      <c r="C228" s="56"/>
      <c r="D228" s="56"/>
      <c r="E228" s="56"/>
      <c r="F228" s="57"/>
      <c r="G228" s="78"/>
      <c r="H228" s="56"/>
      <c r="I228" s="56"/>
      <c r="J228" s="59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</row>
    <row r="229" spans="1:33" ht="61.5" customHeight="1" x14ac:dyDescent="0.25">
      <c r="A229" s="56"/>
      <c r="B229" s="56"/>
      <c r="C229" s="56"/>
      <c r="D229" s="56"/>
      <c r="E229" s="56"/>
      <c r="F229" s="57"/>
      <c r="G229" s="78"/>
      <c r="H229" s="56"/>
      <c r="I229" s="56"/>
      <c r="J229" s="59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</row>
    <row r="230" spans="1:33" ht="61.5" customHeight="1" x14ac:dyDescent="0.25">
      <c r="A230" s="56"/>
      <c r="B230" s="56"/>
      <c r="C230" s="56"/>
      <c r="D230" s="56"/>
      <c r="E230" s="56"/>
      <c r="F230" s="57"/>
      <c r="G230" s="78"/>
      <c r="H230" s="56"/>
      <c r="I230" s="56"/>
      <c r="J230" s="59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</row>
    <row r="231" spans="1:33" ht="61.5" customHeight="1" x14ac:dyDescent="0.25">
      <c r="A231" s="56"/>
      <c r="B231" s="56"/>
      <c r="C231" s="56"/>
      <c r="D231" s="56"/>
      <c r="E231" s="56"/>
      <c r="F231" s="57"/>
      <c r="G231" s="78"/>
      <c r="H231" s="56"/>
      <c r="I231" s="56"/>
      <c r="J231" s="59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</row>
    <row r="232" spans="1:33" ht="61.5" customHeight="1" x14ac:dyDescent="0.25">
      <c r="A232" s="56"/>
      <c r="B232" s="56"/>
      <c r="C232" s="56"/>
      <c r="D232" s="56"/>
      <c r="E232" s="56"/>
      <c r="F232" s="57"/>
      <c r="G232" s="78"/>
      <c r="H232" s="56"/>
      <c r="I232" s="56"/>
      <c r="J232" s="59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</row>
    <row r="233" spans="1:33" ht="61.5" customHeight="1" x14ac:dyDescent="0.25">
      <c r="A233" s="56"/>
      <c r="B233" s="56"/>
      <c r="C233" s="56"/>
      <c r="D233" s="56"/>
      <c r="E233" s="56"/>
      <c r="F233" s="57"/>
      <c r="G233" s="78"/>
      <c r="H233" s="56"/>
      <c r="I233" s="56"/>
      <c r="J233" s="59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</row>
    <row r="234" spans="1:33" ht="61.5" customHeight="1" x14ac:dyDescent="0.25">
      <c r="A234" s="56"/>
      <c r="B234" s="56"/>
      <c r="C234" s="56"/>
      <c r="D234" s="56"/>
      <c r="E234" s="56"/>
      <c r="F234" s="57"/>
      <c r="G234" s="78"/>
      <c r="H234" s="56"/>
      <c r="I234" s="56"/>
      <c r="J234" s="59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</row>
    <row r="235" spans="1:33" ht="61.5" customHeight="1" x14ac:dyDescent="0.25">
      <c r="A235" s="56"/>
      <c r="B235" s="56"/>
      <c r="C235" s="56"/>
      <c r="D235" s="56"/>
      <c r="E235" s="56"/>
      <c r="F235" s="57"/>
      <c r="G235" s="78"/>
      <c r="H235" s="56"/>
      <c r="I235" s="56"/>
      <c r="J235" s="59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</row>
    <row r="236" spans="1:33" ht="61.5" customHeight="1" x14ac:dyDescent="0.25">
      <c r="A236" s="56"/>
      <c r="B236" s="56"/>
      <c r="C236" s="56"/>
      <c r="D236" s="56"/>
      <c r="E236" s="56"/>
      <c r="F236" s="57"/>
      <c r="G236" s="78"/>
      <c r="H236" s="56"/>
      <c r="I236" s="56"/>
      <c r="J236" s="59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</row>
    <row r="237" spans="1:33" ht="61.5" customHeight="1" x14ac:dyDescent="0.25">
      <c r="A237" s="56"/>
      <c r="B237" s="56"/>
      <c r="C237" s="56"/>
      <c r="D237" s="56"/>
      <c r="E237" s="56"/>
      <c r="F237" s="57"/>
      <c r="G237" s="78"/>
      <c r="H237" s="56"/>
      <c r="I237" s="56"/>
      <c r="J237" s="59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</row>
    <row r="238" spans="1:33" ht="61.5" customHeight="1" x14ac:dyDescent="0.25">
      <c r="A238" s="56"/>
      <c r="B238" s="56"/>
      <c r="C238" s="56"/>
      <c r="D238" s="56"/>
      <c r="E238" s="56"/>
      <c r="F238" s="57"/>
      <c r="G238" s="78"/>
      <c r="H238" s="56"/>
      <c r="I238" s="56"/>
      <c r="J238" s="59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</row>
    <row r="239" spans="1:33" ht="61.5" customHeight="1" x14ac:dyDescent="0.25">
      <c r="A239" s="56"/>
      <c r="B239" s="56"/>
      <c r="C239" s="56"/>
      <c r="D239" s="56"/>
      <c r="E239" s="56"/>
      <c r="F239" s="57"/>
      <c r="G239" s="78"/>
      <c r="H239" s="56"/>
      <c r="I239" s="56"/>
      <c r="J239" s="59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</row>
    <row r="240" spans="1:33" ht="61.5" customHeight="1" x14ac:dyDescent="0.25">
      <c r="A240" s="56"/>
      <c r="B240" s="56"/>
      <c r="C240" s="56"/>
      <c r="D240" s="56"/>
      <c r="E240" s="56"/>
      <c r="F240" s="57"/>
      <c r="G240" s="78"/>
      <c r="H240" s="56"/>
      <c r="I240" s="56"/>
      <c r="J240" s="59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</row>
    <row r="241" spans="1:33" ht="61.5" customHeight="1" x14ac:dyDescent="0.25">
      <c r="A241" s="56"/>
      <c r="B241" s="56"/>
      <c r="C241" s="56"/>
      <c r="D241" s="56"/>
      <c r="E241" s="56"/>
      <c r="F241" s="57"/>
      <c r="G241" s="78"/>
      <c r="H241" s="56"/>
      <c r="I241" s="56"/>
      <c r="J241" s="59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</row>
    <row r="242" spans="1:33" ht="61.5" customHeight="1" x14ac:dyDescent="0.25">
      <c r="A242" s="56"/>
      <c r="B242" s="56"/>
      <c r="C242" s="56"/>
      <c r="D242" s="56"/>
      <c r="E242" s="56"/>
      <c r="F242" s="57"/>
      <c r="G242" s="78"/>
      <c r="H242" s="56"/>
      <c r="I242" s="56"/>
      <c r="J242" s="59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</row>
    <row r="243" spans="1:33" ht="61.5" customHeight="1" x14ac:dyDescent="0.25">
      <c r="A243" s="56"/>
      <c r="B243" s="56"/>
      <c r="C243" s="56"/>
      <c r="D243" s="56"/>
      <c r="E243" s="56"/>
      <c r="F243" s="57"/>
      <c r="G243" s="78"/>
      <c r="H243" s="56"/>
      <c r="I243" s="56"/>
      <c r="J243" s="59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</row>
    <row r="244" spans="1:33" ht="61.5" customHeight="1" x14ac:dyDescent="0.25">
      <c r="A244" s="56"/>
      <c r="B244" s="56"/>
      <c r="C244" s="56"/>
      <c r="D244" s="56"/>
      <c r="E244" s="56"/>
      <c r="F244" s="57"/>
      <c r="G244" s="78"/>
      <c r="H244" s="56"/>
      <c r="I244" s="56"/>
      <c r="J244" s="59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</row>
    <row r="245" spans="1:33" ht="61.5" customHeight="1" x14ac:dyDescent="0.25">
      <c r="A245" s="56"/>
      <c r="B245" s="56"/>
      <c r="C245" s="56"/>
      <c r="D245" s="56"/>
      <c r="E245" s="56"/>
      <c r="F245" s="57"/>
      <c r="G245" s="78"/>
      <c r="H245" s="56"/>
      <c r="I245" s="56"/>
      <c r="J245" s="59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</row>
    <row r="246" spans="1:33" ht="61.5" customHeight="1" x14ac:dyDescent="0.25">
      <c r="A246" s="56"/>
      <c r="B246" s="56"/>
      <c r="C246" s="56"/>
      <c r="D246" s="56"/>
      <c r="E246" s="56"/>
      <c r="F246" s="57"/>
      <c r="G246" s="78"/>
      <c r="H246" s="56"/>
      <c r="I246" s="56"/>
      <c r="J246" s="59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</row>
    <row r="247" spans="1:33" ht="61.5" customHeight="1" x14ac:dyDescent="0.25">
      <c r="A247" s="56"/>
      <c r="B247" s="56"/>
      <c r="C247" s="56"/>
      <c r="D247" s="56"/>
      <c r="E247" s="56"/>
      <c r="F247" s="57"/>
      <c r="G247" s="78"/>
      <c r="H247" s="56"/>
      <c r="I247" s="56"/>
      <c r="J247" s="59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</row>
    <row r="248" spans="1:33" ht="61.5" customHeight="1" x14ac:dyDescent="0.25">
      <c r="A248" s="56"/>
      <c r="B248" s="56"/>
      <c r="C248" s="56"/>
      <c r="D248" s="56"/>
      <c r="E248" s="56"/>
      <c r="F248" s="57"/>
      <c r="G248" s="78"/>
      <c r="H248" s="56"/>
      <c r="I248" s="56"/>
      <c r="J248" s="59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</row>
    <row r="249" spans="1:33" ht="61.5" customHeight="1" x14ac:dyDescent="0.25">
      <c r="A249" s="56"/>
      <c r="B249" s="56"/>
      <c r="C249" s="56"/>
      <c r="D249" s="56"/>
      <c r="E249" s="56"/>
      <c r="F249" s="57"/>
      <c r="G249" s="78"/>
      <c r="H249" s="56"/>
      <c r="I249" s="56"/>
      <c r="J249" s="59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</row>
    <row r="250" spans="1:33" ht="61.5" customHeight="1" x14ac:dyDescent="0.25">
      <c r="A250" s="56"/>
      <c r="B250" s="56"/>
      <c r="C250" s="56"/>
      <c r="D250" s="56"/>
      <c r="E250" s="56"/>
      <c r="F250" s="57"/>
      <c r="G250" s="78"/>
      <c r="H250" s="56"/>
      <c r="I250" s="56"/>
      <c r="J250" s="59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</row>
    <row r="251" spans="1:33" ht="61.5" customHeight="1" x14ac:dyDescent="0.25">
      <c r="A251" s="56"/>
      <c r="B251" s="56"/>
      <c r="C251" s="56"/>
      <c r="D251" s="56"/>
      <c r="E251" s="56"/>
      <c r="F251" s="57"/>
      <c r="G251" s="78"/>
      <c r="H251" s="56"/>
      <c r="I251" s="56"/>
      <c r="J251" s="59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</row>
    <row r="252" spans="1:33" ht="61.5" customHeight="1" x14ac:dyDescent="0.25">
      <c r="A252" s="56"/>
      <c r="B252" s="56"/>
      <c r="C252" s="56"/>
      <c r="D252" s="56"/>
      <c r="E252" s="56"/>
      <c r="F252" s="57"/>
      <c r="G252" s="78"/>
      <c r="H252" s="56"/>
      <c r="I252" s="56"/>
      <c r="J252" s="59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</row>
    <row r="253" spans="1:33" ht="61.5" customHeight="1" x14ac:dyDescent="0.25">
      <c r="A253" s="56"/>
      <c r="B253" s="56"/>
      <c r="C253" s="56"/>
      <c r="D253" s="56"/>
      <c r="E253" s="56"/>
      <c r="F253" s="57"/>
      <c r="G253" s="78"/>
      <c r="H253" s="56"/>
      <c r="I253" s="56"/>
      <c r="J253" s="59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</row>
    <row r="254" spans="1:33" ht="61.5" customHeight="1" x14ac:dyDescent="0.25">
      <c r="A254" s="56"/>
      <c r="B254" s="56"/>
      <c r="C254" s="56"/>
      <c r="D254" s="56"/>
      <c r="E254" s="56"/>
      <c r="F254" s="57"/>
      <c r="G254" s="78"/>
      <c r="H254" s="56"/>
      <c r="I254" s="56"/>
      <c r="J254" s="59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</row>
    <row r="255" spans="1:33" ht="61.5" customHeight="1" x14ac:dyDescent="0.25">
      <c r="A255" s="56"/>
      <c r="B255" s="56"/>
      <c r="C255" s="56"/>
      <c r="D255" s="56"/>
      <c r="E255" s="56"/>
      <c r="F255" s="57"/>
      <c r="G255" s="78"/>
      <c r="H255" s="56"/>
      <c r="I255" s="56"/>
      <c r="J255" s="59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</row>
    <row r="256" spans="1:33" ht="61.5" customHeight="1" x14ac:dyDescent="0.25">
      <c r="A256" s="56"/>
      <c r="B256" s="56"/>
      <c r="C256" s="56"/>
      <c r="D256" s="56"/>
      <c r="E256" s="56"/>
      <c r="F256" s="57"/>
      <c r="G256" s="78"/>
      <c r="H256" s="56"/>
      <c r="I256" s="56"/>
      <c r="J256" s="59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</row>
    <row r="257" spans="1:33" ht="61.5" customHeight="1" x14ac:dyDescent="0.25">
      <c r="A257" s="56"/>
      <c r="B257" s="56"/>
      <c r="C257" s="56"/>
      <c r="D257" s="56"/>
      <c r="E257" s="56"/>
      <c r="F257" s="57"/>
      <c r="G257" s="78"/>
      <c r="H257" s="56"/>
      <c r="I257" s="56"/>
      <c r="J257" s="59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</row>
    <row r="258" spans="1:33" ht="61.5" customHeight="1" x14ac:dyDescent="0.25">
      <c r="A258" s="56"/>
      <c r="B258" s="56"/>
      <c r="C258" s="56"/>
      <c r="D258" s="56"/>
      <c r="E258" s="56"/>
      <c r="F258" s="57"/>
      <c r="G258" s="78"/>
      <c r="H258" s="56"/>
      <c r="I258" s="56"/>
      <c r="J258" s="59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</row>
    <row r="259" spans="1:33" ht="61.5" customHeight="1" x14ac:dyDescent="0.25">
      <c r="A259" s="56"/>
      <c r="B259" s="56"/>
      <c r="C259" s="56"/>
      <c r="D259" s="56"/>
      <c r="E259" s="56"/>
      <c r="F259" s="57"/>
      <c r="G259" s="78"/>
      <c r="H259" s="56"/>
      <c r="I259" s="56"/>
      <c r="J259" s="59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</row>
    <row r="260" spans="1:33" ht="61.5" customHeight="1" x14ac:dyDescent="0.25">
      <c r="A260" s="56"/>
      <c r="B260" s="56"/>
      <c r="C260" s="56"/>
      <c r="D260" s="56"/>
      <c r="E260" s="56"/>
      <c r="F260" s="57"/>
      <c r="G260" s="78"/>
      <c r="H260" s="56"/>
      <c r="I260" s="56"/>
      <c r="J260" s="59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</row>
    <row r="261" spans="1:33" ht="61.5" customHeight="1" x14ac:dyDescent="0.25">
      <c r="A261" s="56"/>
      <c r="B261" s="56"/>
      <c r="C261" s="56"/>
      <c r="D261" s="56"/>
      <c r="E261" s="56"/>
      <c r="F261" s="57"/>
      <c r="G261" s="78"/>
      <c r="H261" s="56"/>
      <c r="I261" s="56"/>
      <c r="J261" s="59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</row>
    <row r="262" spans="1:33" ht="61.5" customHeight="1" x14ac:dyDescent="0.25">
      <c r="A262" s="56"/>
      <c r="B262" s="56"/>
      <c r="C262" s="56"/>
      <c r="D262" s="56"/>
      <c r="E262" s="56"/>
      <c r="F262" s="57"/>
      <c r="G262" s="78"/>
      <c r="H262" s="56"/>
      <c r="I262" s="56"/>
      <c r="J262" s="59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</row>
    <row r="263" spans="1:33" ht="61.5" customHeight="1" x14ac:dyDescent="0.25">
      <c r="A263" s="56"/>
      <c r="B263" s="56"/>
      <c r="C263" s="56"/>
      <c r="D263" s="56"/>
      <c r="E263" s="56"/>
      <c r="F263" s="57"/>
      <c r="G263" s="78"/>
      <c r="H263" s="56"/>
      <c r="I263" s="56"/>
      <c r="J263" s="59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</row>
    <row r="264" spans="1:33" ht="61.5" customHeight="1" x14ac:dyDescent="0.25">
      <c r="A264" s="56"/>
      <c r="B264" s="56"/>
      <c r="C264" s="56"/>
      <c r="D264" s="56"/>
      <c r="E264" s="56"/>
      <c r="F264" s="57"/>
      <c r="G264" s="78"/>
      <c r="H264" s="56"/>
      <c r="I264" s="56"/>
      <c r="J264" s="59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</row>
    <row r="265" spans="1:33" ht="61.5" customHeight="1" x14ac:dyDescent="0.25">
      <c r="A265" s="56"/>
      <c r="B265" s="56"/>
      <c r="C265" s="56"/>
      <c r="D265" s="56"/>
      <c r="E265" s="56"/>
      <c r="F265" s="57"/>
      <c r="G265" s="78"/>
      <c r="H265" s="56"/>
      <c r="I265" s="56"/>
      <c r="J265" s="59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</row>
    <row r="266" spans="1:33" ht="61.5" customHeight="1" x14ac:dyDescent="0.25">
      <c r="A266" s="56"/>
      <c r="B266" s="56"/>
      <c r="C266" s="56"/>
      <c r="D266" s="56"/>
      <c r="E266" s="56"/>
      <c r="F266" s="57"/>
      <c r="G266" s="78"/>
      <c r="H266" s="56"/>
      <c r="I266" s="56"/>
      <c r="J266" s="59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</row>
    <row r="267" spans="1:33" ht="61.5" customHeight="1" x14ac:dyDescent="0.25">
      <c r="A267" s="56"/>
      <c r="B267" s="56"/>
      <c r="C267" s="56"/>
      <c r="D267" s="56"/>
      <c r="E267" s="56"/>
      <c r="F267" s="57"/>
      <c r="G267" s="78"/>
      <c r="H267" s="56"/>
      <c r="I267" s="56"/>
      <c r="J267" s="59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</row>
    <row r="268" spans="1:33" ht="61.5" customHeight="1" x14ac:dyDescent="0.25">
      <c r="A268" s="56"/>
      <c r="B268" s="56"/>
      <c r="C268" s="56"/>
      <c r="D268" s="56"/>
      <c r="E268" s="56"/>
      <c r="F268" s="57"/>
      <c r="G268" s="78"/>
      <c r="H268" s="56"/>
      <c r="I268" s="56"/>
      <c r="J268" s="59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</row>
    <row r="269" spans="1:33" ht="61.5" customHeight="1" x14ac:dyDescent="0.25">
      <c r="A269" s="56"/>
      <c r="B269" s="56"/>
      <c r="C269" s="56"/>
      <c r="D269" s="56"/>
      <c r="E269" s="56"/>
      <c r="F269" s="57"/>
      <c r="G269" s="78"/>
      <c r="H269" s="56"/>
      <c r="I269" s="56"/>
      <c r="J269" s="59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</row>
    <row r="270" spans="1:33" ht="61.5" customHeight="1" x14ac:dyDescent="0.25">
      <c r="A270" s="56"/>
      <c r="B270" s="56"/>
      <c r="C270" s="56"/>
      <c r="D270" s="56"/>
      <c r="E270" s="56"/>
      <c r="F270" s="57"/>
      <c r="G270" s="78"/>
      <c r="H270" s="56"/>
      <c r="I270" s="56"/>
      <c r="J270" s="59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</row>
    <row r="271" spans="1:33" ht="61.5" customHeight="1" x14ac:dyDescent="0.25">
      <c r="A271" s="56"/>
      <c r="B271" s="56"/>
      <c r="C271" s="56"/>
      <c r="D271" s="56"/>
      <c r="E271" s="56"/>
      <c r="F271" s="57"/>
      <c r="G271" s="78"/>
      <c r="H271" s="56"/>
      <c r="I271" s="56"/>
      <c r="J271" s="59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</row>
    <row r="272" spans="1:33" ht="61.5" customHeight="1" x14ac:dyDescent="0.25">
      <c r="A272" s="56"/>
      <c r="B272" s="56"/>
      <c r="C272" s="56"/>
      <c r="D272" s="56"/>
      <c r="E272" s="56"/>
      <c r="F272" s="57"/>
      <c r="G272" s="78"/>
      <c r="H272" s="56"/>
      <c r="I272" s="56"/>
      <c r="J272" s="59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</row>
    <row r="273" spans="1:33" ht="61.5" customHeight="1" x14ac:dyDescent="0.25">
      <c r="A273" s="56"/>
      <c r="B273" s="56"/>
      <c r="C273" s="56"/>
      <c r="D273" s="56"/>
      <c r="E273" s="56"/>
      <c r="F273" s="57"/>
      <c r="G273" s="78"/>
      <c r="H273" s="56"/>
      <c r="I273" s="56"/>
      <c r="J273" s="59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</row>
    <row r="274" spans="1:33" ht="61.5" customHeight="1" x14ac:dyDescent="0.25">
      <c r="A274" s="56"/>
      <c r="B274" s="56"/>
      <c r="C274" s="56"/>
      <c r="D274" s="56"/>
      <c r="E274" s="56"/>
      <c r="F274" s="57"/>
      <c r="G274" s="78"/>
      <c r="H274" s="56"/>
      <c r="I274" s="56"/>
      <c r="J274" s="59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</row>
    <row r="275" spans="1:33" ht="61.5" customHeight="1" x14ac:dyDescent="0.25">
      <c r="A275" s="56"/>
      <c r="B275" s="56"/>
      <c r="C275" s="56"/>
      <c r="D275" s="56"/>
      <c r="E275" s="56"/>
      <c r="F275" s="57"/>
      <c r="G275" s="78"/>
      <c r="H275" s="56"/>
      <c r="I275" s="56"/>
      <c r="J275" s="59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</row>
    <row r="276" spans="1:33" ht="61.5" customHeight="1" x14ac:dyDescent="0.25">
      <c r="A276" s="56"/>
      <c r="B276" s="56"/>
      <c r="C276" s="56"/>
      <c r="D276" s="56"/>
      <c r="E276" s="56"/>
      <c r="F276" s="57"/>
      <c r="G276" s="78"/>
      <c r="H276" s="56"/>
      <c r="I276" s="56"/>
      <c r="J276" s="59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</row>
    <row r="277" spans="1:33" ht="61.5" customHeight="1" x14ac:dyDescent="0.25">
      <c r="A277" s="56"/>
      <c r="B277" s="56"/>
      <c r="C277" s="56"/>
      <c r="D277" s="56"/>
      <c r="E277" s="56"/>
      <c r="F277" s="57"/>
      <c r="G277" s="78"/>
      <c r="H277" s="56"/>
      <c r="I277" s="56"/>
      <c r="J277" s="59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</row>
    <row r="278" spans="1:33" ht="61.5" customHeight="1" x14ac:dyDescent="0.25">
      <c r="A278" s="56"/>
      <c r="B278" s="56"/>
      <c r="C278" s="56"/>
      <c r="D278" s="56"/>
      <c r="E278" s="56"/>
      <c r="F278" s="57"/>
      <c r="G278" s="78"/>
      <c r="H278" s="56"/>
      <c r="I278" s="56"/>
      <c r="J278" s="59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</row>
    <row r="279" spans="1:33" ht="61.5" customHeight="1" x14ac:dyDescent="0.25">
      <c r="A279" s="56"/>
      <c r="B279" s="56"/>
      <c r="C279" s="56"/>
      <c r="D279" s="56"/>
      <c r="E279" s="56"/>
      <c r="F279" s="57"/>
      <c r="G279" s="78"/>
      <c r="H279" s="56"/>
      <c r="I279" s="56"/>
      <c r="J279" s="59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</row>
    <row r="280" spans="1:33" ht="61.5" customHeight="1" x14ac:dyDescent="0.25">
      <c r="A280" s="56"/>
      <c r="B280" s="56"/>
      <c r="C280" s="56"/>
      <c r="D280" s="56"/>
      <c r="E280" s="56"/>
      <c r="F280" s="57"/>
      <c r="G280" s="78"/>
      <c r="H280" s="56"/>
      <c r="I280" s="56"/>
      <c r="J280" s="59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</row>
    <row r="281" spans="1:33" ht="61.5" customHeight="1" x14ac:dyDescent="0.25">
      <c r="A281" s="56"/>
      <c r="B281" s="56"/>
      <c r="C281" s="56"/>
      <c r="D281" s="56"/>
      <c r="E281" s="56"/>
      <c r="F281" s="57"/>
      <c r="G281" s="78"/>
      <c r="H281" s="56"/>
      <c r="I281" s="56"/>
      <c r="J281" s="59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</row>
    <row r="282" spans="1:33" ht="61.5" customHeight="1" x14ac:dyDescent="0.25">
      <c r="A282" s="56"/>
      <c r="B282" s="56"/>
      <c r="C282" s="56"/>
      <c r="D282" s="56"/>
      <c r="E282" s="56"/>
      <c r="F282" s="57"/>
      <c r="G282" s="78"/>
      <c r="H282" s="56"/>
      <c r="I282" s="56"/>
      <c r="J282" s="59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</row>
    <row r="283" spans="1:33" ht="61.5" customHeight="1" x14ac:dyDescent="0.25">
      <c r="A283" s="56"/>
      <c r="B283" s="56"/>
      <c r="C283" s="56"/>
      <c r="D283" s="56"/>
      <c r="E283" s="56"/>
      <c r="F283" s="57"/>
      <c r="G283" s="78"/>
      <c r="H283" s="56"/>
      <c r="I283" s="56"/>
      <c r="J283" s="59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</row>
    <row r="284" spans="1:33" ht="61.5" customHeight="1" x14ac:dyDescent="0.25">
      <c r="A284" s="56"/>
      <c r="B284" s="56"/>
      <c r="C284" s="56"/>
      <c r="D284" s="56"/>
      <c r="E284" s="56"/>
      <c r="F284" s="57"/>
      <c r="G284" s="78"/>
      <c r="H284" s="56"/>
      <c r="I284" s="56"/>
      <c r="J284" s="59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</row>
    <row r="285" spans="1:33" ht="61.5" customHeight="1" x14ac:dyDescent="0.25">
      <c r="A285" s="56"/>
      <c r="B285" s="56"/>
      <c r="C285" s="56"/>
      <c r="D285" s="56"/>
      <c r="E285" s="56"/>
      <c r="F285" s="57"/>
      <c r="G285" s="78"/>
      <c r="H285" s="56"/>
      <c r="I285" s="56"/>
      <c r="J285" s="59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</row>
    <row r="286" spans="1:33" ht="61.5" customHeight="1" x14ac:dyDescent="0.25">
      <c r="A286" s="56"/>
      <c r="B286" s="56"/>
      <c r="C286" s="56"/>
      <c r="D286" s="56"/>
      <c r="E286" s="56"/>
      <c r="F286" s="57"/>
      <c r="G286" s="78"/>
      <c r="H286" s="56"/>
      <c r="I286" s="56"/>
      <c r="J286" s="59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</row>
    <row r="287" spans="1:33" ht="61.5" customHeight="1" x14ac:dyDescent="0.25">
      <c r="A287" s="56"/>
      <c r="B287" s="56"/>
      <c r="C287" s="56"/>
      <c r="D287" s="56"/>
      <c r="E287" s="56"/>
      <c r="F287" s="57"/>
      <c r="G287" s="78"/>
      <c r="H287" s="56"/>
      <c r="I287" s="56"/>
      <c r="J287" s="59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</row>
    <row r="288" spans="1:33" ht="61.5" customHeight="1" x14ac:dyDescent="0.25">
      <c r="A288" s="56"/>
      <c r="B288" s="56"/>
      <c r="C288" s="56"/>
      <c r="D288" s="56"/>
      <c r="E288" s="56"/>
      <c r="F288" s="57"/>
      <c r="G288" s="78"/>
      <c r="H288" s="56"/>
      <c r="I288" s="56"/>
      <c r="J288" s="59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</row>
    <row r="289" spans="1:33" ht="61.5" customHeight="1" x14ac:dyDescent="0.25">
      <c r="A289" s="56"/>
      <c r="B289" s="56"/>
      <c r="C289" s="56"/>
      <c r="D289" s="56"/>
      <c r="E289" s="56"/>
      <c r="F289" s="57"/>
      <c r="G289" s="78"/>
      <c r="H289" s="56"/>
      <c r="I289" s="56"/>
      <c r="J289" s="59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</row>
    <row r="290" spans="1:33" ht="61.5" customHeight="1" x14ac:dyDescent="0.25">
      <c r="A290" s="56"/>
      <c r="B290" s="56"/>
      <c r="C290" s="56"/>
      <c r="D290" s="56"/>
      <c r="E290" s="56"/>
      <c r="F290" s="57"/>
      <c r="G290" s="78"/>
      <c r="H290" s="56"/>
      <c r="I290" s="56"/>
      <c r="J290" s="59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</row>
    <row r="291" spans="1:33" ht="61.5" customHeight="1" x14ac:dyDescent="0.25">
      <c r="A291" s="56"/>
      <c r="B291" s="56"/>
      <c r="C291" s="56"/>
      <c r="D291" s="56"/>
      <c r="E291" s="56"/>
      <c r="F291" s="57"/>
      <c r="G291" s="78"/>
      <c r="H291" s="56"/>
      <c r="I291" s="56"/>
      <c r="J291" s="59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</row>
    <row r="292" spans="1:33" ht="61.5" customHeight="1" x14ac:dyDescent="0.25">
      <c r="A292" s="56"/>
      <c r="B292" s="56"/>
      <c r="C292" s="56"/>
      <c r="D292" s="56"/>
      <c r="E292" s="56"/>
      <c r="F292" s="57"/>
      <c r="G292" s="78"/>
      <c r="H292" s="56"/>
      <c r="I292" s="56"/>
      <c r="J292" s="59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</row>
    <row r="293" spans="1:33" ht="61.5" customHeight="1" x14ac:dyDescent="0.25">
      <c r="A293" s="56"/>
      <c r="B293" s="56"/>
      <c r="C293" s="56"/>
      <c r="D293" s="56"/>
      <c r="E293" s="56"/>
      <c r="F293" s="57"/>
      <c r="G293" s="78"/>
      <c r="H293" s="56"/>
      <c r="I293" s="56"/>
      <c r="J293" s="59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</row>
    <row r="294" spans="1:33" ht="61.5" customHeight="1" x14ac:dyDescent="0.25">
      <c r="A294" s="56"/>
      <c r="B294" s="56"/>
      <c r="C294" s="56"/>
      <c r="D294" s="56"/>
      <c r="E294" s="56"/>
      <c r="F294" s="57"/>
      <c r="G294" s="78"/>
      <c r="H294" s="56"/>
      <c r="I294" s="56"/>
      <c r="J294" s="59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</row>
    <row r="295" spans="1:33" ht="61.5" customHeight="1" x14ac:dyDescent="0.25">
      <c r="A295" s="56"/>
      <c r="B295" s="56"/>
      <c r="C295" s="56"/>
      <c r="D295" s="56"/>
      <c r="E295" s="56"/>
      <c r="F295" s="57"/>
      <c r="G295" s="78"/>
      <c r="H295" s="56"/>
      <c r="I295" s="56"/>
      <c r="J295" s="59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</row>
    <row r="296" spans="1:33" ht="61.5" customHeight="1" x14ac:dyDescent="0.25">
      <c r="A296" s="56"/>
      <c r="B296" s="56"/>
      <c r="C296" s="56"/>
      <c r="D296" s="56"/>
      <c r="E296" s="56"/>
      <c r="F296" s="57"/>
      <c r="G296" s="78"/>
      <c r="H296" s="56"/>
      <c r="I296" s="56"/>
      <c r="J296" s="59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</row>
    <row r="297" spans="1:33" ht="61.5" customHeight="1" x14ac:dyDescent="0.25">
      <c r="A297" s="56"/>
      <c r="B297" s="56"/>
      <c r="C297" s="56"/>
      <c r="D297" s="56"/>
      <c r="E297" s="56"/>
      <c r="F297" s="57"/>
      <c r="G297" s="78"/>
      <c r="H297" s="56"/>
      <c r="I297" s="56"/>
      <c r="J297" s="59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</row>
    <row r="298" spans="1:33" ht="61.5" customHeight="1" x14ac:dyDescent="0.25">
      <c r="A298" s="56"/>
      <c r="B298" s="56"/>
      <c r="C298" s="56"/>
      <c r="D298" s="56"/>
      <c r="E298" s="56"/>
      <c r="F298" s="57"/>
      <c r="G298" s="78"/>
      <c r="H298" s="56"/>
      <c r="I298" s="56"/>
      <c r="J298" s="59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</row>
    <row r="299" spans="1:33" ht="61.5" customHeight="1" x14ac:dyDescent="0.25">
      <c r="A299" s="56"/>
      <c r="B299" s="56"/>
      <c r="C299" s="56"/>
      <c r="D299" s="56"/>
      <c r="E299" s="56"/>
      <c r="F299" s="57"/>
      <c r="G299" s="78"/>
      <c r="H299" s="56"/>
      <c r="I299" s="56"/>
      <c r="J299" s="59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</row>
    <row r="300" spans="1:33" ht="61.5" customHeight="1" x14ac:dyDescent="0.25">
      <c r="A300" s="56"/>
      <c r="B300" s="56"/>
      <c r="C300" s="56"/>
      <c r="D300" s="56"/>
      <c r="E300" s="56"/>
      <c r="F300" s="57"/>
      <c r="G300" s="78"/>
      <c r="H300" s="56"/>
      <c r="I300" s="56"/>
      <c r="J300" s="59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</row>
    <row r="301" spans="1:33" ht="61.5" customHeight="1" x14ac:dyDescent="0.25">
      <c r="A301" s="56"/>
      <c r="B301" s="56"/>
      <c r="C301" s="56"/>
      <c r="D301" s="56"/>
      <c r="E301" s="56"/>
      <c r="F301" s="57"/>
      <c r="G301" s="78"/>
      <c r="H301" s="56"/>
      <c r="I301" s="56"/>
      <c r="J301" s="59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</row>
    <row r="302" spans="1:33" ht="61.5" customHeight="1" x14ac:dyDescent="0.25">
      <c r="A302" s="56"/>
      <c r="B302" s="56"/>
      <c r="C302" s="56"/>
      <c r="D302" s="56"/>
      <c r="E302" s="56"/>
      <c r="F302" s="57"/>
      <c r="G302" s="78"/>
      <c r="H302" s="56"/>
      <c r="I302" s="56"/>
      <c r="J302" s="59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</row>
    <row r="303" spans="1:33" ht="61.5" customHeight="1" x14ac:dyDescent="0.25">
      <c r="A303" s="56"/>
      <c r="B303" s="56"/>
      <c r="C303" s="56"/>
      <c r="D303" s="56"/>
      <c r="E303" s="56"/>
      <c r="F303" s="57"/>
      <c r="G303" s="78"/>
      <c r="H303" s="56"/>
      <c r="I303" s="56"/>
      <c r="J303" s="59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</row>
    <row r="304" spans="1:33" ht="61.5" customHeight="1" x14ac:dyDescent="0.25">
      <c r="A304" s="56"/>
      <c r="B304" s="56"/>
      <c r="C304" s="56"/>
      <c r="D304" s="56"/>
      <c r="E304" s="56"/>
      <c r="F304" s="57"/>
      <c r="G304" s="78"/>
      <c r="H304" s="56"/>
      <c r="I304" s="56"/>
      <c r="J304" s="59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</row>
    <row r="305" spans="1:33" ht="61.5" customHeight="1" x14ac:dyDescent="0.25">
      <c r="A305" s="56"/>
      <c r="B305" s="56"/>
      <c r="C305" s="56"/>
      <c r="D305" s="56"/>
      <c r="E305" s="56"/>
      <c r="F305" s="57"/>
      <c r="G305" s="78"/>
      <c r="H305" s="56"/>
      <c r="I305" s="56"/>
      <c r="J305" s="59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</row>
    <row r="306" spans="1:33" ht="61.5" customHeight="1" x14ac:dyDescent="0.25">
      <c r="A306" s="56"/>
      <c r="B306" s="56"/>
      <c r="C306" s="56"/>
      <c r="D306" s="56"/>
      <c r="E306" s="56"/>
      <c r="F306" s="57"/>
      <c r="G306" s="78"/>
      <c r="H306" s="56"/>
      <c r="I306" s="56"/>
      <c r="J306" s="59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</row>
    <row r="307" spans="1:33" ht="61.5" customHeight="1" x14ac:dyDescent="0.25">
      <c r="A307" s="56"/>
      <c r="B307" s="56"/>
      <c r="C307" s="56"/>
      <c r="D307" s="56"/>
      <c r="E307" s="56"/>
      <c r="F307" s="57"/>
      <c r="G307" s="78"/>
      <c r="H307" s="56"/>
      <c r="I307" s="56"/>
      <c r="J307" s="59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</row>
    <row r="308" spans="1:33" ht="61.5" customHeight="1" x14ac:dyDescent="0.25">
      <c r="A308" s="56"/>
      <c r="B308" s="56"/>
      <c r="C308" s="56"/>
      <c r="D308" s="56"/>
      <c r="E308" s="56"/>
      <c r="F308" s="57"/>
      <c r="G308" s="78"/>
      <c r="H308" s="56"/>
      <c r="I308" s="56"/>
      <c r="J308" s="59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</row>
    <row r="309" spans="1:33" ht="61.5" customHeight="1" x14ac:dyDescent="0.25">
      <c r="A309" s="56"/>
      <c r="B309" s="56"/>
      <c r="C309" s="56"/>
      <c r="D309" s="56"/>
      <c r="E309" s="56"/>
      <c r="F309" s="57"/>
      <c r="G309" s="78"/>
      <c r="H309" s="56"/>
      <c r="I309" s="56"/>
      <c r="J309" s="59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</row>
    <row r="310" spans="1:33" ht="61.5" customHeight="1" x14ac:dyDescent="0.25">
      <c r="A310" s="56"/>
      <c r="B310" s="56"/>
      <c r="C310" s="56"/>
      <c r="D310" s="56"/>
      <c r="E310" s="56"/>
      <c r="F310" s="57"/>
      <c r="G310" s="78"/>
      <c r="H310" s="56"/>
      <c r="I310" s="56"/>
      <c r="J310" s="59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</row>
    <row r="311" spans="1:33" ht="61.5" customHeight="1" x14ac:dyDescent="0.25">
      <c r="A311" s="56"/>
      <c r="B311" s="56"/>
      <c r="C311" s="56"/>
      <c r="D311" s="56"/>
      <c r="E311" s="56"/>
      <c r="F311" s="57"/>
      <c r="G311" s="78"/>
      <c r="H311" s="56"/>
      <c r="I311" s="56"/>
      <c r="J311" s="59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</row>
    <row r="312" spans="1:33" ht="61.5" customHeight="1" x14ac:dyDescent="0.25">
      <c r="A312" s="56"/>
      <c r="B312" s="56"/>
      <c r="C312" s="56"/>
      <c r="D312" s="56"/>
      <c r="E312" s="56"/>
      <c r="F312" s="57"/>
      <c r="G312" s="78"/>
      <c r="H312" s="56"/>
      <c r="I312" s="56"/>
      <c r="J312" s="59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</row>
    <row r="313" spans="1:33" ht="61.5" customHeight="1" x14ac:dyDescent="0.25">
      <c r="A313" s="56"/>
      <c r="B313" s="56"/>
      <c r="C313" s="56"/>
      <c r="D313" s="56"/>
      <c r="E313" s="56"/>
      <c r="F313" s="57"/>
      <c r="G313" s="78"/>
      <c r="H313" s="56"/>
      <c r="I313" s="56"/>
      <c r="J313" s="59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</row>
    <row r="314" spans="1:33" ht="61.5" customHeight="1" x14ac:dyDescent="0.25">
      <c r="A314" s="56"/>
      <c r="B314" s="56"/>
      <c r="C314" s="56"/>
      <c r="D314" s="56"/>
      <c r="E314" s="56"/>
      <c r="F314" s="57"/>
      <c r="G314" s="78"/>
      <c r="H314" s="56"/>
      <c r="I314" s="56"/>
      <c r="J314" s="59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</row>
    <row r="315" spans="1:33" ht="61.5" customHeight="1" x14ac:dyDescent="0.25">
      <c r="A315" s="56"/>
      <c r="B315" s="56"/>
      <c r="C315" s="56"/>
      <c r="D315" s="56"/>
      <c r="E315" s="56"/>
      <c r="F315" s="57"/>
      <c r="G315" s="78"/>
      <c r="H315" s="56"/>
      <c r="I315" s="56"/>
      <c r="J315" s="59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</row>
    <row r="316" spans="1:33" ht="61.5" customHeight="1" x14ac:dyDescent="0.25">
      <c r="A316" s="56"/>
      <c r="B316" s="56"/>
      <c r="C316" s="56"/>
      <c r="D316" s="56"/>
      <c r="E316" s="56"/>
      <c r="F316" s="57"/>
      <c r="G316" s="78"/>
      <c r="H316" s="56"/>
      <c r="I316" s="56"/>
      <c r="J316" s="59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</row>
    <row r="317" spans="1:33" ht="61.5" customHeight="1" x14ac:dyDescent="0.25">
      <c r="A317" s="56"/>
      <c r="B317" s="56"/>
      <c r="C317" s="56"/>
      <c r="D317" s="56"/>
      <c r="E317" s="56"/>
      <c r="F317" s="57"/>
      <c r="G317" s="78"/>
      <c r="H317" s="56"/>
      <c r="I317" s="56"/>
      <c r="J317" s="59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</row>
    <row r="318" spans="1:33" ht="61.5" customHeight="1" x14ac:dyDescent="0.25">
      <c r="A318" s="56"/>
      <c r="B318" s="56"/>
      <c r="C318" s="56"/>
      <c r="D318" s="56"/>
      <c r="E318" s="56"/>
      <c r="F318" s="57"/>
      <c r="G318" s="78"/>
      <c r="H318" s="56"/>
      <c r="I318" s="56"/>
      <c r="J318" s="59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</row>
    <row r="319" spans="1:33" ht="61.5" customHeight="1" x14ac:dyDescent="0.25">
      <c r="A319" s="56"/>
      <c r="B319" s="56"/>
      <c r="C319" s="56"/>
      <c r="D319" s="56"/>
      <c r="E319" s="56"/>
      <c r="F319" s="57"/>
      <c r="G319" s="78"/>
      <c r="H319" s="56"/>
      <c r="I319" s="56"/>
      <c r="J319" s="59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</row>
    <row r="320" spans="1:33" ht="61.5" customHeight="1" x14ac:dyDescent="0.25">
      <c r="A320" s="56"/>
      <c r="B320" s="56"/>
      <c r="C320" s="56"/>
      <c r="D320" s="56"/>
      <c r="E320" s="56"/>
      <c r="F320" s="57"/>
      <c r="G320" s="78"/>
      <c r="H320" s="56"/>
      <c r="I320" s="56"/>
      <c r="J320" s="59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</row>
    <row r="321" spans="1:33" ht="61.5" customHeight="1" x14ac:dyDescent="0.25">
      <c r="A321" s="56"/>
      <c r="B321" s="56"/>
      <c r="C321" s="56"/>
      <c r="D321" s="56"/>
      <c r="E321" s="56"/>
      <c r="F321" s="57"/>
      <c r="G321" s="78"/>
      <c r="H321" s="56"/>
      <c r="I321" s="56"/>
      <c r="J321" s="59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</row>
    <row r="322" spans="1:33" ht="61.5" customHeight="1" x14ac:dyDescent="0.25">
      <c r="A322" s="56"/>
      <c r="B322" s="56"/>
      <c r="C322" s="56"/>
      <c r="D322" s="56"/>
      <c r="E322" s="56"/>
      <c r="F322" s="57"/>
      <c r="G322" s="78"/>
      <c r="H322" s="56"/>
      <c r="I322" s="56"/>
      <c r="J322" s="59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</row>
    <row r="323" spans="1:33" ht="61.5" customHeight="1" x14ac:dyDescent="0.25">
      <c r="A323" s="56"/>
      <c r="B323" s="56"/>
      <c r="C323" s="56"/>
      <c r="D323" s="56"/>
      <c r="E323" s="56"/>
      <c r="F323" s="57"/>
      <c r="G323" s="78"/>
      <c r="H323" s="56"/>
      <c r="I323" s="56"/>
      <c r="J323" s="59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</row>
    <row r="324" spans="1:33" ht="61.5" customHeight="1" x14ac:dyDescent="0.25">
      <c r="A324" s="56"/>
      <c r="B324" s="56"/>
      <c r="C324" s="56"/>
      <c r="D324" s="56"/>
      <c r="E324" s="56"/>
      <c r="F324" s="57"/>
      <c r="G324" s="78"/>
      <c r="H324" s="56"/>
      <c r="I324" s="56"/>
      <c r="J324" s="59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</row>
    <row r="325" spans="1:33" ht="61.5" customHeight="1" x14ac:dyDescent="0.25">
      <c r="A325" s="56"/>
      <c r="B325" s="56"/>
      <c r="C325" s="56"/>
      <c r="D325" s="56"/>
      <c r="E325" s="56"/>
      <c r="F325" s="57"/>
      <c r="G325" s="78"/>
      <c r="H325" s="56"/>
      <c r="I325" s="56"/>
      <c r="J325" s="59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</row>
    <row r="326" spans="1:33" ht="61.5" customHeight="1" x14ac:dyDescent="0.25">
      <c r="A326" s="56"/>
      <c r="B326" s="56"/>
      <c r="C326" s="56"/>
      <c r="D326" s="56"/>
      <c r="E326" s="56"/>
      <c r="F326" s="57"/>
      <c r="G326" s="78"/>
      <c r="H326" s="56"/>
      <c r="I326" s="56"/>
      <c r="J326" s="59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</row>
    <row r="327" spans="1:33" ht="61.5" customHeight="1" x14ac:dyDescent="0.25">
      <c r="A327" s="56"/>
      <c r="B327" s="56"/>
      <c r="C327" s="56"/>
      <c r="D327" s="56"/>
      <c r="E327" s="56"/>
      <c r="F327" s="57"/>
      <c r="G327" s="78"/>
      <c r="H327" s="56"/>
      <c r="I327" s="56"/>
      <c r="J327" s="59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</row>
    <row r="328" spans="1:33" ht="61.5" customHeight="1" x14ac:dyDescent="0.25">
      <c r="A328" s="56"/>
      <c r="B328" s="56"/>
      <c r="C328" s="56"/>
      <c r="D328" s="56"/>
      <c r="E328" s="56"/>
      <c r="F328" s="57"/>
      <c r="G328" s="78"/>
      <c r="H328" s="56"/>
      <c r="I328" s="56"/>
      <c r="J328" s="59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</row>
    <row r="329" spans="1:33" ht="61.5" customHeight="1" x14ac:dyDescent="0.25">
      <c r="A329" s="56"/>
      <c r="B329" s="56"/>
      <c r="C329" s="56"/>
      <c r="D329" s="56"/>
      <c r="E329" s="56"/>
      <c r="F329" s="57"/>
      <c r="G329" s="78"/>
      <c r="H329" s="56"/>
      <c r="I329" s="56"/>
      <c r="J329" s="59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</row>
    <row r="330" spans="1:33" ht="61.5" customHeight="1" x14ac:dyDescent="0.25">
      <c r="A330" s="56"/>
      <c r="B330" s="56"/>
      <c r="C330" s="56"/>
      <c r="D330" s="56"/>
      <c r="E330" s="56"/>
      <c r="F330" s="57"/>
      <c r="G330" s="78"/>
      <c r="H330" s="56"/>
      <c r="I330" s="56"/>
      <c r="J330" s="59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</row>
    <row r="331" spans="1:33" ht="61.5" customHeight="1" x14ac:dyDescent="0.25">
      <c r="A331" s="56"/>
      <c r="B331" s="56"/>
      <c r="C331" s="56"/>
      <c r="D331" s="56"/>
      <c r="E331" s="56"/>
      <c r="F331" s="57"/>
      <c r="G331" s="78"/>
      <c r="H331" s="56"/>
      <c r="I331" s="56"/>
      <c r="J331" s="59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</row>
    <row r="332" spans="1:33" ht="61.5" customHeight="1" x14ac:dyDescent="0.25">
      <c r="A332" s="56"/>
      <c r="B332" s="56"/>
      <c r="C332" s="56"/>
      <c r="D332" s="56"/>
      <c r="E332" s="56"/>
      <c r="F332" s="57"/>
      <c r="G332" s="78"/>
      <c r="H332" s="56"/>
      <c r="I332" s="56"/>
      <c r="J332" s="59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</row>
    <row r="333" spans="1:33" ht="61.5" customHeight="1" x14ac:dyDescent="0.25">
      <c r="A333" s="56"/>
      <c r="B333" s="56"/>
      <c r="C333" s="56"/>
      <c r="D333" s="56"/>
      <c r="E333" s="56"/>
      <c r="F333" s="57"/>
      <c r="G333" s="78"/>
      <c r="H333" s="56"/>
      <c r="I333" s="56"/>
      <c r="J333" s="59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</row>
    <row r="334" spans="1:33" ht="61.5" customHeight="1" x14ac:dyDescent="0.25">
      <c r="A334" s="56"/>
      <c r="B334" s="56"/>
      <c r="C334" s="56"/>
      <c r="D334" s="56"/>
      <c r="E334" s="56"/>
      <c r="F334" s="57"/>
      <c r="G334" s="78"/>
      <c r="H334" s="56"/>
      <c r="I334" s="56"/>
      <c r="J334" s="59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</row>
    <row r="335" spans="1:33" ht="61.5" customHeight="1" x14ac:dyDescent="0.25">
      <c r="A335" s="56"/>
      <c r="B335" s="56"/>
      <c r="C335" s="56"/>
      <c r="D335" s="56"/>
      <c r="E335" s="56"/>
      <c r="F335" s="57"/>
      <c r="G335" s="78"/>
      <c r="H335" s="56"/>
      <c r="I335" s="56"/>
      <c r="J335" s="59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</row>
    <row r="336" spans="1:33" ht="61.5" customHeight="1" x14ac:dyDescent="0.25">
      <c r="A336" s="56"/>
      <c r="B336" s="56"/>
      <c r="C336" s="56"/>
      <c r="D336" s="56"/>
      <c r="E336" s="56"/>
      <c r="F336" s="57"/>
      <c r="G336" s="78"/>
      <c r="H336" s="56"/>
      <c r="I336" s="56"/>
      <c r="J336" s="59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</row>
    <row r="337" spans="1:33" ht="61.5" customHeight="1" x14ac:dyDescent="0.25">
      <c r="A337" s="56"/>
      <c r="B337" s="56"/>
      <c r="C337" s="56"/>
      <c r="D337" s="56"/>
      <c r="E337" s="56"/>
      <c r="F337" s="57"/>
      <c r="G337" s="78"/>
      <c r="H337" s="56"/>
      <c r="I337" s="56"/>
      <c r="J337" s="59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</row>
    <row r="338" spans="1:33" ht="61.5" customHeight="1" x14ac:dyDescent="0.25">
      <c r="A338" s="56"/>
      <c r="B338" s="56"/>
      <c r="C338" s="56"/>
      <c r="D338" s="56"/>
      <c r="E338" s="56"/>
      <c r="F338" s="57"/>
      <c r="G338" s="78"/>
      <c r="H338" s="56"/>
      <c r="I338" s="56"/>
      <c r="J338" s="59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</row>
    <row r="339" spans="1:33" ht="61.5" customHeight="1" x14ac:dyDescent="0.25">
      <c r="A339" s="56"/>
      <c r="B339" s="56"/>
      <c r="C339" s="56"/>
      <c r="D339" s="56"/>
      <c r="E339" s="56"/>
      <c r="F339" s="57"/>
      <c r="G339" s="78"/>
      <c r="H339" s="56"/>
      <c r="I339" s="56"/>
      <c r="J339" s="59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</row>
    <row r="340" spans="1:33" ht="61.5" customHeight="1" x14ac:dyDescent="0.25">
      <c r="A340" s="56"/>
      <c r="B340" s="56"/>
      <c r="C340" s="56"/>
      <c r="D340" s="56"/>
      <c r="E340" s="56"/>
      <c r="F340" s="57"/>
      <c r="G340" s="78"/>
      <c r="H340" s="56"/>
      <c r="I340" s="56"/>
      <c r="J340" s="59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</row>
    <row r="341" spans="1:33" ht="61.5" customHeight="1" x14ac:dyDescent="0.25">
      <c r="A341" s="56"/>
      <c r="B341" s="56"/>
      <c r="C341" s="56"/>
      <c r="D341" s="56"/>
      <c r="E341" s="56"/>
      <c r="F341" s="57"/>
      <c r="G341" s="78"/>
      <c r="H341" s="56"/>
      <c r="I341" s="56"/>
      <c r="J341" s="59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</row>
    <row r="342" spans="1:33" ht="61.5" customHeight="1" x14ac:dyDescent="0.25">
      <c r="A342" s="56"/>
      <c r="B342" s="56"/>
      <c r="C342" s="56"/>
      <c r="D342" s="56"/>
      <c r="E342" s="56"/>
      <c r="F342" s="57"/>
      <c r="G342" s="78"/>
      <c r="H342" s="56"/>
      <c r="I342" s="56"/>
      <c r="J342" s="59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</row>
    <row r="343" spans="1:33" ht="61.5" customHeight="1" x14ac:dyDescent="0.25">
      <c r="A343" s="56"/>
      <c r="B343" s="56"/>
      <c r="C343" s="56"/>
      <c r="D343" s="56"/>
      <c r="E343" s="56"/>
      <c r="F343" s="57"/>
      <c r="G343" s="78"/>
      <c r="H343" s="56"/>
      <c r="I343" s="56"/>
      <c r="J343" s="59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</row>
    <row r="344" spans="1:33" ht="61.5" customHeight="1" x14ac:dyDescent="0.25">
      <c r="A344" s="56"/>
      <c r="B344" s="56"/>
      <c r="C344" s="56"/>
      <c r="D344" s="56"/>
      <c r="E344" s="56"/>
      <c r="F344" s="57"/>
      <c r="G344" s="78"/>
      <c r="H344" s="56"/>
      <c r="I344" s="56"/>
      <c r="J344" s="59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</row>
    <row r="345" spans="1:33" ht="61.5" customHeight="1" x14ac:dyDescent="0.25">
      <c r="A345" s="56"/>
      <c r="B345" s="56"/>
      <c r="C345" s="56"/>
      <c r="D345" s="56"/>
      <c r="E345" s="56"/>
      <c r="F345" s="57"/>
      <c r="G345" s="78"/>
      <c r="H345" s="56"/>
      <c r="I345" s="56"/>
      <c r="J345" s="59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</row>
    <row r="346" spans="1:33" ht="61.5" customHeight="1" x14ac:dyDescent="0.25">
      <c r="A346" s="56"/>
      <c r="B346" s="56"/>
      <c r="C346" s="56"/>
      <c r="D346" s="56"/>
      <c r="E346" s="56"/>
      <c r="F346" s="57"/>
      <c r="G346" s="78"/>
      <c r="H346" s="56"/>
      <c r="I346" s="56"/>
      <c r="J346" s="59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</row>
    <row r="347" spans="1:33" ht="61.5" customHeight="1" x14ac:dyDescent="0.25">
      <c r="A347" s="56"/>
      <c r="B347" s="56"/>
      <c r="C347" s="56"/>
      <c r="D347" s="56"/>
      <c r="E347" s="56"/>
      <c r="F347" s="57"/>
      <c r="G347" s="78"/>
      <c r="H347" s="56"/>
      <c r="I347" s="56"/>
      <c r="J347" s="59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</row>
    <row r="348" spans="1:33" ht="61.5" customHeight="1" x14ac:dyDescent="0.25">
      <c r="A348" s="56"/>
      <c r="B348" s="56"/>
      <c r="C348" s="56"/>
      <c r="D348" s="56"/>
      <c r="E348" s="56"/>
      <c r="F348" s="57"/>
      <c r="G348" s="78"/>
      <c r="H348" s="56"/>
      <c r="I348" s="56"/>
      <c r="J348" s="59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</row>
    <row r="349" spans="1:33" ht="61.5" customHeight="1" x14ac:dyDescent="0.25">
      <c r="A349" s="56"/>
      <c r="B349" s="56"/>
      <c r="C349" s="56"/>
      <c r="D349" s="56"/>
      <c r="E349" s="56"/>
      <c r="F349" s="57"/>
      <c r="G349" s="78"/>
      <c r="H349" s="56"/>
      <c r="I349" s="56"/>
      <c r="J349" s="59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</row>
    <row r="350" spans="1:33" ht="61.5" customHeight="1" x14ac:dyDescent="0.25">
      <c r="A350" s="56"/>
      <c r="B350" s="56"/>
      <c r="C350" s="56"/>
      <c r="D350" s="56"/>
      <c r="E350" s="56"/>
      <c r="F350" s="57"/>
      <c r="G350" s="78"/>
      <c r="H350" s="56"/>
      <c r="I350" s="56"/>
      <c r="J350" s="59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</row>
    <row r="351" spans="1:33" ht="61.5" customHeight="1" x14ac:dyDescent="0.25">
      <c r="A351" s="56"/>
      <c r="B351" s="56"/>
      <c r="C351" s="56"/>
      <c r="D351" s="56"/>
      <c r="E351" s="56"/>
      <c r="F351" s="57"/>
      <c r="G351" s="78"/>
      <c r="H351" s="56"/>
      <c r="I351" s="56"/>
      <c r="J351" s="59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</row>
    <row r="352" spans="1:33" ht="61.5" customHeight="1" x14ac:dyDescent="0.25">
      <c r="A352" s="56"/>
      <c r="B352" s="56"/>
      <c r="C352" s="56"/>
      <c r="D352" s="56"/>
      <c r="E352" s="56"/>
      <c r="F352" s="57"/>
      <c r="G352" s="78"/>
      <c r="H352" s="56"/>
      <c r="I352" s="56"/>
      <c r="J352" s="59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</row>
    <row r="353" spans="1:33" ht="61.5" customHeight="1" x14ac:dyDescent="0.25">
      <c r="A353" s="56"/>
      <c r="B353" s="56"/>
      <c r="C353" s="56"/>
      <c r="D353" s="56"/>
      <c r="E353" s="56"/>
      <c r="F353" s="57"/>
      <c r="G353" s="78"/>
      <c r="H353" s="56"/>
      <c r="I353" s="56"/>
      <c r="J353" s="59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</row>
    <row r="354" spans="1:33" ht="61.5" customHeight="1" x14ac:dyDescent="0.25">
      <c r="A354" s="56"/>
      <c r="B354" s="56"/>
      <c r="C354" s="56"/>
      <c r="D354" s="56"/>
      <c r="E354" s="56"/>
      <c r="F354" s="57"/>
      <c r="G354" s="78"/>
      <c r="H354" s="56"/>
      <c r="I354" s="56"/>
      <c r="J354" s="59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</row>
    <row r="355" spans="1:33" ht="61.5" customHeight="1" x14ac:dyDescent="0.25">
      <c r="A355" s="56"/>
      <c r="B355" s="56"/>
      <c r="C355" s="56"/>
      <c r="D355" s="56"/>
      <c r="E355" s="56"/>
      <c r="F355" s="57"/>
      <c r="G355" s="78"/>
      <c r="H355" s="56"/>
      <c r="I355" s="56"/>
      <c r="J355" s="59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</row>
    <row r="356" spans="1:33" ht="61.5" customHeight="1" x14ac:dyDescent="0.25">
      <c r="A356" s="56"/>
      <c r="B356" s="56"/>
      <c r="C356" s="56"/>
      <c r="D356" s="56"/>
      <c r="E356" s="56"/>
      <c r="F356" s="57"/>
      <c r="G356" s="78"/>
      <c r="H356" s="56"/>
      <c r="I356" s="56"/>
      <c r="J356" s="59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</row>
    <row r="357" spans="1:33" ht="61.5" customHeight="1" x14ac:dyDescent="0.25">
      <c r="A357" s="56"/>
      <c r="B357" s="56"/>
      <c r="C357" s="56"/>
      <c r="D357" s="56"/>
      <c r="E357" s="56"/>
      <c r="F357" s="57"/>
      <c r="G357" s="78"/>
      <c r="H357" s="56"/>
      <c r="I357" s="56"/>
      <c r="J357" s="59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</row>
    <row r="358" spans="1:33" ht="61.5" customHeight="1" x14ac:dyDescent="0.25">
      <c r="A358" s="56"/>
      <c r="B358" s="56"/>
      <c r="C358" s="56"/>
      <c r="D358" s="56"/>
      <c r="E358" s="56"/>
      <c r="F358" s="57"/>
      <c r="G358" s="78"/>
      <c r="H358" s="56"/>
      <c r="I358" s="56"/>
      <c r="J358" s="59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</row>
    <row r="359" spans="1:33" ht="61.5" customHeight="1" x14ac:dyDescent="0.25">
      <c r="A359" s="56"/>
      <c r="B359" s="56"/>
      <c r="C359" s="56"/>
      <c r="D359" s="56"/>
      <c r="E359" s="56"/>
      <c r="F359" s="57"/>
      <c r="G359" s="78"/>
      <c r="H359" s="56"/>
      <c r="I359" s="56"/>
      <c r="J359" s="59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</row>
    <row r="360" spans="1:33" ht="61.5" customHeight="1" x14ac:dyDescent="0.25">
      <c r="A360" s="56"/>
      <c r="B360" s="56"/>
      <c r="C360" s="56"/>
      <c r="D360" s="56"/>
      <c r="E360" s="56"/>
      <c r="F360" s="57"/>
      <c r="G360" s="78"/>
      <c r="H360" s="56"/>
      <c r="I360" s="56"/>
      <c r="J360" s="59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</row>
    <row r="361" spans="1:33" ht="61.5" customHeight="1" x14ac:dyDescent="0.25">
      <c r="A361" s="56"/>
      <c r="B361" s="56"/>
      <c r="C361" s="56"/>
      <c r="D361" s="56"/>
      <c r="E361" s="56"/>
      <c r="F361" s="57"/>
      <c r="G361" s="78"/>
      <c r="H361" s="56"/>
      <c r="I361" s="56"/>
      <c r="J361" s="59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</row>
    <row r="362" spans="1:33" ht="61.5" customHeight="1" x14ac:dyDescent="0.25">
      <c r="A362" s="56"/>
      <c r="B362" s="56"/>
      <c r="C362" s="56"/>
      <c r="D362" s="56"/>
      <c r="E362" s="56"/>
      <c r="F362" s="57"/>
      <c r="G362" s="78"/>
      <c r="H362" s="56"/>
      <c r="I362" s="56"/>
      <c r="J362" s="59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</row>
    <row r="363" spans="1:33" ht="61.5" customHeight="1" x14ac:dyDescent="0.25">
      <c r="A363" s="56"/>
      <c r="B363" s="56"/>
      <c r="C363" s="56"/>
      <c r="D363" s="56"/>
      <c r="E363" s="56"/>
      <c r="F363" s="57"/>
      <c r="G363" s="78"/>
      <c r="H363" s="56"/>
      <c r="I363" s="56"/>
      <c r="J363" s="59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</row>
    <row r="364" spans="1:33" ht="61.5" customHeight="1" x14ac:dyDescent="0.25">
      <c r="A364" s="56"/>
      <c r="B364" s="56"/>
      <c r="C364" s="56"/>
      <c r="D364" s="56"/>
      <c r="E364" s="56"/>
      <c r="F364" s="57"/>
      <c r="G364" s="78"/>
      <c r="H364" s="56"/>
      <c r="I364" s="56"/>
      <c r="J364" s="59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</row>
    <row r="365" spans="1:33" ht="61.5" customHeight="1" x14ac:dyDescent="0.25">
      <c r="A365" s="56"/>
      <c r="B365" s="56"/>
      <c r="C365" s="56"/>
      <c r="D365" s="56"/>
      <c r="E365" s="56"/>
      <c r="F365" s="57"/>
      <c r="G365" s="78"/>
      <c r="H365" s="56"/>
      <c r="I365" s="56"/>
      <c r="J365" s="59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</row>
    <row r="366" spans="1:33" ht="61.5" customHeight="1" x14ac:dyDescent="0.25">
      <c r="A366" s="56"/>
      <c r="B366" s="56"/>
      <c r="C366" s="56"/>
      <c r="D366" s="56"/>
      <c r="E366" s="56"/>
      <c r="F366" s="57"/>
      <c r="G366" s="78"/>
      <c r="H366" s="56"/>
      <c r="I366" s="56"/>
      <c r="J366" s="59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</row>
    <row r="367" spans="1:33" ht="61.5" customHeight="1" x14ac:dyDescent="0.25">
      <c r="A367" s="56"/>
      <c r="B367" s="56"/>
      <c r="C367" s="56"/>
      <c r="D367" s="56"/>
      <c r="E367" s="56"/>
      <c r="F367" s="57"/>
      <c r="G367" s="78"/>
      <c r="H367" s="56"/>
      <c r="I367" s="56"/>
      <c r="J367" s="59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</row>
    <row r="368" spans="1:33" ht="61.5" customHeight="1" x14ac:dyDescent="0.25">
      <c r="A368" s="56"/>
      <c r="B368" s="56"/>
      <c r="C368" s="56"/>
      <c r="D368" s="56"/>
      <c r="E368" s="56"/>
      <c r="F368" s="57"/>
      <c r="G368" s="78"/>
      <c r="H368" s="56"/>
      <c r="I368" s="56"/>
      <c r="J368" s="59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</row>
    <row r="369" spans="1:33" ht="61.5" customHeight="1" x14ac:dyDescent="0.25">
      <c r="A369" s="56"/>
      <c r="B369" s="56"/>
      <c r="C369" s="56"/>
      <c r="D369" s="56"/>
      <c r="E369" s="56"/>
      <c r="F369" s="57"/>
      <c r="G369" s="78"/>
      <c r="H369" s="56"/>
      <c r="I369" s="56"/>
      <c r="J369" s="59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</row>
    <row r="370" spans="1:33" ht="61.5" customHeight="1" x14ac:dyDescent="0.25">
      <c r="A370" s="56"/>
      <c r="B370" s="56"/>
      <c r="C370" s="56"/>
      <c r="D370" s="56"/>
      <c r="E370" s="56"/>
      <c r="F370" s="57"/>
      <c r="G370" s="78"/>
      <c r="H370" s="56"/>
      <c r="I370" s="56"/>
      <c r="J370" s="59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</row>
    <row r="371" spans="1:33" ht="61.5" customHeight="1" x14ac:dyDescent="0.25">
      <c r="A371" s="56"/>
      <c r="B371" s="56"/>
      <c r="C371" s="56"/>
      <c r="D371" s="56"/>
      <c r="E371" s="56"/>
      <c r="F371" s="57"/>
      <c r="G371" s="78"/>
      <c r="H371" s="56"/>
      <c r="I371" s="56"/>
      <c r="J371" s="59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</row>
    <row r="372" spans="1:33" ht="61.5" customHeight="1" x14ac:dyDescent="0.25">
      <c r="A372" s="56"/>
      <c r="B372" s="56"/>
      <c r="C372" s="56"/>
      <c r="D372" s="56"/>
      <c r="E372" s="56"/>
      <c r="F372" s="57"/>
      <c r="G372" s="78"/>
      <c r="H372" s="56"/>
      <c r="I372" s="56"/>
      <c r="J372" s="59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</row>
    <row r="373" spans="1:33" ht="61.5" customHeight="1" x14ac:dyDescent="0.25">
      <c r="A373" s="56"/>
      <c r="B373" s="56"/>
      <c r="C373" s="56"/>
      <c r="D373" s="56"/>
      <c r="E373" s="56"/>
      <c r="F373" s="57"/>
      <c r="G373" s="78"/>
      <c r="H373" s="56"/>
      <c r="I373" s="56"/>
      <c r="J373" s="59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</row>
    <row r="374" spans="1:33" ht="61.5" customHeight="1" x14ac:dyDescent="0.25">
      <c r="A374" s="56"/>
      <c r="B374" s="56"/>
      <c r="C374" s="56"/>
      <c r="D374" s="56"/>
      <c r="E374" s="56"/>
      <c r="F374" s="57"/>
      <c r="G374" s="78"/>
      <c r="H374" s="56"/>
      <c r="I374" s="56"/>
      <c r="J374" s="59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</row>
    <row r="375" spans="1:33" ht="61.5" customHeight="1" x14ac:dyDescent="0.25">
      <c r="A375" s="56"/>
      <c r="B375" s="56"/>
      <c r="C375" s="56"/>
      <c r="D375" s="56"/>
      <c r="E375" s="56"/>
      <c r="F375" s="57"/>
      <c r="G375" s="78"/>
      <c r="H375" s="56"/>
      <c r="I375" s="56"/>
      <c r="J375" s="59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</row>
    <row r="376" spans="1:33" ht="61.5" customHeight="1" x14ac:dyDescent="0.25">
      <c r="A376" s="56"/>
      <c r="B376" s="56"/>
      <c r="C376" s="56"/>
      <c r="D376" s="56"/>
      <c r="E376" s="56"/>
      <c r="F376" s="57"/>
      <c r="G376" s="78"/>
      <c r="H376" s="56"/>
      <c r="I376" s="56"/>
      <c r="J376" s="59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</row>
    <row r="377" spans="1:33" ht="61.5" customHeight="1" x14ac:dyDescent="0.25">
      <c r="A377" s="56"/>
      <c r="B377" s="56"/>
      <c r="C377" s="56"/>
      <c r="D377" s="56"/>
      <c r="E377" s="56"/>
      <c r="F377" s="57"/>
      <c r="G377" s="78"/>
      <c r="H377" s="56"/>
      <c r="I377" s="56"/>
      <c r="J377" s="59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</row>
    <row r="378" spans="1:33" ht="61.5" customHeight="1" x14ac:dyDescent="0.25">
      <c r="A378" s="56"/>
      <c r="B378" s="56"/>
      <c r="C378" s="56"/>
      <c r="D378" s="56"/>
      <c r="E378" s="56"/>
      <c r="F378" s="57"/>
      <c r="G378" s="78"/>
      <c r="H378" s="56"/>
      <c r="I378" s="56"/>
      <c r="J378" s="59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</row>
    <row r="379" spans="1:33" ht="61.5" customHeight="1" x14ac:dyDescent="0.25">
      <c r="A379" s="56"/>
      <c r="B379" s="56"/>
      <c r="C379" s="56"/>
      <c r="D379" s="56"/>
      <c r="E379" s="56"/>
      <c r="F379" s="57"/>
      <c r="G379" s="78"/>
      <c r="H379" s="56"/>
      <c r="I379" s="56"/>
      <c r="J379" s="59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</row>
    <row r="380" spans="1:33" ht="61.5" customHeight="1" x14ac:dyDescent="0.25">
      <c r="A380" s="56"/>
      <c r="B380" s="56"/>
      <c r="C380" s="56"/>
      <c r="D380" s="56"/>
      <c r="E380" s="56"/>
      <c r="F380" s="57"/>
      <c r="G380" s="78"/>
      <c r="H380" s="56"/>
      <c r="I380" s="56"/>
      <c r="J380" s="59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</row>
    <row r="381" spans="1:33" ht="61.5" customHeight="1" x14ac:dyDescent="0.25">
      <c r="A381" s="56"/>
      <c r="B381" s="56"/>
      <c r="C381" s="56"/>
      <c r="D381" s="56"/>
      <c r="E381" s="56"/>
      <c r="F381" s="57"/>
      <c r="G381" s="78"/>
      <c r="H381" s="56"/>
      <c r="I381" s="56"/>
      <c r="J381" s="59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</row>
    <row r="382" spans="1:33" ht="61.5" customHeight="1" x14ac:dyDescent="0.25">
      <c r="A382" s="56"/>
      <c r="B382" s="56"/>
      <c r="C382" s="56"/>
      <c r="D382" s="56"/>
      <c r="E382" s="56"/>
      <c r="F382" s="57"/>
      <c r="G382" s="78"/>
      <c r="H382" s="56"/>
      <c r="I382" s="56"/>
      <c r="J382" s="59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</row>
    <row r="383" spans="1:33" ht="61.5" customHeight="1" x14ac:dyDescent="0.25">
      <c r="A383" s="56"/>
      <c r="B383" s="56"/>
      <c r="C383" s="56"/>
      <c r="D383" s="56"/>
      <c r="E383" s="56"/>
      <c r="F383" s="57"/>
      <c r="G383" s="78"/>
      <c r="H383" s="56"/>
      <c r="I383" s="56"/>
      <c r="J383" s="59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</row>
    <row r="384" spans="1:33" ht="61.5" customHeight="1" x14ac:dyDescent="0.25">
      <c r="A384" s="56"/>
      <c r="B384" s="56"/>
      <c r="C384" s="56"/>
      <c r="D384" s="56"/>
      <c r="E384" s="56"/>
      <c r="F384" s="57"/>
      <c r="G384" s="78"/>
      <c r="H384" s="56"/>
      <c r="I384" s="56"/>
      <c r="J384" s="59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</row>
    <row r="385" spans="1:33" ht="61.5" customHeight="1" x14ac:dyDescent="0.25">
      <c r="A385" s="56"/>
      <c r="B385" s="56"/>
      <c r="C385" s="56"/>
      <c r="D385" s="56"/>
      <c r="E385" s="56"/>
      <c r="F385" s="57"/>
      <c r="G385" s="78"/>
      <c r="H385" s="56"/>
      <c r="I385" s="56"/>
      <c r="J385" s="59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</row>
    <row r="386" spans="1:33" ht="61.5" customHeight="1" x14ac:dyDescent="0.25">
      <c r="A386" s="56"/>
      <c r="B386" s="56"/>
      <c r="C386" s="56"/>
      <c r="D386" s="56"/>
      <c r="E386" s="56"/>
      <c r="F386" s="57"/>
      <c r="G386" s="78"/>
      <c r="H386" s="56"/>
      <c r="I386" s="56"/>
      <c r="J386" s="59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</row>
    <row r="387" spans="1:33" ht="61.5" customHeight="1" x14ac:dyDescent="0.25">
      <c r="A387" s="56"/>
      <c r="B387" s="56"/>
      <c r="C387" s="56"/>
      <c r="D387" s="56"/>
      <c r="E387" s="56"/>
      <c r="F387" s="57"/>
      <c r="G387" s="78"/>
      <c r="H387" s="56"/>
      <c r="I387" s="56"/>
      <c r="J387" s="59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</row>
    <row r="388" spans="1:33" ht="61.5" customHeight="1" x14ac:dyDescent="0.25">
      <c r="A388" s="56"/>
      <c r="B388" s="56"/>
      <c r="C388" s="56"/>
      <c r="D388" s="56"/>
      <c r="E388" s="56"/>
      <c r="F388" s="57"/>
      <c r="G388" s="78"/>
      <c r="H388" s="56"/>
      <c r="I388" s="56"/>
      <c r="J388" s="59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</row>
    <row r="389" spans="1:33" ht="61.5" customHeight="1" x14ac:dyDescent="0.25">
      <c r="A389" s="56"/>
      <c r="B389" s="56"/>
      <c r="C389" s="56"/>
      <c r="D389" s="56"/>
      <c r="E389" s="56"/>
      <c r="F389" s="57"/>
      <c r="G389" s="78"/>
      <c r="H389" s="56"/>
      <c r="I389" s="56"/>
      <c r="J389" s="59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</row>
    <row r="390" spans="1:33" ht="61.5" customHeight="1" x14ac:dyDescent="0.25">
      <c r="A390" s="56"/>
      <c r="B390" s="56"/>
      <c r="C390" s="56"/>
      <c r="D390" s="56"/>
      <c r="E390" s="56"/>
      <c r="F390" s="57"/>
      <c r="G390" s="78"/>
      <c r="H390" s="56"/>
      <c r="I390" s="56"/>
      <c r="J390" s="59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</row>
    <row r="391" spans="1:33" ht="61.5" customHeight="1" x14ac:dyDescent="0.25">
      <c r="A391" s="56"/>
      <c r="B391" s="56"/>
      <c r="C391" s="56"/>
      <c r="D391" s="56"/>
      <c r="E391" s="56"/>
      <c r="F391" s="57"/>
      <c r="G391" s="78"/>
      <c r="H391" s="56"/>
      <c r="I391" s="56"/>
      <c r="J391" s="59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</row>
    <row r="392" spans="1:33" ht="61.5" customHeight="1" x14ac:dyDescent="0.25">
      <c r="A392" s="56"/>
      <c r="B392" s="56"/>
      <c r="C392" s="56"/>
      <c r="D392" s="56"/>
      <c r="E392" s="56"/>
      <c r="F392" s="57"/>
      <c r="G392" s="78"/>
      <c r="H392" s="56"/>
      <c r="I392" s="56"/>
      <c r="J392" s="59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</row>
    <row r="393" spans="1:33" ht="61.5" customHeight="1" x14ac:dyDescent="0.25">
      <c r="A393" s="56"/>
      <c r="B393" s="56"/>
      <c r="C393" s="56"/>
      <c r="D393" s="56"/>
      <c r="E393" s="56"/>
      <c r="F393" s="57"/>
      <c r="G393" s="78"/>
      <c r="H393" s="56"/>
      <c r="I393" s="56"/>
      <c r="J393" s="59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</row>
    <row r="394" spans="1:33" ht="61.5" customHeight="1" x14ac:dyDescent="0.25">
      <c r="A394" s="56"/>
      <c r="B394" s="56"/>
      <c r="C394" s="56"/>
      <c r="D394" s="56"/>
      <c r="E394" s="56"/>
      <c r="F394" s="57"/>
      <c r="G394" s="78"/>
      <c r="H394" s="56"/>
      <c r="I394" s="56"/>
      <c r="J394" s="59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</row>
    <row r="395" spans="1:33" ht="61.5" customHeight="1" x14ac:dyDescent="0.25">
      <c r="A395" s="56"/>
      <c r="B395" s="56"/>
      <c r="C395" s="56"/>
      <c r="D395" s="56"/>
      <c r="E395" s="56"/>
      <c r="F395" s="57"/>
      <c r="G395" s="78"/>
      <c r="H395" s="56"/>
      <c r="I395" s="56"/>
      <c r="J395" s="59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</row>
    <row r="396" spans="1:33" ht="61.5" customHeight="1" x14ac:dyDescent="0.25">
      <c r="A396" s="56"/>
      <c r="B396" s="56"/>
      <c r="C396" s="56"/>
      <c r="D396" s="56"/>
      <c r="E396" s="56"/>
      <c r="F396" s="57"/>
      <c r="G396" s="78"/>
      <c r="H396" s="56"/>
      <c r="I396" s="56"/>
      <c r="J396" s="59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</row>
    <row r="397" spans="1:33" ht="61.5" customHeight="1" x14ac:dyDescent="0.25">
      <c r="A397" s="56"/>
      <c r="B397" s="56"/>
      <c r="C397" s="56"/>
      <c r="D397" s="56"/>
      <c r="E397" s="56"/>
      <c r="F397" s="57"/>
      <c r="G397" s="78"/>
      <c r="H397" s="56"/>
      <c r="I397" s="56"/>
      <c r="J397" s="59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</row>
    <row r="398" spans="1:33" ht="61.5" customHeight="1" x14ac:dyDescent="0.25">
      <c r="A398" s="56"/>
      <c r="B398" s="56"/>
      <c r="C398" s="56"/>
      <c r="D398" s="56"/>
      <c r="E398" s="56"/>
      <c r="F398" s="57"/>
      <c r="G398" s="78"/>
      <c r="H398" s="56"/>
      <c r="I398" s="56"/>
      <c r="J398" s="59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</row>
    <row r="399" spans="1:33" ht="61.5" customHeight="1" x14ac:dyDescent="0.25">
      <c r="A399" s="56"/>
      <c r="B399" s="56"/>
      <c r="C399" s="56"/>
      <c r="D399" s="56"/>
      <c r="E399" s="56"/>
      <c r="F399" s="57"/>
      <c r="G399" s="78"/>
      <c r="H399" s="56"/>
      <c r="I399" s="56"/>
      <c r="J399" s="59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</row>
    <row r="400" spans="1:33" ht="61.5" customHeight="1" x14ac:dyDescent="0.25">
      <c r="A400" s="56"/>
      <c r="B400" s="56"/>
      <c r="C400" s="56"/>
      <c r="D400" s="56"/>
      <c r="E400" s="56"/>
      <c r="F400" s="57"/>
      <c r="G400" s="78"/>
      <c r="H400" s="56"/>
      <c r="I400" s="56"/>
      <c r="J400" s="59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</row>
    <row r="401" spans="1:33" ht="61.5" customHeight="1" x14ac:dyDescent="0.25">
      <c r="A401" s="56"/>
      <c r="B401" s="56"/>
      <c r="C401" s="56"/>
      <c r="D401" s="56"/>
      <c r="E401" s="56"/>
      <c r="F401" s="57"/>
      <c r="G401" s="78"/>
      <c r="H401" s="56"/>
      <c r="I401" s="56"/>
      <c r="J401" s="59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</row>
    <row r="402" spans="1:33" ht="61.5" customHeight="1" x14ac:dyDescent="0.25">
      <c r="A402" s="56"/>
      <c r="B402" s="56"/>
      <c r="C402" s="56"/>
      <c r="D402" s="56"/>
      <c r="E402" s="56"/>
      <c r="F402" s="57"/>
      <c r="G402" s="78"/>
      <c r="H402" s="56"/>
      <c r="I402" s="56"/>
      <c r="J402" s="59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</row>
    <row r="403" spans="1:33" ht="61.5" customHeight="1" x14ac:dyDescent="0.25">
      <c r="A403" s="56"/>
      <c r="B403" s="56"/>
      <c r="C403" s="56"/>
      <c r="D403" s="56"/>
      <c r="E403" s="56"/>
      <c r="F403" s="57"/>
      <c r="G403" s="78"/>
      <c r="H403" s="56"/>
      <c r="I403" s="56"/>
      <c r="J403" s="59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</row>
    <row r="404" spans="1:33" ht="61.5" customHeight="1" x14ac:dyDescent="0.25">
      <c r="A404" s="56"/>
      <c r="B404" s="56"/>
      <c r="C404" s="56"/>
      <c r="D404" s="56"/>
      <c r="E404" s="56"/>
      <c r="F404" s="57"/>
      <c r="G404" s="78"/>
      <c r="H404" s="56"/>
      <c r="I404" s="56"/>
      <c r="J404" s="59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</row>
    <row r="405" spans="1:33" ht="61.5" customHeight="1" x14ac:dyDescent="0.25">
      <c r="A405" s="56"/>
      <c r="B405" s="56"/>
      <c r="C405" s="56"/>
      <c r="D405" s="56"/>
      <c r="E405" s="56"/>
      <c r="F405" s="57"/>
      <c r="G405" s="78"/>
      <c r="H405" s="56"/>
      <c r="I405" s="56"/>
      <c r="J405" s="59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</row>
    <row r="406" spans="1:33" ht="61.5" customHeight="1" x14ac:dyDescent="0.25">
      <c r="A406" s="56"/>
      <c r="B406" s="56"/>
      <c r="C406" s="56"/>
      <c r="D406" s="56"/>
      <c r="E406" s="56"/>
      <c r="F406" s="57"/>
      <c r="G406" s="78"/>
      <c r="H406" s="56"/>
      <c r="I406" s="56"/>
      <c r="J406" s="59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</row>
    <row r="407" spans="1:33" ht="61.5" customHeight="1" x14ac:dyDescent="0.25">
      <c r="A407" s="56"/>
      <c r="B407" s="56"/>
      <c r="C407" s="56"/>
      <c r="D407" s="56"/>
      <c r="E407" s="56"/>
      <c r="F407" s="57"/>
      <c r="G407" s="78"/>
      <c r="H407" s="56"/>
      <c r="I407" s="56"/>
      <c r="J407" s="59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</row>
    <row r="408" spans="1:33" ht="61.5" customHeight="1" x14ac:dyDescent="0.25">
      <c r="A408" s="56"/>
      <c r="B408" s="56"/>
      <c r="C408" s="56"/>
      <c r="D408" s="56"/>
      <c r="E408" s="56"/>
      <c r="F408" s="57"/>
      <c r="G408" s="78"/>
      <c r="H408" s="56"/>
      <c r="I408" s="56"/>
      <c r="J408" s="59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</row>
    <row r="409" spans="1:33" ht="61.5" customHeight="1" x14ac:dyDescent="0.25">
      <c r="A409" s="56"/>
      <c r="B409" s="56"/>
      <c r="C409" s="56"/>
      <c r="D409" s="56"/>
      <c r="E409" s="56"/>
      <c r="F409" s="57"/>
      <c r="G409" s="78"/>
      <c r="H409" s="56"/>
      <c r="I409" s="56"/>
      <c r="J409" s="59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</row>
    <row r="410" spans="1:33" ht="61.5" customHeight="1" x14ac:dyDescent="0.25">
      <c r="A410" s="56"/>
      <c r="B410" s="56"/>
      <c r="C410" s="56"/>
      <c r="D410" s="56"/>
      <c r="E410" s="56"/>
      <c r="F410" s="57"/>
      <c r="G410" s="78"/>
      <c r="H410" s="56"/>
      <c r="I410" s="56"/>
      <c r="J410" s="59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</row>
    <row r="411" spans="1:33" ht="61.5" customHeight="1" x14ac:dyDescent="0.25">
      <c r="A411" s="56"/>
      <c r="B411" s="56"/>
      <c r="C411" s="56"/>
      <c r="D411" s="56"/>
      <c r="E411" s="56"/>
      <c r="F411" s="57"/>
      <c r="G411" s="78"/>
      <c r="H411" s="56"/>
      <c r="I411" s="56"/>
      <c r="J411" s="59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</row>
    <row r="412" spans="1:33" ht="61.5" customHeight="1" x14ac:dyDescent="0.25">
      <c r="A412" s="56"/>
      <c r="B412" s="56"/>
      <c r="C412" s="56"/>
      <c r="D412" s="56"/>
      <c r="E412" s="56"/>
      <c r="F412" s="57"/>
      <c r="G412" s="78"/>
      <c r="H412" s="56"/>
      <c r="I412" s="56"/>
      <c r="J412" s="59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</row>
    <row r="413" spans="1:33" ht="61.5" customHeight="1" x14ac:dyDescent="0.25">
      <c r="A413" s="56"/>
      <c r="B413" s="56"/>
      <c r="C413" s="56"/>
      <c r="D413" s="56"/>
      <c r="E413" s="56"/>
      <c r="F413" s="57"/>
      <c r="G413" s="78"/>
      <c r="H413" s="56"/>
      <c r="I413" s="56"/>
      <c r="J413" s="59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</row>
    <row r="414" spans="1:33" ht="61.5" customHeight="1" x14ac:dyDescent="0.25">
      <c r="A414" s="56"/>
      <c r="B414" s="56"/>
      <c r="C414" s="56"/>
      <c r="D414" s="56"/>
      <c r="E414" s="56"/>
      <c r="F414" s="57"/>
      <c r="G414" s="78"/>
      <c r="H414" s="56"/>
      <c r="I414" s="56"/>
      <c r="J414" s="59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</row>
    <row r="415" spans="1:33" ht="61.5" customHeight="1" x14ac:dyDescent="0.25">
      <c r="A415" s="56"/>
      <c r="B415" s="56"/>
      <c r="C415" s="56"/>
      <c r="D415" s="56"/>
      <c r="E415" s="56"/>
      <c r="F415" s="57"/>
      <c r="G415" s="78"/>
      <c r="H415" s="56"/>
      <c r="I415" s="56"/>
      <c r="J415" s="59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</row>
    <row r="416" spans="1:33" ht="61.5" customHeight="1" x14ac:dyDescent="0.25">
      <c r="A416" s="56"/>
      <c r="B416" s="56"/>
      <c r="C416" s="56"/>
      <c r="D416" s="56"/>
      <c r="E416" s="56"/>
      <c r="F416" s="57"/>
      <c r="G416" s="78"/>
      <c r="H416" s="56"/>
      <c r="I416" s="56"/>
      <c r="J416" s="59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</row>
    <row r="417" spans="1:33" ht="61.5" customHeight="1" x14ac:dyDescent="0.25">
      <c r="A417" s="56"/>
      <c r="B417" s="56"/>
      <c r="C417" s="56"/>
      <c r="D417" s="56"/>
      <c r="E417" s="56"/>
      <c r="F417" s="57"/>
      <c r="G417" s="78"/>
      <c r="H417" s="56"/>
      <c r="I417" s="56"/>
      <c r="J417" s="59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</row>
    <row r="418" spans="1:33" ht="61.5" customHeight="1" x14ac:dyDescent="0.25">
      <c r="A418" s="56"/>
      <c r="B418" s="56"/>
      <c r="C418" s="56"/>
      <c r="D418" s="56"/>
      <c r="E418" s="56"/>
      <c r="F418" s="57"/>
      <c r="G418" s="78"/>
      <c r="H418" s="56"/>
      <c r="I418" s="56"/>
      <c r="J418" s="59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</row>
    <row r="419" spans="1:33" ht="61.5" customHeight="1" x14ac:dyDescent="0.25">
      <c r="A419" s="56"/>
      <c r="B419" s="56"/>
      <c r="C419" s="56"/>
      <c r="D419" s="56"/>
      <c r="E419" s="56"/>
      <c r="F419" s="57"/>
      <c r="G419" s="78"/>
      <c r="H419" s="56"/>
      <c r="I419" s="56"/>
      <c r="J419" s="59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</row>
    <row r="420" spans="1:33" ht="61.5" customHeight="1" x14ac:dyDescent="0.25">
      <c r="A420" s="56"/>
      <c r="B420" s="56"/>
      <c r="C420" s="56"/>
      <c r="D420" s="56"/>
      <c r="E420" s="56"/>
      <c r="F420" s="57"/>
      <c r="G420" s="78"/>
      <c r="H420" s="56"/>
      <c r="I420" s="56"/>
      <c r="J420" s="59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</row>
    <row r="421" spans="1:33" ht="61.5" customHeight="1" x14ac:dyDescent="0.25">
      <c r="A421" s="56"/>
      <c r="B421" s="56"/>
      <c r="C421" s="56"/>
      <c r="D421" s="56"/>
      <c r="E421" s="56"/>
      <c r="F421" s="57"/>
      <c r="G421" s="78"/>
      <c r="H421" s="56"/>
      <c r="I421" s="56"/>
      <c r="J421" s="59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</row>
    <row r="422" spans="1:33" ht="61.5" customHeight="1" x14ac:dyDescent="0.25">
      <c r="A422" s="56"/>
      <c r="B422" s="56"/>
      <c r="C422" s="56"/>
      <c r="D422" s="56"/>
      <c r="E422" s="56"/>
      <c r="F422" s="57"/>
      <c r="G422" s="78"/>
      <c r="H422" s="56"/>
      <c r="I422" s="56"/>
      <c r="J422" s="59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</row>
    <row r="423" spans="1:33" ht="61.5" customHeight="1" x14ac:dyDescent="0.25">
      <c r="A423" s="56"/>
      <c r="B423" s="56"/>
      <c r="C423" s="56"/>
      <c r="D423" s="56"/>
      <c r="E423" s="56"/>
      <c r="F423" s="57"/>
      <c r="G423" s="78"/>
      <c r="H423" s="56"/>
      <c r="I423" s="56"/>
      <c r="J423" s="59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</row>
    <row r="424" spans="1:33" ht="61.5" customHeight="1" x14ac:dyDescent="0.25">
      <c r="A424" s="56"/>
      <c r="B424" s="56"/>
      <c r="C424" s="56"/>
      <c r="D424" s="56"/>
      <c r="E424" s="56"/>
      <c r="F424" s="57"/>
      <c r="G424" s="78"/>
      <c r="H424" s="56"/>
      <c r="I424" s="56"/>
      <c r="J424" s="59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</row>
    <row r="425" spans="1:33" ht="61.5" customHeight="1" x14ac:dyDescent="0.25">
      <c r="A425" s="56"/>
      <c r="B425" s="56"/>
      <c r="C425" s="56"/>
      <c r="D425" s="56"/>
      <c r="E425" s="56"/>
      <c r="F425" s="57"/>
      <c r="G425" s="78"/>
      <c r="H425" s="56"/>
      <c r="I425" s="56"/>
      <c r="J425" s="59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</row>
    <row r="426" spans="1:33" ht="61.5" customHeight="1" x14ac:dyDescent="0.25">
      <c r="A426" s="56"/>
      <c r="B426" s="56"/>
      <c r="C426" s="56"/>
      <c r="D426" s="56"/>
      <c r="E426" s="56"/>
      <c r="F426" s="57"/>
      <c r="G426" s="78"/>
      <c r="H426" s="56"/>
      <c r="I426" s="56"/>
      <c r="J426" s="59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</row>
    <row r="427" spans="1:33" ht="61.5" customHeight="1" x14ac:dyDescent="0.25">
      <c r="A427" s="56"/>
      <c r="B427" s="56"/>
      <c r="C427" s="56"/>
      <c r="D427" s="56"/>
      <c r="E427" s="56"/>
      <c r="F427" s="57"/>
      <c r="G427" s="78"/>
      <c r="H427" s="56"/>
      <c r="I427" s="56"/>
      <c r="J427" s="59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</row>
    <row r="428" spans="1:33" ht="61.5" customHeight="1" x14ac:dyDescent="0.25">
      <c r="A428" s="56"/>
      <c r="B428" s="56"/>
      <c r="C428" s="56"/>
      <c r="D428" s="56"/>
      <c r="E428" s="56"/>
      <c r="F428" s="57"/>
      <c r="G428" s="78"/>
      <c r="H428" s="56"/>
      <c r="I428" s="56"/>
      <c r="J428" s="59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</row>
    <row r="429" spans="1:33" ht="61.5" customHeight="1" x14ac:dyDescent="0.25">
      <c r="A429" s="56"/>
      <c r="B429" s="56"/>
      <c r="C429" s="56"/>
      <c r="D429" s="56"/>
      <c r="E429" s="56"/>
      <c r="F429" s="57"/>
      <c r="G429" s="78"/>
      <c r="H429" s="56"/>
      <c r="I429" s="56"/>
      <c r="J429" s="59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</row>
    <row r="430" spans="1:33" ht="61.5" customHeight="1" x14ac:dyDescent="0.25">
      <c r="A430" s="56"/>
      <c r="B430" s="56"/>
      <c r="C430" s="56"/>
      <c r="D430" s="56"/>
      <c r="E430" s="56"/>
      <c r="F430" s="57"/>
      <c r="G430" s="78"/>
      <c r="H430" s="56"/>
      <c r="I430" s="56"/>
      <c r="J430" s="59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</row>
    <row r="431" spans="1:33" ht="61.5" customHeight="1" x14ac:dyDescent="0.25">
      <c r="A431" s="56"/>
      <c r="B431" s="56"/>
      <c r="C431" s="56"/>
      <c r="D431" s="56"/>
      <c r="E431" s="56"/>
      <c r="F431" s="57"/>
      <c r="G431" s="78"/>
      <c r="H431" s="56"/>
      <c r="I431" s="56"/>
      <c r="J431" s="59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</row>
    <row r="432" spans="1:33" ht="61.5" customHeight="1" x14ac:dyDescent="0.25">
      <c r="A432" s="56"/>
      <c r="B432" s="56"/>
      <c r="C432" s="56"/>
      <c r="D432" s="56"/>
      <c r="E432" s="56"/>
      <c r="F432" s="57"/>
      <c r="G432" s="78"/>
      <c r="H432" s="56"/>
      <c r="I432" s="56"/>
      <c r="J432" s="59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</row>
    <row r="433" spans="1:33" ht="61.5" customHeight="1" x14ac:dyDescent="0.25">
      <c r="A433" s="56"/>
      <c r="B433" s="56"/>
      <c r="C433" s="56"/>
      <c r="D433" s="56"/>
      <c r="E433" s="56"/>
      <c r="F433" s="57"/>
      <c r="G433" s="78"/>
      <c r="H433" s="56"/>
      <c r="I433" s="56"/>
      <c r="J433" s="59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</row>
    <row r="434" spans="1:33" ht="61.5" customHeight="1" x14ac:dyDescent="0.25">
      <c r="A434" s="56"/>
      <c r="B434" s="56"/>
      <c r="C434" s="56"/>
      <c r="D434" s="56"/>
      <c r="E434" s="56"/>
      <c r="F434" s="57"/>
      <c r="G434" s="78"/>
      <c r="H434" s="56"/>
      <c r="I434" s="56"/>
      <c r="J434" s="59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</row>
    <row r="435" spans="1:33" ht="61.5" customHeight="1" x14ac:dyDescent="0.25">
      <c r="A435" s="56"/>
      <c r="B435" s="56"/>
      <c r="C435" s="56"/>
      <c r="D435" s="56"/>
      <c r="E435" s="56"/>
      <c r="F435" s="57"/>
      <c r="G435" s="78"/>
      <c r="H435" s="56"/>
      <c r="I435" s="56"/>
      <c r="J435" s="59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</row>
    <row r="436" spans="1:33" ht="61.5" customHeight="1" x14ac:dyDescent="0.25">
      <c r="A436" s="56"/>
      <c r="B436" s="56"/>
      <c r="C436" s="56"/>
      <c r="D436" s="56"/>
      <c r="E436" s="56"/>
      <c r="F436" s="57"/>
      <c r="G436" s="78"/>
      <c r="H436" s="56"/>
      <c r="I436" s="56"/>
      <c r="J436" s="59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</row>
    <row r="437" spans="1:33" ht="61.5" customHeight="1" x14ac:dyDescent="0.25">
      <c r="A437" s="56"/>
      <c r="B437" s="56"/>
      <c r="C437" s="56"/>
      <c r="D437" s="56"/>
      <c r="E437" s="56"/>
      <c r="F437" s="57"/>
      <c r="G437" s="78"/>
      <c r="H437" s="56"/>
      <c r="I437" s="56"/>
      <c r="J437" s="59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</row>
    <row r="438" spans="1:33" ht="61.5" customHeight="1" x14ac:dyDescent="0.25">
      <c r="A438" s="56"/>
      <c r="B438" s="56"/>
      <c r="C438" s="56"/>
      <c r="D438" s="56"/>
      <c r="E438" s="56"/>
      <c r="F438" s="57"/>
      <c r="G438" s="78"/>
      <c r="H438" s="56"/>
      <c r="I438" s="56"/>
      <c r="J438" s="59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</row>
    <row r="439" spans="1:33" ht="61.5" customHeight="1" x14ac:dyDescent="0.25">
      <c r="A439" s="56"/>
      <c r="B439" s="56"/>
      <c r="C439" s="56"/>
      <c r="D439" s="56"/>
      <c r="E439" s="56"/>
      <c r="F439" s="57"/>
      <c r="G439" s="78"/>
      <c r="H439" s="56"/>
      <c r="I439" s="56"/>
      <c r="J439" s="59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</row>
    <row r="440" spans="1:33" ht="61.5" customHeight="1" x14ac:dyDescent="0.25">
      <c r="A440" s="56"/>
      <c r="B440" s="56"/>
      <c r="C440" s="56"/>
      <c r="D440" s="56"/>
      <c r="E440" s="56"/>
      <c r="F440" s="57"/>
      <c r="G440" s="78"/>
      <c r="H440" s="56"/>
      <c r="I440" s="56"/>
      <c r="J440" s="59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</row>
    <row r="441" spans="1:33" ht="61.5" customHeight="1" x14ac:dyDescent="0.25">
      <c r="A441" s="56"/>
      <c r="B441" s="56"/>
      <c r="C441" s="56"/>
      <c r="D441" s="56"/>
      <c r="E441" s="56"/>
      <c r="F441" s="57"/>
      <c r="G441" s="78"/>
      <c r="H441" s="56"/>
      <c r="I441" s="56"/>
      <c r="J441" s="59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</row>
    <row r="442" spans="1:33" ht="61.5" customHeight="1" x14ac:dyDescent="0.25">
      <c r="A442" s="56"/>
      <c r="B442" s="56"/>
      <c r="C442" s="56"/>
      <c r="D442" s="56"/>
      <c r="E442" s="56"/>
      <c r="F442" s="57"/>
      <c r="G442" s="78"/>
      <c r="H442" s="56"/>
      <c r="I442" s="56"/>
      <c r="J442" s="59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</row>
    <row r="443" spans="1:33" ht="61.5" customHeight="1" x14ac:dyDescent="0.25">
      <c r="A443" s="56"/>
      <c r="B443" s="56"/>
      <c r="C443" s="56"/>
      <c r="D443" s="56"/>
      <c r="E443" s="56"/>
      <c r="F443" s="57"/>
      <c r="G443" s="78"/>
      <c r="H443" s="56"/>
      <c r="I443" s="56"/>
      <c r="J443" s="59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</row>
    <row r="444" spans="1:33" ht="61.5" customHeight="1" x14ac:dyDescent="0.25">
      <c r="A444" s="56"/>
      <c r="B444" s="56"/>
      <c r="C444" s="56"/>
      <c r="D444" s="56"/>
      <c r="E444" s="56"/>
      <c r="F444" s="57"/>
      <c r="G444" s="78"/>
      <c r="H444" s="56"/>
      <c r="I444" s="56"/>
      <c r="J444" s="59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</row>
    <row r="445" spans="1:33" ht="61.5" customHeight="1" x14ac:dyDescent="0.25">
      <c r="A445" s="56"/>
      <c r="B445" s="56"/>
      <c r="C445" s="56"/>
      <c r="D445" s="56"/>
      <c r="E445" s="56"/>
      <c r="F445" s="57"/>
      <c r="G445" s="78"/>
      <c r="H445" s="56"/>
      <c r="I445" s="56"/>
      <c r="J445" s="59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</row>
    <row r="446" spans="1:33" ht="61.5" customHeight="1" x14ac:dyDescent="0.25">
      <c r="A446" s="56"/>
      <c r="B446" s="56"/>
      <c r="C446" s="56"/>
      <c r="D446" s="56"/>
      <c r="E446" s="56"/>
      <c r="F446" s="57"/>
      <c r="G446" s="78"/>
      <c r="H446" s="56"/>
      <c r="I446" s="56"/>
      <c r="J446" s="59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</row>
    <row r="447" spans="1:33" ht="61.5" customHeight="1" x14ac:dyDescent="0.25">
      <c r="A447" s="56"/>
      <c r="B447" s="56"/>
      <c r="C447" s="56"/>
      <c r="D447" s="56"/>
      <c r="E447" s="56"/>
      <c r="F447" s="57"/>
      <c r="G447" s="78"/>
      <c r="H447" s="56"/>
      <c r="I447" s="56"/>
      <c r="J447" s="59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</row>
    <row r="448" spans="1:33" ht="61.5" customHeight="1" x14ac:dyDescent="0.25">
      <c r="A448" s="56"/>
      <c r="B448" s="56"/>
      <c r="C448" s="56"/>
      <c r="D448" s="56"/>
      <c r="E448" s="56"/>
      <c r="F448" s="57"/>
      <c r="G448" s="78"/>
      <c r="H448" s="56"/>
      <c r="I448" s="56"/>
      <c r="J448" s="59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</row>
    <row r="449" spans="1:33" ht="61.5" customHeight="1" x14ac:dyDescent="0.25">
      <c r="A449" s="56"/>
      <c r="B449" s="56"/>
      <c r="C449" s="56"/>
      <c r="D449" s="56"/>
      <c r="E449" s="56"/>
      <c r="F449" s="57"/>
      <c r="G449" s="78"/>
      <c r="H449" s="56"/>
      <c r="I449" s="56"/>
      <c r="J449" s="59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</row>
    <row r="450" spans="1:33" ht="61.5" customHeight="1" x14ac:dyDescent="0.25">
      <c r="A450" s="56"/>
      <c r="B450" s="56"/>
      <c r="C450" s="56"/>
      <c r="D450" s="56"/>
      <c r="E450" s="56"/>
      <c r="F450" s="57"/>
      <c r="G450" s="78"/>
      <c r="H450" s="56"/>
      <c r="I450" s="56"/>
      <c r="J450" s="59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</row>
    <row r="451" spans="1:33" ht="61.5" customHeight="1" x14ac:dyDescent="0.25">
      <c r="A451" s="56"/>
      <c r="B451" s="56"/>
      <c r="C451" s="56"/>
      <c r="D451" s="56"/>
      <c r="E451" s="56"/>
      <c r="F451" s="57"/>
      <c r="G451" s="78"/>
      <c r="H451" s="56"/>
      <c r="I451" s="56"/>
      <c r="J451" s="59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</row>
    <row r="452" spans="1:33" ht="61.5" customHeight="1" x14ac:dyDescent="0.25">
      <c r="A452" s="56"/>
      <c r="B452" s="56"/>
      <c r="C452" s="56"/>
      <c r="D452" s="56"/>
      <c r="E452" s="56"/>
      <c r="F452" s="57"/>
      <c r="G452" s="78"/>
      <c r="H452" s="56"/>
      <c r="I452" s="56"/>
      <c r="J452" s="59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</row>
    <row r="453" spans="1:33" ht="61.5" customHeight="1" x14ac:dyDescent="0.25">
      <c r="A453" s="56"/>
      <c r="B453" s="56"/>
      <c r="C453" s="56"/>
      <c r="D453" s="56"/>
      <c r="E453" s="56"/>
      <c r="F453" s="57"/>
      <c r="G453" s="78"/>
      <c r="H453" s="56"/>
      <c r="I453" s="56"/>
      <c r="J453" s="59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</row>
    <row r="454" spans="1:33" ht="61.5" customHeight="1" x14ac:dyDescent="0.25">
      <c r="A454" s="56"/>
      <c r="B454" s="56"/>
      <c r="C454" s="56"/>
      <c r="D454" s="56"/>
      <c r="E454" s="56"/>
      <c r="F454" s="57"/>
      <c r="G454" s="78"/>
      <c r="H454" s="56"/>
      <c r="I454" s="56"/>
      <c r="J454" s="59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</row>
    <row r="455" spans="1:33" ht="61.5" customHeight="1" x14ac:dyDescent="0.25">
      <c r="A455" s="56"/>
      <c r="B455" s="56"/>
      <c r="C455" s="56"/>
      <c r="D455" s="56"/>
      <c r="E455" s="56"/>
      <c r="F455" s="57"/>
      <c r="G455" s="78"/>
      <c r="H455" s="56"/>
      <c r="I455" s="56"/>
      <c r="J455" s="59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</row>
    <row r="456" spans="1:33" ht="61.5" customHeight="1" x14ac:dyDescent="0.25">
      <c r="A456" s="56"/>
      <c r="B456" s="56"/>
      <c r="C456" s="56"/>
      <c r="D456" s="56"/>
      <c r="E456" s="56"/>
      <c r="F456" s="57"/>
      <c r="G456" s="78"/>
      <c r="H456" s="56"/>
      <c r="I456" s="56"/>
      <c r="J456" s="59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</row>
    <row r="457" spans="1:33" ht="61.5" customHeight="1" x14ac:dyDescent="0.25">
      <c r="A457" s="56"/>
      <c r="B457" s="56"/>
      <c r="C457" s="56"/>
      <c r="D457" s="56"/>
      <c r="E457" s="56"/>
      <c r="F457" s="57"/>
      <c r="G457" s="78"/>
      <c r="H457" s="56"/>
      <c r="I457" s="56"/>
      <c r="J457" s="59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</row>
    <row r="458" spans="1:33" ht="61.5" customHeight="1" x14ac:dyDescent="0.25">
      <c r="A458" s="56"/>
      <c r="B458" s="56"/>
      <c r="C458" s="56"/>
      <c r="D458" s="56"/>
      <c r="E458" s="56"/>
      <c r="F458" s="57"/>
      <c r="G458" s="78"/>
      <c r="H458" s="56"/>
      <c r="I458" s="56"/>
      <c r="J458" s="59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</row>
    <row r="459" spans="1:33" ht="61.5" customHeight="1" x14ac:dyDescent="0.25">
      <c r="A459" s="56"/>
      <c r="B459" s="56"/>
      <c r="C459" s="56"/>
      <c r="D459" s="56"/>
      <c r="E459" s="56"/>
      <c r="F459" s="57"/>
      <c r="G459" s="78"/>
      <c r="H459" s="56"/>
      <c r="I459" s="56"/>
      <c r="J459" s="59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</row>
    <row r="460" spans="1:33" ht="61.5" customHeight="1" x14ac:dyDescent="0.25">
      <c r="A460" s="56"/>
      <c r="B460" s="56"/>
      <c r="C460" s="56"/>
      <c r="D460" s="56"/>
      <c r="E460" s="56"/>
      <c r="F460" s="57"/>
      <c r="G460" s="78"/>
      <c r="H460" s="56"/>
      <c r="I460" s="56"/>
      <c r="J460" s="59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</row>
    <row r="461" spans="1:33" ht="61.5" customHeight="1" x14ac:dyDescent="0.25">
      <c r="A461" s="56"/>
      <c r="B461" s="56"/>
      <c r="C461" s="56"/>
      <c r="D461" s="56"/>
      <c r="E461" s="56"/>
      <c r="F461" s="57"/>
      <c r="G461" s="78"/>
      <c r="H461" s="56"/>
      <c r="I461" s="56"/>
      <c r="J461" s="59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</row>
    <row r="462" spans="1:33" ht="61.5" customHeight="1" x14ac:dyDescent="0.25">
      <c r="A462" s="56"/>
      <c r="B462" s="56"/>
      <c r="C462" s="56"/>
      <c r="D462" s="56"/>
      <c r="E462" s="56"/>
      <c r="F462" s="57"/>
      <c r="G462" s="78"/>
      <c r="H462" s="56"/>
      <c r="I462" s="56"/>
      <c r="J462" s="59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</row>
    <row r="463" spans="1:33" ht="61.5" customHeight="1" x14ac:dyDescent="0.25">
      <c r="A463" s="56"/>
      <c r="B463" s="56"/>
      <c r="C463" s="56"/>
      <c r="D463" s="56"/>
      <c r="E463" s="56"/>
      <c r="F463" s="57"/>
      <c r="G463" s="78"/>
      <c r="H463" s="56"/>
      <c r="I463" s="56"/>
      <c r="J463" s="59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</row>
    <row r="464" spans="1:33" ht="61.5" customHeight="1" x14ac:dyDescent="0.25">
      <c r="A464" s="56"/>
      <c r="B464" s="56"/>
      <c r="C464" s="56"/>
      <c r="D464" s="56"/>
      <c r="E464" s="56"/>
      <c r="F464" s="57"/>
      <c r="G464" s="78"/>
      <c r="H464" s="56"/>
      <c r="I464" s="56"/>
      <c r="J464" s="59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</row>
    <row r="465" spans="1:33" ht="61.5" customHeight="1" x14ac:dyDescent="0.25">
      <c r="A465" s="56"/>
      <c r="B465" s="56"/>
      <c r="C465" s="56"/>
      <c r="D465" s="56"/>
      <c r="E465" s="56"/>
      <c r="F465" s="57"/>
      <c r="G465" s="78"/>
      <c r="H465" s="56"/>
      <c r="I465" s="56"/>
      <c r="J465" s="59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</row>
    <row r="466" spans="1:33" ht="61.5" customHeight="1" x14ac:dyDescent="0.25">
      <c r="A466" s="56"/>
      <c r="B466" s="56"/>
      <c r="C466" s="56"/>
      <c r="D466" s="56"/>
      <c r="E466" s="56"/>
      <c r="F466" s="57"/>
      <c r="G466" s="78"/>
      <c r="H466" s="56"/>
      <c r="I466" s="56"/>
      <c r="J466" s="59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</row>
    <row r="467" spans="1:33" ht="61.5" customHeight="1" x14ac:dyDescent="0.25">
      <c r="A467" s="56"/>
      <c r="B467" s="56"/>
      <c r="C467" s="56"/>
      <c r="D467" s="56"/>
      <c r="E467" s="56"/>
      <c r="F467" s="57"/>
      <c r="G467" s="78"/>
      <c r="H467" s="56"/>
      <c r="I467" s="56"/>
      <c r="J467" s="59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</row>
    <row r="468" spans="1:33" ht="61.5" customHeight="1" x14ac:dyDescent="0.25">
      <c r="A468" s="56"/>
      <c r="B468" s="56"/>
      <c r="C468" s="56"/>
      <c r="D468" s="56"/>
      <c r="E468" s="56"/>
      <c r="F468" s="57"/>
      <c r="G468" s="78"/>
      <c r="H468" s="56"/>
      <c r="I468" s="56"/>
      <c r="J468" s="59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</row>
    <row r="469" spans="1:33" ht="61.5" customHeight="1" x14ac:dyDescent="0.25">
      <c r="A469" s="56"/>
      <c r="B469" s="56"/>
      <c r="C469" s="56"/>
      <c r="D469" s="56"/>
      <c r="E469" s="56"/>
      <c r="F469" s="57"/>
      <c r="G469" s="78"/>
      <c r="H469" s="56"/>
      <c r="I469" s="56"/>
      <c r="J469" s="59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</row>
    <row r="470" spans="1:33" ht="61.5" customHeight="1" x14ac:dyDescent="0.25">
      <c r="A470" s="56"/>
      <c r="B470" s="56"/>
      <c r="C470" s="56"/>
      <c r="D470" s="56"/>
      <c r="E470" s="56"/>
      <c r="F470" s="57"/>
      <c r="G470" s="78"/>
      <c r="H470" s="56"/>
      <c r="I470" s="56"/>
      <c r="J470" s="59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</row>
    <row r="471" spans="1:33" ht="61.5" customHeight="1" x14ac:dyDescent="0.25">
      <c r="A471" s="56"/>
      <c r="B471" s="56"/>
      <c r="C471" s="56"/>
      <c r="D471" s="56"/>
      <c r="E471" s="56"/>
      <c r="F471" s="57"/>
      <c r="G471" s="78"/>
      <c r="H471" s="56"/>
      <c r="I471" s="56"/>
      <c r="J471" s="59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</row>
    <row r="472" spans="1:33" ht="61.5" customHeight="1" x14ac:dyDescent="0.25">
      <c r="A472" s="56"/>
      <c r="B472" s="56"/>
      <c r="C472" s="56"/>
      <c r="D472" s="56"/>
      <c r="E472" s="56"/>
      <c r="F472" s="57"/>
      <c r="G472" s="78"/>
      <c r="H472" s="56"/>
      <c r="I472" s="56"/>
      <c r="J472" s="59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</row>
    <row r="473" spans="1:33" ht="61.5" customHeight="1" x14ac:dyDescent="0.25">
      <c r="A473" s="56"/>
      <c r="B473" s="56"/>
      <c r="C473" s="56"/>
      <c r="D473" s="56"/>
      <c r="E473" s="56"/>
      <c r="F473" s="57"/>
      <c r="G473" s="78"/>
      <c r="H473" s="56"/>
      <c r="I473" s="56"/>
      <c r="J473" s="59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</row>
    <row r="474" spans="1:33" ht="61.5" customHeight="1" x14ac:dyDescent="0.25">
      <c r="A474" s="56"/>
      <c r="B474" s="56"/>
      <c r="C474" s="56"/>
      <c r="D474" s="56"/>
      <c r="E474" s="56"/>
      <c r="F474" s="57"/>
      <c r="G474" s="78"/>
      <c r="H474" s="56"/>
      <c r="I474" s="56"/>
      <c r="J474" s="59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</row>
    <row r="475" spans="1:33" ht="61.5" customHeight="1" x14ac:dyDescent="0.25">
      <c r="A475" s="56"/>
      <c r="B475" s="56"/>
      <c r="C475" s="56"/>
      <c r="D475" s="56"/>
      <c r="E475" s="56"/>
      <c r="F475" s="57"/>
      <c r="G475" s="78"/>
      <c r="H475" s="56"/>
      <c r="I475" s="56"/>
      <c r="J475" s="59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</row>
    <row r="476" spans="1:33" ht="61.5" customHeight="1" x14ac:dyDescent="0.25">
      <c r="A476" s="56"/>
      <c r="B476" s="56"/>
      <c r="C476" s="56"/>
      <c r="D476" s="56"/>
      <c r="E476" s="56"/>
      <c r="F476" s="57"/>
      <c r="G476" s="78"/>
      <c r="H476" s="56"/>
      <c r="I476" s="56"/>
      <c r="J476" s="59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</row>
    <row r="477" spans="1:33" ht="61.5" customHeight="1" x14ac:dyDescent="0.25">
      <c r="A477" s="56"/>
      <c r="B477" s="56"/>
      <c r="C477" s="56"/>
      <c r="D477" s="56"/>
      <c r="E477" s="56"/>
      <c r="F477" s="57"/>
      <c r="G477" s="78"/>
      <c r="H477" s="56"/>
      <c r="I477" s="56"/>
      <c r="J477" s="59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</row>
    <row r="478" spans="1:33" ht="61.5" customHeight="1" x14ac:dyDescent="0.25">
      <c r="A478" s="56"/>
      <c r="B478" s="56"/>
      <c r="C478" s="56"/>
      <c r="D478" s="56"/>
      <c r="E478" s="56"/>
      <c r="F478" s="57"/>
      <c r="G478" s="78"/>
      <c r="H478" s="56"/>
      <c r="I478" s="56"/>
      <c r="J478" s="59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</row>
    <row r="479" spans="1:33" ht="61.5" customHeight="1" x14ac:dyDescent="0.25">
      <c r="A479" s="56"/>
      <c r="B479" s="56"/>
      <c r="C479" s="56"/>
      <c r="D479" s="56"/>
      <c r="E479" s="56"/>
      <c r="F479" s="57"/>
      <c r="G479" s="78"/>
      <c r="H479" s="56"/>
      <c r="I479" s="56"/>
      <c r="J479" s="59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</row>
    <row r="480" spans="1:33" ht="61.5" customHeight="1" x14ac:dyDescent="0.25">
      <c r="A480" s="56"/>
      <c r="B480" s="56"/>
      <c r="C480" s="56"/>
      <c r="D480" s="56"/>
      <c r="E480" s="56"/>
      <c r="F480" s="57"/>
      <c r="G480" s="78"/>
      <c r="H480" s="56"/>
      <c r="I480" s="56"/>
      <c r="J480" s="59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</row>
    <row r="481" spans="1:33" ht="61.5" customHeight="1" x14ac:dyDescent="0.25">
      <c r="A481" s="56"/>
      <c r="B481" s="56"/>
      <c r="C481" s="56"/>
      <c r="D481" s="56"/>
      <c r="E481" s="56"/>
      <c r="F481" s="57"/>
      <c r="G481" s="78"/>
      <c r="H481" s="56"/>
      <c r="I481" s="56"/>
      <c r="J481" s="59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</row>
    <row r="482" spans="1:33" ht="61.5" customHeight="1" x14ac:dyDescent="0.25">
      <c r="A482" s="56"/>
      <c r="B482" s="56"/>
      <c r="C482" s="56"/>
      <c r="D482" s="56"/>
      <c r="E482" s="56"/>
      <c r="F482" s="57"/>
      <c r="G482" s="78"/>
      <c r="H482" s="56"/>
      <c r="I482" s="56"/>
      <c r="J482" s="59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</row>
    <row r="483" spans="1:33" ht="61.5" customHeight="1" x14ac:dyDescent="0.25">
      <c r="A483" s="56"/>
      <c r="B483" s="56"/>
      <c r="C483" s="56"/>
      <c r="D483" s="56"/>
      <c r="E483" s="56"/>
      <c r="F483" s="57"/>
      <c r="G483" s="78"/>
      <c r="H483" s="56"/>
      <c r="I483" s="56"/>
      <c r="J483" s="59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</row>
    <row r="484" spans="1:33" ht="61.5" customHeight="1" x14ac:dyDescent="0.25">
      <c r="A484" s="56"/>
      <c r="B484" s="56"/>
      <c r="C484" s="56"/>
      <c r="D484" s="56"/>
      <c r="E484" s="56"/>
      <c r="F484" s="57"/>
      <c r="G484" s="78"/>
      <c r="H484" s="56"/>
      <c r="I484" s="56"/>
      <c r="J484" s="59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</row>
    <row r="485" spans="1:33" ht="61.5" customHeight="1" x14ac:dyDescent="0.25">
      <c r="A485" s="56"/>
      <c r="B485" s="56"/>
      <c r="C485" s="56"/>
      <c r="D485" s="56"/>
      <c r="E485" s="56"/>
      <c r="F485" s="57"/>
      <c r="G485" s="78"/>
      <c r="H485" s="56"/>
      <c r="I485" s="56"/>
      <c r="J485" s="59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</row>
    <row r="486" spans="1:33" ht="61.5" customHeight="1" x14ac:dyDescent="0.25">
      <c r="A486" s="56"/>
      <c r="B486" s="56"/>
      <c r="C486" s="56"/>
      <c r="D486" s="56"/>
      <c r="E486" s="56"/>
      <c r="F486" s="57"/>
      <c r="G486" s="78"/>
      <c r="H486" s="56"/>
      <c r="I486" s="56"/>
      <c r="J486" s="59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</row>
    <row r="487" spans="1:33" ht="61.5" customHeight="1" x14ac:dyDescent="0.25">
      <c r="A487" s="56"/>
      <c r="B487" s="56"/>
      <c r="C487" s="56"/>
      <c r="D487" s="56"/>
      <c r="E487" s="56"/>
      <c r="F487" s="57"/>
      <c r="G487" s="78"/>
      <c r="H487" s="56"/>
      <c r="I487" s="56"/>
      <c r="J487" s="59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</row>
    <row r="488" spans="1:33" ht="61.5" customHeight="1" x14ac:dyDescent="0.25">
      <c r="A488" s="56"/>
      <c r="B488" s="56"/>
      <c r="C488" s="56"/>
      <c r="D488" s="56"/>
      <c r="E488" s="56"/>
      <c r="F488" s="57"/>
      <c r="G488" s="78"/>
      <c r="H488" s="56"/>
      <c r="I488" s="56"/>
      <c r="J488" s="59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</row>
    <row r="489" spans="1:33" ht="61.5" customHeight="1" x14ac:dyDescent="0.25">
      <c r="A489" s="56"/>
      <c r="B489" s="56"/>
      <c r="C489" s="56"/>
      <c r="D489" s="56"/>
      <c r="E489" s="56"/>
      <c r="F489" s="57"/>
      <c r="G489" s="78"/>
      <c r="H489" s="56"/>
      <c r="I489" s="56"/>
      <c r="J489" s="59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</row>
    <row r="490" spans="1:33" ht="61.5" customHeight="1" x14ac:dyDescent="0.25">
      <c r="A490" s="56"/>
      <c r="B490" s="56"/>
      <c r="C490" s="56"/>
      <c r="D490" s="56"/>
      <c r="E490" s="56"/>
      <c r="F490" s="57"/>
      <c r="G490" s="78"/>
      <c r="H490" s="56"/>
      <c r="I490" s="56"/>
      <c r="J490" s="59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</row>
    <row r="491" spans="1:33" ht="61.5" customHeight="1" x14ac:dyDescent="0.25">
      <c r="A491" s="56"/>
      <c r="B491" s="56"/>
      <c r="C491" s="56"/>
      <c r="D491" s="56"/>
      <c r="E491" s="56"/>
      <c r="F491" s="57"/>
      <c r="G491" s="78"/>
      <c r="H491" s="56"/>
      <c r="I491" s="56"/>
      <c r="J491" s="59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</row>
    <row r="492" spans="1:33" ht="61.5" customHeight="1" x14ac:dyDescent="0.25">
      <c r="A492" s="56"/>
      <c r="B492" s="56"/>
      <c r="C492" s="56"/>
      <c r="D492" s="56"/>
      <c r="E492" s="56"/>
      <c r="F492" s="57"/>
      <c r="G492" s="78"/>
      <c r="H492" s="56"/>
      <c r="I492" s="56"/>
      <c r="J492" s="59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</row>
    <row r="493" spans="1:33" ht="61.5" customHeight="1" x14ac:dyDescent="0.25">
      <c r="A493" s="56"/>
      <c r="B493" s="56"/>
      <c r="C493" s="56"/>
      <c r="D493" s="56"/>
      <c r="E493" s="56"/>
      <c r="F493" s="57"/>
      <c r="G493" s="78"/>
      <c r="H493" s="56"/>
      <c r="I493" s="56"/>
      <c r="J493" s="59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</row>
    <row r="494" spans="1:33" ht="61.5" customHeight="1" x14ac:dyDescent="0.25">
      <c r="A494" s="56"/>
      <c r="B494" s="56"/>
      <c r="C494" s="56"/>
      <c r="D494" s="56"/>
      <c r="E494" s="56"/>
      <c r="F494" s="57"/>
      <c r="G494" s="78"/>
      <c r="H494" s="56"/>
      <c r="I494" s="56"/>
      <c r="J494" s="59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</row>
    <row r="495" spans="1:33" ht="61.5" customHeight="1" x14ac:dyDescent="0.25">
      <c r="A495" s="56"/>
      <c r="B495" s="56"/>
      <c r="C495" s="56"/>
      <c r="D495" s="56"/>
      <c r="E495" s="56"/>
      <c r="F495" s="57"/>
      <c r="G495" s="78"/>
      <c r="H495" s="56"/>
      <c r="I495" s="56"/>
      <c r="J495" s="59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</row>
    <row r="496" spans="1:33" ht="61.5" customHeight="1" x14ac:dyDescent="0.25">
      <c r="A496" s="56"/>
      <c r="B496" s="56"/>
      <c r="C496" s="56"/>
      <c r="D496" s="56"/>
      <c r="E496" s="56"/>
      <c r="F496" s="57"/>
      <c r="G496" s="78"/>
      <c r="H496" s="56"/>
      <c r="I496" s="56"/>
      <c r="J496" s="59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</row>
    <row r="497" spans="1:33" ht="61.5" customHeight="1" x14ac:dyDescent="0.25">
      <c r="A497" s="56"/>
      <c r="B497" s="56"/>
      <c r="C497" s="56"/>
      <c r="D497" s="56"/>
      <c r="E497" s="56"/>
      <c r="F497" s="57"/>
      <c r="G497" s="78"/>
      <c r="H497" s="56"/>
      <c r="I497" s="56"/>
      <c r="J497" s="59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</row>
    <row r="498" spans="1:33" ht="61.5" customHeight="1" x14ac:dyDescent="0.25">
      <c r="A498" s="56"/>
      <c r="B498" s="56"/>
      <c r="C498" s="56"/>
      <c r="D498" s="56"/>
      <c r="E498" s="56"/>
      <c r="F498" s="57"/>
      <c r="G498" s="78"/>
      <c r="H498" s="56"/>
      <c r="I498" s="56"/>
      <c r="J498" s="59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</row>
    <row r="499" spans="1:33" ht="61.5" customHeight="1" x14ac:dyDescent="0.25">
      <c r="A499" s="56"/>
      <c r="B499" s="56"/>
      <c r="C499" s="56"/>
      <c r="D499" s="56"/>
      <c r="E499" s="56"/>
      <c r="F499" s="57"/>
      <c r="G499" s="78"/>
      <c r="H499" s="56"/>
      <c r="I499" s="56"/>
      <c r="J499" s="59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</row>
    <row r="500" spans="1:33" ht="61.5" customHeight="1" x14ac:dyDescent="0.25">
      <c r="A500" s="56"/>
      <c r="B500" s="56"/>
      <c r="C500" s="56"/>
      <c r="D500" s="56"/>
      <c r="E500" s="56"/>
      <c r="F500" s="57"/>
      <c r="G500" s="78"/>
      <c r="H500" s="56"/>
      <c r="I500" s="56"/>
      <c r="J500" s="59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</row>
    <row r="501" spans="1:33" ht="61.5" customHeight="1" x14ac:dyDescent="0.25">
      <c r="A501" s="56"/>
      <c r="B501" s="56"/>
      <c r="C501" s="56"/>
      <c r="D501" s="56"/>
      <c r="E501" s="56"/>
      <c r="F501" s="57"/>
      <c r="G501" s="78"/>
      <c r="H501" s="56"/>
      <c r="I501" s="56"/>
      <c r="J501" s="59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</row>
    <row r="502" spans="1:33" ht="61.5" customHeight="1" x14ac:dyDescent="0.25">
      <c r="A502" s="56"/>
      <c r="B502" s="56"/>
      <c r="C502" s="56"/>
      <c r="D502" s="56"/>
      <c r="E502" s="56"/>
      <c r="F502" s="57"/>
      <c r="G502" s="78"/>
      <c r="H502" s="56"/>
      <c r="I502" s="56"/>
      <c r="J502" s="59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</row>
    <row r="503" spans="1:33" ht="61.5" customHeight="1" x14ac:dyDescent="0.25">
      <c r="A503" s="56"/>
      <c r="B503" s="56"/>
      <c r="C503" s="56"/>
      <c r="D503" s="56"/>
      <c r="E503" s="56"/>
      <c r="F503" s="57"/>
      <c r="G503" s="78"/>
      <c r="H503" s="56"/>
      <c r="I503" s="56"/>
      <c r="J503" s="59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</row>
    <row r="504" spans="1:33" ht="61.5" customHeight="1" x14ac:dyDescent="0.25">
      <c r="A504" s="56"/>
      <c r="B504" s="56"/>
      <c r="C504" s="56"/>
      <c r="D504" s="56"/>
      <c r="E504" s="56"/>
      <c r="F504" s="57"/>
      <c r="G504" s="78"/>
      <c r="H504" s="56"/>
      <c r="I504" s="56"/>
      <c r="J504" s="59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</row>
    <row r="505" spans="1:33" ht="61.5" customHeight="1" x14ac:dyDescent="0.25">
      <c r="A505" s="56"/>
      <c r="B505" s="56"/>
      <c r="C505" s="56"/>
      <c r="D505" s="56"/>
      <c r="E505" s="56"/>
      <c r="F505" s="57"/>
      <c r="G505" s="78"/>
      <c r="H505" s="56"/>
      <c r="I505" s="56"/>
      <c r="J505" s="59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</row>
    <row r="506" spans="1:33" ht="61.5" customHeight="1" x14ac:dyDescent="0.25">
      <c r="A506" s="56"/>
      <c r="B506" s="56"/>
      <c r="C506" s="56"/>
      <c r="D506" s="56"/>
      <c r="E506" s="56"/>
      <c r="F506" s="57"/>
      <c r="G506" s="78"/>
      <c r="H506" s="56"/>
      <c r="I506" s="56"/>
      <c r="J506" s="59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</row>
    <row r="507" spans="1:33" ht="61.5" customHeight="1" x14ac:dyDescent="0.25">
      <c r="A507" s="56"/>
      <c r="B507" s="56"/>
      <c r="C507" s="56"/>
      <c r="D507" s="56"/>
      <c r="E507" s="56"/>
      <c r="F507" s="57"/>
      <c r="G507" s="78"/>
      <c r="H507" s="56"/>
      <c r="I507" s="56"/>
      <c r="J507" s="59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</row>
    <row r="508" spans="1:33" ht="61.5" customHeight="1" x14ac:dyDescent="0.25">
      <c r="A508" s="56"/>
      <c r="B508" s="56"/>
      <c r="C508" s="56"/>
      <c r="D508" s="56"/>
      <c r="E508" s="56"/>
      <c r="F508" s="57"/>
      <c r="G508" s="78"/>
      <c r="H508" s="56"/>
      <c r="I508" s="56"/>
      <c r="J508" s="59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</row>
    <row r="509" spans="1:33" ht="61.5" customHeight="1" x14ac:dyDescent="0.25">
      <c r="A509" s="56"/>
      <c r="B509" s="56"/>
      <c r="C509" s="56"/>
      <c r="D509" s="56"/>
      <c r="E509" s="56"/>
      <c r="F509" s="57"/>
      <c r="G509" s="78"/>
      <c r="H509" s="56"/>
      <c r="I509" s="56"/>
      <c r="J509" s="59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</row>
    <row r="510" spans="1:33" ht="61.5" customHeight="1" x14ac:dyDescent="0.25">
      <c r="A510" s="56"/>
      <c r="B510" s="56"/>
      <c r="C510" s="56"/>
      <c r="D510" s="56"/>
      <c r="E510" s="56"/>
      <c r="F510" s="57"/>
      <c r="G510" s="78"/>
      <c r="H510" s="56"/>
      <c r="I510" s="56"/>
      <c r="J510" s="59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</row>
    <row r="511" spans="1:33" ht="61.5" customHeight="1" x14ac:dyDescent="0.25">
      <c r="A511" s="56"/>
      <c r="B511" s="56"/>
      <c r="C511" s="56"/>
      <c r="D511" s="56"/>
      <c r="E511" s="56"/>
      <c r="F511" s="57"/>
      <c r="G511" s="78"/>
      <c r="H511" s="56"/>
      <c r="I511" s="56"/>
      <c r="J511" s="59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</row>
    <row r="512" spans="1:33" ht="61.5" customHeight="1" x14ac:dyDescent="0.25">
      <c r="A512" s="56"/>
      <c r="B512" s="56"/>
      <c r="C512" s="56"/>
      <c r="D512" s="56"/>
      <c r="E512" s="56"/>
      <c r="F512" s="57"/>
      <c r="G512" s="78"/>
      <c r="H512" s="56"/>
      <c r="I512" s="56"/>
      <c r="J512" s="59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</row>
    <row r="513" spans="1:33" ht="61.5" customHeight="1" x14ac:dyDescent="0.25">
      <c r="A513" s="56"/>
      <c r="B513" s="56"/>
      <c r="C513" s="56"/>
      <c r="D513" s="56"/>
      <c r="E513" s="56"/>
      <c r="F513" s="57"/>
      <c r="G513" s="78"/>
      <c r="H513" s="56"/>
      <c r="I513" s="56"/>
      <c r="J513" s="59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</row>
    <row r="514" spans="1:33" ht="61.5" customHeight="1" x14ac:dyDescent="0.25">
      <c r="A514" s="56"/>
      <c r="B514" s="56"/>
      <c r="C514" s="56"/>
      <c r="D514" s="56"/>
      <c r="E514" s="56"/>
      <c r="F514" s="57"/>
      <c r="G514" s="78"/>
      <c r="H514" s="56"/>
      <c r="I514" s="56"/>
      <c r="J514" s="59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</row>
    <row r="515" spans="1:33" ht="61.5" customHeight="1" x14ac:dyDescent="0.25">
      <c r="A515" s="56"/>
      <c r="B515" s="56"/>
      <c r="C515" s="56"/>
      <c r="D515" s="56"/>
      <c r="E515" s="56"/>
      <c r="F515" s="57"/>
      <c r="G515" s="78"/>
      <c r="H515" s="56"/>
      <c r="I515" s="56"/>
      <c r="J515" s="59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</row>
    <row r="516" spans="1:33" ht="61.5" customHeight="1" x14ac:dyDescent="0.25">
      <c r="A516" s="56"/>
      <c r="B516" s="56"/>
      <c r="C516" s="56"/>
      <c r="D516" s="56"/>
      <c r="E516" s="56"/>
      <c r="F516" s="57"/>
      <c r="G516" s="78"/>
      <c r="H516" s="56"/>
      <c r="I516" s="56"/>
      <c r="J516" s="59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</row>
    <row r="517" spans="1:33" ht="61.5" customHeight="1" x14ac:dyDescent="0.25">
      <c r="A517" s="56"/>
      <c r="B517" s="56"/>
      <c r="C517" s="56"/>
      <c r="D517" s="56"/>
      <c r="E517" s="56"/>
      <c r="F517" s="57"/>
      <c r="G517" s="78"/>
      <c r="H517" s="56"/>
      <c r="I517" s="56"/>
      <c r="J517" s="59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</row>
    <row r="518" spans="1:33" ht="61.5" customHeight="1" x14ac:dyDescent="0.25">
      <c r="A518" s="56"/>
      <c r="B518" s="56"/>
      <c r="C518" s="56"/>
      <c r="D518" s="56"/>
      <c r="E518" s="56"/>
      <c r="F518" s="57"/>
      <c r="G518" s="78"/>
      <c r="H518" s="56"/>
      <c r="I518" s="56"/>
      <c r="J518" s="59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</row>
    <row r="519" spans="1:33" ht="61.5" customHeight="1" x14ac:dyDescent="0.25">
      <c r="A519" s="56"/>
      <c r="B519" s="56"/>
      <c r="C519" s="56"/>
      <c r="D519" s="56"/>
      <c r="E519" s="56"/>
      <c r="F519" s="57"/>
      <c r="G519" s="78"/>
      <c r="H519" s="56"/>
      <c r="I519" s="56"/>
      <c r="J519" s="59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</row>
    <row r="520" spans="1:33" ht="61.5" customHeight="1" x14ac:dyDescent="0.25">
      <c r="A520" s="56"/>
      <c r="B520" s="56"/>
      <c r="C520" s="56"/>
      <c r="D520" s="56"/>
      <c r="E520" s="56"/>
      <c r="F520" s="57"/>
      <c r="G520" s="78"/>
      <c r="H520" s="56"/>
      <c r="I520" s="56"/>
      <c r="J520" s="59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</row>
    <row r="521" spans="1:33" ht="61.5" customHeight="1" x14ac:dyDescent="0.25">
      <c r="A521" s="56"/>
      <c r="B521" s="56"/>
      <c r="C521" s="56"/>
      <c r="D521" s="56"/>
      <c r="E521" s="56"/>
      <c r="F521" s="57"/>
      <c r="G521" s="78"/>
      <c r="H521" s="56"/>
      <c r="I521" s="56"/>
      <c r="J521" s="59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</row>
    <row r="522" spans="1:33" ht="61.5" customHeight="1" x14ac:dyDescent="0.25">
      <c r="A522" s="56"/>
      <c r="B522" s="56"/>
      <c r="C522" s="56"/>
      <c r="D522" s="56"/>
      <c r="E522" s="56"/>
      <c r="F522" s="57"/>
      <c r="G522" s="78"/>
      <c r="H522" s="56"/>
      <c r="I522" s="56"/>
      <c r="J522" s="59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</row>
    <row r="523" spans="1:33" ht="61.5" customHeight="1" x14ac:dyDescent="0.25">
      <c r="A523" s="56"/>
      <c r="B523" s="56"/>
      <c r="C523" s="56"/>
      <c r="D523" s="56"/>
      <c r="E523" s="56"/>
      <c r="F523" s="57"/>
      <c r="G523" s="78"/>
      <c r="H523" s="56"/>
      <c r="I523" s="56"/>
      <c r="J523" s="59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</row>
    <row r="524" spans="1:33" ht="61.5" customHeight="1" x14ac:dyDescent="0.25">
      <c r="A524" s="56"/>
      <c r="B524" s="56"/>
      <c r="C524" s="56"/>
      <c r="D524" s="56"/>
      <c r="E524" s="56"/>
      <c r="F524" s="57"/>
      <c r="G524" s="78"/>
      <c r="H524" s="56"/>
      <c r="I524" s="56"/>
      <c r="J524" s="59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</row>
    <row r="525" spans="1:33" ht="61.5" customHeight="1" x14ac:dyDescent="0.25">
      <c r="A525" s="56"/>
      <c r="B525" s="56"/>
      <c r="C525" s="56"/>
      <c r="D525" s="56"/>
      <c r="E525" s="56"/>
      <c r="F525" s="57"/>
      <c r="G525" s="78"/>
      <c r="H525" s="56"/>
      <c r="I525" s="56"/>
      <c r="J525" s="59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</row>
    <row r="526" spans="1:33" ht="61.5" customHeight="1" x14ac:dyDescent="0.25">
      <c r="A526" s="56"/>
      <c r="B526" s="56"/>
      <c r="C526" s="56"/>
      <c r="D526" s="56"/>
      <c r="E526" s="56"/>
      <c r="F526" s="57"/>
      <c r="G526" s="78"/>
      <c r="H526" s="56"/>
      <c r="I526" s="56"/>
      <c r="J526" s="59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</row>
    <row r="527" spans="1:33" ht="61.5" customHeight="1" x14ac:dyDescent="0.25">
      <c r="A527" s="56"/>
      <c r="B527" s="56"/>
      <c r="C527" s="56"/>
      <c r="D527" s="56"/>
      <c r="E527" s="56"/>
      <c r="F527" s="57"/>
      <c r="G527" s="78"/>
      <c r="H527" s="56"/>
      <c r="I527" s="56"/>
      <c r="J527" s="59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</row>
    <row r="528" spans="1:33" ht="61.5" customHeight="1" x14ac:dyDescent="0.25">
      <c r="A528" s="56"/>
      <c r="B528" s="56"/>
      <c r="C528" s="56"/>
      <c r="D528" s="56"/>
      <c r="E528" s="56"/>
      <c r="F528" s="57"/>
      <c r="G528" s="78"/>
      <c r="H528" s="56"/>
      <c r="I528" s="56"/>
      <c r="J528" s="59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</row>
    <row r="529" spans="1:33" ht="61.5" customHeight="1" x14ac:dyDescent="0.25">
      <c r="A529" s="56"/>
      <c r="B529" s="56"/>
      <c r="C529" s="56"/>
      <c r="D529" s="56"/>
      <c r="E529" s="56"/>
      <c r="F529" s="57"/>
      <c r="G529" s="78"/>
      <c r="H529" s="56"/>
      <c r="I529" s="56"/>
      <c r="J529" s="59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</row>
    <row r="530" spans="1:33" ht="61.5" customHeight="1" x14ac:dyDescent="0.25">
      <c r="A530" s="56"/>
      <c r="B530" s="56"/>
      <c r="C530" s="56"/>
      <c r="D530" s="56"/>
      <c r="E530" s="56"/>
      <c r="F530" s="57"/>
      <c r="G530" s="78"/>
      <c r="H530" s="56"/>
      <c r="I530" s="56"/>
      <c r="J530" s="59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</row>
    <row r="531" spans="1:33" ht="61.5" customHeight="1" x14ac:dyDescent="0.25">
      <c r="A531" s="56"/>
      <c r="B531" s="56"/>
      <c r="C531" s="56"/>
      <c r="D531" s="56"/>
      <c r="E531" s="56"/>
      <c r="F531" s="57"/>
      <c r="G531" s="78"/>
      <c r="H531" s="56"/>
      <c r="I531" s="56"/>
      <c r="J531" s="59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</row>
    <row r="532" spans="1:33" ht="61.5" customHeight="1" x14ac:dyDescent="0.25">
      <c r="A532" s="56"/>
      <c r="B532" s="56"/>
      <c r="C532" s="56"/>
      <c r="D532" s="56"/>
      <c r="E532" s="56"/>
      <c r="F532" s="57"/>
      <c r="G532" s="78"/>
      <c r="H532" s="56"/>
      <c r="I532" s="56"/>
      <c r="J532" s="59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</row>
    <row r="533" spans="1:33" ht="61.5" customHeight="1" x14ac:dyDescent="0.25">
      <c r="A533" s="56"/>
      <c r="B533" s="56"/>
      <c r="C533" s="56"/>
      <c r="D533" s="56"/>
      <c r="E533" s="56"/>
      <c r="F533" s="57"/>
      <c r="G533" s="78"/>
      <c r="H533" s="56"/>
      <c r="I533" s="56"/>
      <c r="J533" s="59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</row>
    <row r="534" spans="1:33" ht="61.5" customHeight="1" x14ac:dyDescent="0.25">
      <c r="A534" s="56"/>
      <c r="B534" s="56"/>
      <c r="C534" s="56"/>
      <c r="D534" s="56"/>
      <c r="E534" s="56"/>
      <c r="F534" s="57"/>
      <c r="G534" s="78"/>
      <c r="H534" s="56"/>
      <c r="I534" s="56"/>
      <c r="J534" s="59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</row>
    <row r="535" spans="1:33" ht="61.5" customHeight="1" x14ac:dyDescent="0.25">
      <c r="A535" s="56"/>
      <c r="B535" s="56"/>
      <c r="C535" s="56"/>
      <c r="D535" s="56"/>
      <c r="E535" s="56"/>
      <c r="F535" s="57"/>
      <c r="G535" s="78"/>
      <c r="H535" s="56"/>
      <c r="I535" s="56"/>
      <c r="J535" s="59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</row>
    <row r="536" spans="1:33" ht="61.5" customHeight="1" x14ac:dyDescent="0.25">
      <c r="A536" s="56"/>
      <c r="B536" s="56"/>
      <c r="C536" s="56"/>
      <c r="D536" s="56"/>
      <c r="E536" s="56"/>
      <c r="F536" s="57"/>
      <c r="G536" s="78"/>
      <c r="H536" s="56"/>
      <c r="I536" s="56"/>
      <c r="J536" s="59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</row>
    <row r="537" spans="1:33" ht="61.5" customHeight="1" x14ac:dyDescent="0.25">
      <c r="A537" s="56"/>
      <c r="B537" s="56"/>
      <c r="C537" s="56"/>
      <c r="D537" s="56"/>
      <c r="E537" s="56"/>
      <c r="F537" s="57"/>
      <c r="G537" s="78"/>
      <c r="H537" s="56"/>
      <c r="I537" s="56"/>
      <c r="J537" s="59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</row>
    <row r="538" spans="1:33" ht="61.5" customHeight="1" x14ac:dyDescent="0.25">
      <c r="A538" s="56"/>
      <c r="B538" s="56"/>
      <c r="C538" s="56"/>
      <c r="D538" s="56"/>
      <c r="E538" s="56"/>
      <c r="F538" s="57"/>
      <c r="G538" s="78"/>
      <c r="H538" s="56"/>
      <c r="I538" s="56"/>
      <c r="J538" s="59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</row>
    <row r="539" spans="1:33" ht="61.5" customHeight="1" x14ac:dyDescent="0.25">
      <c r="A539" s="56"/>
      <c r="B539" s="56"/>
      <c r="C539" s="56"/>
      <c r="D539" s="56"/>
      <c r="E539" s="56"/>
      <c r="F539" s="57"/>
      <c r="G539" s="78"/>
      <c r="H539" s="56"/>
      <c r="I539" s="56"/>
      <c r="J539" s="59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</row>
    <row r="540" spans="1:33" ht="61.5" customHeight="1" x14ac:dyDescent="0.25">
      <c r="A540" s="56"/>
      <c r="B540" s="56"/>
      <c r="C540" s="56"/>
      <c r="D540" s="56"/>
      <c r="E540" s="56"/>
      <c r="F540" s="57"/>
      <c r="G540" s="78"/>
      <c r="H540" s="56"/>
      <c r="I540" s="56"/>
      <c r="J540" s="59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</row>
    <row r="541" spans="1:33" ht="61.5" customHeight="1" x14ac:dyDescent="0.25">
      <c r="A541" s="56"/>
      <c r="B541" s="56"/>
      <c r="C541" s="56"/>
      <c r="D541" s="56"/>
      <c r="E541" s="56"/>
      <c r="F541" s="57"/>
      <c r="G541" s="78"/>
      <c r="H541" s="56"/>
      <c r="I541" s="56"/>
      <c r="J541" s="59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</row>
    <row r="542" spans="1:33" ht="61.5" customHeight="1" x14ac:dyDescent="0.25">
      <c r="A542" s="56"/>
      <c r="B542" s="56"/>
      <c r="C542" s="56"/>
      <c r="D542" s="56"/>
      <c r="E542" s="56"/>
      <c r="F542" s="57"/>
      <c r="G542" s="78"/>
      <c r="H542" s="56"/>
      <c r="I542" s="56"/>
      <c r="J542" s="59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</row>
    <row r="543" spans="1:33" ht="61.5" customHeight="1" x14ac:dyDescent="0.25">
      <c r="A543" s="56"/>
      <c r="B543" s="56"/>
      <c r="C543" s="56"/>
      <c r="D543" s="56"/>
      <c r="E543" s="56"/>
      <c r="F543" s="57"/>
      <c r="G543" s="78"/>
      <c r="H543" s="56"/>
      <c r="I543" s="56"/>
      <c r="J543" s="59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</row>
    <row r="544" spans="1:33" ht="61.5" customHeight="1" x14ac:dyDescent="0.25">
      <c r="A544" s="56"/>
      <c r="B544" s="56"/>
      <c r="C544" s="56"/>
      <c r="D544" s="56"/>
      <c r="E544" s="56"/>
      <c r="F544" s="57"/>
      <c r="G544" s="78"/>
      <c r="H544" s="56"/>
      <c r="I544" s="56"/>
      <c r="J544" s="59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</row>
    <row r="545" spans="1:33" ht="61.5" customHeight="1" x14ac:dyDescent="0.25">
      <c r="A545" s="56"/>
      <c r="B545" s="56"/>
      <c r="C545" s="56"/>
      <c r="D545" s="56"/>
      <c r="E545" s="56"/>
      <c r="F545" s="57"/>
      <c r="G545" s="78"/>
      <c r="H545" s="56"/>
      <c r="I545" s="56"/>
      <c r="J545" s="59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</row>
    <row r="546" spans="1:33" ht="61.5" customHeight="1" x14ac:dyDescent="0.25">
      <c r="A546" s="56"/>
      <c r="B546" s="56"/>
      <c r="C546" s="56"/>
      <c r="D546" s="56"/>
      <c r="E546" s="56"/>
      <c r="F546" s="57"/>
      <c r="G546" s="78"/>
      <c r="H546" s="56"/>
      <c r="I546" s="56"/>
      <c r="J546" s="59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</row>
    <row r="547" spans="1:33" ht="61.5" customHeight="1" x14ac:dyDescent="0.25">
      <c r="A547" s="56"/>
      <c r="B547" s="56"/>
      <c r="C547" s="56"/>
      <c r="D547" s="56"/>
      <c r="E547" s="56"/>
      <c r="F547" s="57"/>
      <c r="G547" s="78"/>
      <c r="H547" s="56"/>
      <c r="I547" s="56"/>
      <c r="J547" s="59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</row>
    <row r="548" spans="1:33" ht="61.5" customHeight="1" x14ac:dyDescent="0.25">
      <c r="A548" s="56"/>
      <c r="B548" s="56"/>
      <c r="C548" s="56"/>
      <c r="D548" s="56"/>
      <c r="E548" s="56"/>
      <c r="F548" s="57"/>
      <c r="G548" s="78"/>
      <c r="H548" s="56"/>
      <c r="I548" s="56"/>
      <c r="J548" s="59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</row>
    <row r="549" spans="1:33" ht="61.5" customHeight="1" x14ac:dyDescent="0.25">
      <c r="A549" s="56"/>
      <c r="B549" s="56"/>
      <c r="C549" s="56"/>
      <c r="D549" s="56"/>
      <c r="E549" s="56"/>
      <c r="F549" s="57"/>
      <c r="G549" s="78"/>
      <c r="H549" s="56"/>
      <c r="I549" s="56"/>
      <c r="J549" s="59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</row>
    <row r="550" spans="1:33" ht="61.5" customHeight="1" x14ac:dyDescent="0.25">
      <c r="A550" s="56"/>
      <c r="B550" s="56"/>
      <c r="C550" s="56"/>
      <c r="D550" s="56"/>
      <c r="E550" s="56"/>
      <c r="F550" s="57"/>
      <c r="G550" s="78"/>
      <c r="H550" s="56"/>
      <c r="I550" s="56"/>
      <c r="J550" s="59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</row>
    <row r="551" spans="1:33" ht="61.5" customHeight="1" x14ac:dyDescent="0.25">
      <c r="A551" s="56"/>
      <c r="B551" s="56"/>
      <c r="C551" s="56"/>
      <c r="D551" s="56"/>
      <c r="E551" s="56"/>
      <c r="F551" s="57"/>
      <c r="G551" s="78"/>
      <c r="H551" s="56"/>
      <c r="I551" s="56"/>
      <c r="J551" s="59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</row>
    <row r="552" spans="1:33" ht="61.5" customHeight="1" x14ac:dyDescent="0.25">
      <c r="A552" s="56"/>
      <c r="B552" s="56"/>
      <c r="C552" s="56"/>
      <c r="D552" s="56"/>
      <c r="E552" s="56"/>
      <c r="F552" s="57"/>
      <c r="G552" s="78"/>
      <c r="H552" s="56"/>
      <c r="I552" s="56"/>
      <c r="J552" s="59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</row>
    <row r="553" spans="1:33" ht="61.5" customHeight="1" x14ac:dyDescent="0.25">
      <c r="A553" s="56"/>
      <c r="B553" s="56"/>
      <c r="C553" s="56"/>
      <c r="D553" s="56"/>
      <c r="E553" s="56"/>
      <c r="F553" s="57"/>
      <c r="G553" s="78"/>
      <c r="H553" s="56"/>
      <c r="I553" s="56"/>
      <c r="J553" s="59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</row>
    <row r="554" spans="1:33" ht="61.5" customHeight="1" x14ac:dyDescent="0.25">
      <c r="A554" s="56"/>
      <c r="B554" s="56"/>
      <c r="C554" s="56"/>
      <c r="D554" s="56"/>
      <c r="E554" s="56"/>
      <c r="F554" s="57"/>
      <c r="G554" s="78"/>
      <c r="H554" s="56"/>
      <c r="I554" s="56"/>
      <c r="J554" s="59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</row>
    <row r="555" spans="1:33" ht="61.5" customHeight="1" x14ac:dyDescent="0.25">
      <c r="A555" s="56"/>
      <c r="B555" s="56"/>
      <c r="C555" s="56"/>
      <c r="D555" s="56"/>
      <c r="E555" s="56"/>
      <c r="F555" s="57"/>
      <c r="G555" s="78"/>
      <c r="H555" s="56"/>
      <c r="I555" s="56"/>
      <c r="J555" s="59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</row>
    <row r="556" spans="1:33" ht="61.5" customHeight="1" x14ac:dyDescent="0.25">
      <c r="A556" s="56"/>
      <c r="B556" s="56"/>
      <c r="C556" s="56"/>
      <c r="D556" s="56"/>
      <c r="E556" s="56"/>
      <c r="F556" s="57"/>
      <c r="G556" s="78"/>
      <c r="H556" s="56"/>
      <c r="I556" s="56"/>
      <c r="J556" s="59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</row>
    <row r="557" spans="1:33" ht="61.5" customHeight="1" x14ac:dyDescent="0.25">
      <c r="A557" s="56"/>
      <c r="B557" s="56"/>
      <c r="C557" s="56"/>
      <c r="D557" s="56"/>
      <c r="E557" s="56"/>
      <c r="F557" s="57"/>
      <c r="G557" s="78"/>
      <c r="H557" s="56"/>
      <c r="I557" s="56"/>
      <c r="J557" s="59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</row>
    <row r="558" spans="1:33" ht="61.5" customHeight="1" x14ac:dyDescent="0.25">
      <c r="A558" s="56"/>
      <c r="B558" s="56"/>
      <c r="C558" s="56"/>
      <c r="D558" s="56"/>
      <c r="E558" s="56"/>
      <c r="F558" s="57"/>
      <c r="G558" s="78"/>
      <c r="H558" s="56"/>
      <c r="I558" s="56"/>
      <c r="J558" s="59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</row>
    <row r="559" spans="1:33" ht="61.5" customHeight="1" x14ac:dyDescent="0.25">
      <c r="A559" s="56"/>
      <c r="B559" s="56"/>
      <c r="C559" s="56"/>
      <c r="D559" s="56"/>
      <c r="E559" s="56"/>
      <c r="F559" s="57"/>
      <c r="G559" s="78"/>
      <c r="H559" s="56"/>
      <c r="I559" s="56"/>
      <c r="J559" s="59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</row>
    <row r="560" spans="1:33" ht="61.5" customHeight="1" x14ac:dyDescent="0.25">
      <c r="A560" s="56"/>
      <c r="B560" s="56"/>
      <c r="C560" s="56"/>
      <c r="D560" s="56"/>
      <c r="E560" s="56"/>
      <c r="F560" s="57"/>
      <c r="G560" s="78"/>
      <c r="H560" s="56"/>
      <c r="I560" s="56"/>
      <c r="J560" s="59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</row>
    <row r="561" spans="1:33" ht="61.5" customHeight="1" x14ac:dyDescent="0.25">
      <c r="A561" s="56"/>
      <c r="B561" s="56"/>
      <c r="C561" s="56"/>
      <c r="D561" s="56"/>
      <c r="E561" s="56"/>
      <c r="F561" s="57"/>
      <c r="G561" s="78"/>
      <c r="H561" s="56"/>
      <c r="I561" s="56"/>
      <c r="J561" s="59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</row>
    <row r="562" spans="1:33" ht="61.5" customHeight="1" x14ac:dyDescent="0.25">
      <c r="A562" s="56"/>
      <c r="B562" s="56"/>
      <c r="C562" s="56"/>
      <c r="D562" s="56"/>
      <c r="E562" s="56"/>
      <c r="F562" s="57"/>
      <c r="G562" s="78"/>
      <c r="H562" s="56"/>
      <c r="I562" s="56"/>
      <c r="J562" s="59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</row>
    <row r="563" spans="1:33" ht="61.5" customHeight="1" x14ac:dyDescent="0.25">
      <c r="A563" s="56"/>
      <c r="B563" s="56"/>
      <c r="C563" s="56"/>
      <c r="D563" s="56"/>
      <c r="E563" s="56"/>
      <c r="F563" s="57"/>
      <c r="G563" s="78"/>
      <c r="H563" s="56"/>
      <c r="I563" s="56"/>
      <c r="J563" s="59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</row>
    <row r="564" spans="1:33" ht="61.5" customHeight="1" x14ac:dyDescent="0.25">
      <c r="A564" s="56"/>
      <c r="B564" s="56"/>
      <c r="C564" s="56"/>
      <c r="D564" s="56"/>
      <c r="E564" s="56"/>
      <c r="F564" s="57"/>
      <c r="G564" s="78"/>
      <c r="H564" s="56"/>
      <c r="I564" s="56"/>
      <c r="J564" s="59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</row>
    <row r="565" spans="1:33" ht="61.5" customHeight="1" x14ac:dyDescent="0.25">
      <c r="A565" s="56"/>
      <c r="B565" s="56"/>
      <c r="C565" s="56"/>
      <c r="D565" s="56"/>
      <c r="E565" s="56"/>
      <c r="F565" s="57"/>
      <c r="G565" s="78"/>
      <c r="H565" s="56"/>
      <c r="I565" s="56"/>
      <c r="J565" s="59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</row>
    <row r="566" spans="1:33" ht="61.5" customHeight="1" x14ac:dyDescent="0.25">
      <c r="A566" s="56"/>
      <c r="B566" s="56"/>
      <c r="C566" s="56"/>
      <c r="D566" s="56"/>
      <c r="E566" s="56"/>
      <c r="F566" s="57"/>
      <c r="G566" s="78"/>
      <c r="H566" s="56"/>
      <c r="I566" s="56"/>
      <c r="J566" s="59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</row>
    <row r="567" spans="1:33" ht="61.5" customHeight="1" x14ac:dyDescent="0.25">
      <c r="A567" s="56"/>
      <c r="B567" s="56"/>
      <c r="C567" s="56"/>
      <c r="D567" s="56"/>
      <c r="E567" s="56"/>
      <c r="F567" s="57"/>
      <c r="G567" s="78"/>
      <c r="H567" s="56"/>
      <c r="I567" s="56"/>
      <c r="J567" s="59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</row>
    <row r="568" spans="1:33" ht="61.5" customHeight="1" x14ac:dyDescent="0.25">
      <c r="A568" s="56"/>
      <c r="B568" s="56"/>
      <c r="C568" s="56"/>
      <c r="D568" s="56"/>
      <c r="E568" s="56"/>
      <c r="F568" s="57"/>
      <c r="G568" s="78"/>
      <c r="H568" s="56"/>
      <c r="I568" s="56"/>
      <c r="J568" s="59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</row>
    <row r="569" spans="1:33" ht="61.5" customHeight="1" x14ac:dyDescent="0.25">
      <c r="A569" s="56"/>
      <c r="B569" s="56"/>
      <c r="C569" s="56"/>
      <c r="D569" s="56"/>
      <c r="E569" s="56"/>
      <c r="F569" s="57"/>
      <c r="G569" s="78"/>
      <c r="H569" s="56"/>
      <c r="I569" s="56"/>
      <c r="J569" s="59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</row>
    <row r="570" spans="1:33" ht="61.5" customHeight="1" x14ac:dyDescent="0.25">
      <c r="A570" s="56"/>
      <c r="B570" s="56"/>
      <c r="C570" s="56"/>
      <c r="D570" s="56"/>
      <c r="E570" s="56"/>
      <c r="F570" s="57"/>
      <c r="G570" s="78"/>
      <c r="H570" s="56"/>
      <c r="I570" s="56"/>
      <c r="J570" s="59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</row>
    <row r="571" spans="1:33" ht="61.5" customHeight="1" x14ac:dyDescent="0.25">
      <c r="A571" s="56"/>
      <c r="B571" s="56"/>
      <c r="C571" s="56"/>
      <c r="D571" s="56"/>
      <c r="E571" s="56"/>
      <c r="F571" s="57"/>
      <c r="G571" s="78"/>
      <c r="H571" s="56"/>
      <c r="I571" s="56"/>
      <c r="J571" s="59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</row>
    <row r="572" spans="1:33" ht="61.5" customHeight="1" x14ac:dyDescent="0.25">
      <c r="A572" s="56"/>
      <c r="B572" s="56"/>
      <c r="C572" s="56"/>
      <c r="D572" s="56"/>
      <c r="E572" s="56"/>
      <c r="F572" s="57"/>
      <c r="G572" s="78"/>
      <c r="H572" s="56"/>
      <c r="I572" s="56"/>
      <c r="J572" s="59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</row>
    <row r="573" spans="1:33" ht="61.5" customHeight="1" x14ac:dyDescent="0.25">
      <c r="A573" s="56"/>
      <c r="B573" s="56"/>
      <c r="C573" s="56"/>
      <c r="D573" s="56"/>
      <c r="E573" s="56"/>
      <c r="F573" s="57"/>
      <c r="G573" s="78"/>
      <c r="H573" s="56"/>
      <c r="I573" s="56"/>
      <c r="J573" s="59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</row>
    <row r="574" spans="1:33" ht="61.5" customHeight="1" x14ac:dyDescent="0.25">
      <c r="A574" s="56"/>
      <c r="B574" s="56"/>
      <c r="C574" s="56"/>
      <c r="D574" s="56"/>
      <c r="E574" s="56"/>
      <c r="F574" s="57"/>
      <c r="G574" s="78"/>
      <c r="H574" s="56"/>
      <c r="I574" s="56"/>
      <c r="J574" s="59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</row>
    <row r="575" spans="1:33" ht="61.5" customHeight="1" x14ac:dyDescent="0.25">
      <c r="A575" s="56"/>
      <c r="B575" s="56"/>
      <c r="C575" s="56"/>
      <c r="D575" s="56"/>
      <c r="E575" s="56"/>
      <c r="F575" s="57"/>
      <c r="G575" s="78"/>
      <c r="H575" s="56"/>
      <c r="I575" s="56"/>
      <c r="J575" s="59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</row>
    <row r="576" spans="1:33" ht="61.5" customHeight="1" x14ac:dyDescent="0.25">
      <c r="A576" s="56"/>
      <c r="B576" s="56"/>
      <c r="C576" s="56"/>
      <c r="D576" s="56"/>
      <c r="E576" s="56"/>
      <c r="F576" s="57"/>
      <c r="G576" s="78"/>
      <c r="H576" s="56"/>
      <c r="I576" s="56"/>
      <c r="J576" s="59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</row>
    <row r="577" spans="1:33" ht="61.5" customHeight="1" x14ac:dyDescent="0.25">
      <c r="A577" s="56"/>
      <c r="B577" s="56"/>
      <c r="C577" s="56"/>
      <c r="D577" s="56"/>
      <c r="E577" s="56"/>
      <c r="F577" s="57"/>
      <c r="G577" s="78"/>
      <c r="H577" s="56"/>
      <c r="I577" s="56"/>
      <c r="J577" s="59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</row>
    <row r="578" spans="1:33" ht="61.5" customHeight="1" x14ac:dyDescent="0.25">
      <c r="A578" s="56"/>
      <c r="B578" s="56"/>
      <c r="C578" s="56"/>
      <c r="D578" s="56"/>
      <c r="E578" s="56"/>
      <c r="F578" s="57"/>
      <c r="G578" s="78"/>
      <c r="H578" s="56"/>
      <c r="I578" s="56"/>
      <c r="J578" s="59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</row>
    <row r="579" spans="1:33" ht="61.5" customHeight="1" x14ac:dyDescent="0.25">
      <c r="A579" s="56"/>
      <c r="B579" s="56"/>
      <c r="C579" s="56"/>
      <c r="D579" s="56"/>
      <c r="E579" s="56"/>
      <c r="F579" s="57"/>
      <c r="G579" s="78"/>
      <c r="H579" s="56"/>
      <c r="I579" s="56"/>
      <c r="J579" s="59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</row>
    <row r="580" spans="1:33" ht="61.5" customHeight="1" x14ac:dyDescent="0.25">
      <c r="A580" s="56"/>
      <c r="B580" s="56"/>
      <c r="C580" s="56"/>
      <c r="D580" s="56"/>
      <c r="E580" s="56"/>
      <c r="F580" s="57"/>
      <c r="G580" s="78"/>
      <c r="H580" s="56"/>
      <c r="I580" s="56"/>
      <c r="J580" s="59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</row>
    <row r="581" spans="1:33" ht="61.5" customHeight="1" x14ac:dyDescent="0.25">
      <c r="A581" s="56"/>
      <c r="B581" s="56"/>
      <c r="C581" s="56"/>
      <c r="D581" s="56"/>
      <c r="E581" s="56"/>
      <c r="F581" s="57"/>
      <c r="G581" s="78"/>
      <c r="H581" s="56"/>
      <c r="I581" s="56"/>
      <c r="J581" s="59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</row>
    <row r="582" spans="1:33" ht="61.5" customHeight="1" x14ac:dyDescent="0.25">
      <c r="A582" s="56"/>
      <c r="B582" s="56"/>
      <c r="C582" s="56"/>
      <c r="D582" s="56"/>
      <c r="E582" s="56"/>
      <c r="F582" s="57"/>
      <c r="G582" s="78"/>
      <c r="H582" s="56"/>
      <c r="I582" s="56"/>
      <c r="J582" s="59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</row>
    <row r="583" spans="1:33" ht="61.5" customHeight="1" x14ac:dyDescent="0.25">
      <c r="A583" s="56"/>
      <c r="B583" s="56"/>
      <c r="C583" s="56"/>
      <c r="D583" s="56"/>
      <c r="E583" s="56"/>
      <c r="F583" s="57"/>
      <c r="G583" s="78"/>
      <c r="H583" s="56"/>
      <c r="I583" s="56"/>
      <c r="J583" s="59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</row>
    <row r="584" spans="1:33" ht="61.5" customHeight="1" x14ac:dyDescent="0.25">
      <c r="A584" s="56"/>
      <c r="B584" s="56"/>
      <c r="C584" s="56"/>
      <c r="D584" s="56"/>
      <c r="E584" s="56"/>
      <c r="F584" s="57"/>
      <c r="G584" s="78"/>
      <c r="H584" s="56"/>
      <c r="I584" s="56"/>
      <c r="J584" s="59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</row>
    <row r="585" spans="1:33" ht="61.5" customHeight="1" x14ac:dyDescent="0.25">
      <c r="A585" s="56"/>
      <c r="B585" s="56"/>
      <c r="C585" s="56"/>
      <c r="D585" s="56"/>
      <c r="E585" s="56"/>
      <c r="F585" s="57"/>
      <c r="G585" s="78"/>
      <c r="H585" s="56"/>
      <c r="I585" s="56"/>
      <c r="J585" s="59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</row>
    <row r="586" spans="1:33" ht="61.5" customHeight="1" x14ac:dyDescent="0.25">
      <c r="A586" s="56"/>
      <c r="B586" s="56"/>
      <c r="C586" s="56"/>
      <c r="D586" s="56"/>
      <c r="E586" s="56"/>
      <c r="F586" s="57"/>
      <c r="G586" s="78"/>
      <c r="H586" s="56"/>
      <c r="I586" s="56"/>
      <c r="J586" s="59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</row>
    <row r="587" spans="1:33" ht="61.5" customHeight="1" x14ac:dyDescent="0.25">
      <c r="A587" s="56"/>
      <c r="B587" s="56"/>
      <c r="C587" s="56"/>
      <c r="D587" s="56"/>
      <c r="E587" s="56"/>
      <c r="F587" s="57"/>
      <c r="G587" s="78"/>
      <c r="H587" s="56"/>
      <c r="I587" s="56"/>
      <c r="J587" s="59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</row>
    <row r="588" spans="1:33" ht="61.5" customHeight="1" x14ac:dyDescent="0.25">
      <c r="A588" s="56"/>
      <c r="B588" s="56"/>
      <c r="C588" s="56"/>
      <c r="D588" s="56"/>
      <c r="E588" s="56"/>
      <c r="F588" s="57"/>
      <c r="G588" s="78"/>
      <c r="H588" s="56"/>
      <c r="I588" s="56"/>
      <c r="J588" s="59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</row>
    <row r="589" spans="1:33" ht="61.5" customHeight="1" x14ac:dyDescent="0.25">
      <c r="A589" s="56"/>
      <c r="B589" s="56"/>
      <c r="C589" s="56"/>
      <c r="D589" s="56"/>
      <c r="E589" s="56"/>
      <c r="F589" s="57"/>
      <c r="G589" s="78"/>
      <c r="H589" s="56"/>
      <c r="I589" s="56"/>
      <c r="J589" s="59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</row>
    <row r="590" spans="1:33" ht="61.5" customHeight="1" x14ac:dyDescent="0.25">
      <c r="A590" s="56"/>
      <c r="B590" s="56"/>
      <c r="C590" s="56"/>
      <c r="D590" s="56"/>
      <c r="E590" s="56"/>
      <c r="F590" s="57"/>
      <c r="G590" s="78"/>
      <c r="H590" s="56"/>
      <c r="I590" s="56"/>
      <c r="J590" s="59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</row>
    <row r="591" spans="1:33" ht="61.5" customHeight="1" x14ac:dyDescent="0.25">
      <c r="A591" s="56"/>
      <c r="B591" s="56"/>
      <c r="C591" s="56"/>
      <c r="D591" s="56"/>
      <c r="E591" s="56"/>
      <c r="F591" s="57"/>
      <c r="G591" s="78"/>
      <c r="H591" s="56"/>
      <c r="I591" s="56"/>
      <c r="J591" s="59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</row>
    <row r="592" spans="1:33" ht="61.5" customHeight="1" x14ac:dyDescent="0.25">
      <c r="A592" s="56"/>
      <c r="B592" s="56"/>
      <c r="C592" s="56"/>
      <c r="D592" s="56"/>
      <c r="E592" s="56"/>
      <c r="F592" s="57"/>
      <c r="G592" s="78"/>
      <c r="H592" s="56"/>
      <c r="I592" s="56"/>
      <c r="J592" s="59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</row>
    <row r="593" spans="1:33" ht="61.5" customHeight="1" x14ac:dyDescent="0.25">
      <c r="A593" s="56"/>
      <c r="B593" s="56"/>
      <c r="C593" s="56"/>
      <c r="D593" s="56"/>
      <c r="E593" s="56"/>
      <c r="F593" s="57"/>
      <c r="G593" s="78"/>
      <c r="H593" s="56"/>
      <c r="I593" s="56"/>
      <c r="J593" s="59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</row>
    <row r="594" spans="1:33" ht="61.5" customHeight="1" x14ac:dyDescent="0.25">
      <c r="A594" s="56"/>
      <c r="B594" s="56"/>
      <c r="C594" s="56"/>
      <c r="D594" s="56"/>
      <c r="E594" s="56"/>
      <c r="F594" s="57"/>
      <c r="G594" s="78"/>
      <c r="H594" s="56"/>
      <c r="I594" s="56"/>
      <c r="J594" s="59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</row>
    <row r="595" spans="1:33" ht="61.5" customHeight="1" x14ac:dyDescent="0.25">
      <c r="A595" s="56"/>
      <c r="B595" s="56"/>
      <c r="C595" s="56"/>
      <c r="D595" s="56"/>
      <c r="E595" s="56"/>
      <c r="F595" s="57"/>
      <c r="G595" s="78"/>
      <c r="H595" s="56"/>
      <c r="I595" s="56"/>
      <c r="J595" s="59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</row>
    <row r="596" spans="1:33" ht="61.5" customHeight="1" x14ac:dyDescent="0.25">
      <c r="A596" s="56"/>
      <c r="B596" s="56"/>
      <c r="C596" s="56"/>
      <c r="D596" s="56"/>
      <c r="E596" s="56"/>
      <c r="F596" s="57"/>
      <c r="G596" s="78"/>
      <c r="H596" s="56"/>
      <c r="I596" s="56"/>
      <c r="J596" s="59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</row>
    <row r="597" spans="1:33" ht="61.5" customHeight="1" x14ac:dyDescent="0.25">
      <c r="A597" s="56"/>
      <c r="B597" s="56"/>
      <c r="C597" s="56"/>
      <c r="D597" s="56"/>
      <c r="E597" s="56"/>
      <c r="F597" s="57"/>
      <c r="G597" s="78"/>
      <c r="H597" s="56"/>
      <c r="I597" s="56"/>
      <c r="J597" s="59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</row>
    <row r="598" spans="1:33" ht="61.5" customHeight="1" x14ac:dyDescent="0.25">
      <c r="A598" s="56"/>
      <c r="B598" s="56"/>
      <c r="C598" s="56"/>
      <c r="D598" s="56"/>
      <c r="E598" s="56"/>
      <c r="F598" s="57"/>
      <c r="G598" s="78"/>
      <c r="H598" s="56"/>
      <c r="I598" s="56"/>
      <c r="J598" s="59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</row>
    <row r="599" spans="1:33" ht="61.5" customHeight="1" x14ac:dyDescent="0.25">
      <c r="A599" s="56"/>
      <c r="B599" s="56"/>
      <c r="C599" s="56"/>
      <c r="D599" s="56"/>
      <c r="E599" s="56"/>
      <c r="F599" s="57"/>
      <c r="G599" s="78"/>
      <c r="H599" s="56"/>
      <c r="I599" s="56"/>
      <c r="J599" s="59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</row>
    <row r="600" spans="1:33" ht="61.5" customHeight="1" x14ac:dyDescent="0.25">
      <c r="A600" s="56"/>
      <c r="B600" s="56"/>
      <c r="C600" s="56"/>
      <c r="D600" s="56"/>
      <c r="E600" s="56"/>
      <c r="F600" s="57"/>
      <c r="G600" s="78"/>
      <c r="H600" s="56"/>
      <c r="I600" s="56"/>
      <c r="J600" s="59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</row>
    <row r="601" spans="1:33" ht="61.5" customHeight="1" x14ac:dyDescent="0.25">
      <c r="A601" s="56"/>
      <c r="B601" s="56"/>
      <c r="C601" s="56"/>
      <c r="D601" s="56"/>
      <c r="E601" s="56"/>
      <c r="F601" s="57"/>
      <c r="G601" s="78"/>
      <c r="H601" s="56"/>
      <c r="I601" s="56"/>
      <c r="J601" s="59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</row>
    <row r="602" spans="1:33" ht="61.5" customHeight="1" x14ac:dyDescent="0.25">
      <c r="A602" s="56"/>
      <c r="B602" s="56"/>
      <c r="C602" s="56"/>
      <c r="D602" s="56"/>
      <c r="E602" s="56"/>
      <c r="F602" s="57"/>
      <c r="G602" s="78"/>
      <c r="H602" s="56"/>
      <c r="I602" s="56"/>
      <c r="J602" s="59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</row>
    <row r="603" spans="1:33" ht="61.5" customHeight="1" x14ac:dyDescent="0.25">
      <c r="A603" s="56"/>
      <c r="B603" s="56"/>
      <c r="C603" s="56"/>
      <c r="D603" s="56"/>
      <c r="E603" s="56"/>
      <c r="F603" s="57"/>
      <c r="G603" s="78"/>
      <c r="H603" s="56"/>
      <c r="I603" s="56"/>
      <c r="J603" s="59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</row>
    <row r="604" spans="1:33" ht="61.5" customHeight="1" x14ac:dyDescent="0.25">
      <c r="A604" s="56"/>
      <c r="B604" s="56"/>
      <c r="C604" s="56"/>
      <c r="D604" s="56"/>
      <c r="E604" s="56"/>
      <c r="F604" s="57"/>
      <c r="G604" s="78"/>
      <c r="H604" s="56"/>
      <c r="I604" s="56"/>
      <c r="J604" s="59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</row>
    <row r="605" spans="1:33" ht="61.5" customHeight="1" x14ac:dyDescent="0.25">
      <c r="A605" s="56"/>
      <c r="B605" s="56"/>
      <c r="C605" s="56"/>
      <c r="D605" s="56"/>
      <c r="E605" s="56"/>
      <c r="F605" s="57"/>
      <c r="G605" s="78"/>
      <c r="H605" s="56"/>
      <c r="I605" s="56"/>
      <c r="J605" s="59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</row>
    <row r="606" spans="1:33" ht="61.5" customHeight="1" x14ac:dyDescent="0.25">
      <c r="A606" s="56"/>
      <c r="B606" s="56"/>
      <c r="C606" s="56"/>
      <c r="D606" s="56"/>
      <c r="E606" s="56"/>
      <c r="F606" s="57"/>
      <c r="G606" s="78"/>
      <c r="H606" s="56"/>
      <c r="I606" s="56"/>
      <c r="J606" s="59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</row>
    <row r="607" spans="1:33" ht="61.5" customHeight="1" x14ac:dyDescent="0.25">
      <c r="A607" s="56"/>
      <c r="B607" s="56"/>
      <c r="C607" s="56"/>
      <c r="D607" s="56"/>
      <c r="E607" s="56"/>
      <c r="F607" s="57"/>
      <c r="G607" s="78"/>
      <c r="H607" s="56"/>
      <c r="I607" s="56"/>
      <c r="J607" s="59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</row>
    <row r="608" spans="1:33" ht="61.5" customHeight="1" x14ac:dyDescent="0.25">
      <c r="A608" s="56"/>
      <c r="B608" s="56"/>
      <c r="C608" s="56"/>
      <c r="D608" s="56"/>
      <c r="E608" s="56"/>
      <c r="F608" s="57"/>
      <c r="G608" s="78"/>
      <c r="H608" s="56"/>
      <c r="I608" s="56"/>
      <c r="J608" s="59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</row>
    <row r="609" spans="1:33" ht="61.5" customHeight="1" x14ac:dyDescent="0.25">
      <c r="A609" s="56"/>
      <c r="B609" s="56"/>
      <c r="C609" s="56"/>
      <c r="D609" s="56"/>
      <c r="E609" s="56"/>
      <c r="F609" s="57"/>
      <c r="G609" s="78"/>
      <c r="H609" s="56"/>
      <c r="I609" s="56"/>
      <c r="J609" s="59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</row>
    <row r="610" spans="1:33" ht="61.5" customHeight="1" x14ac:dyDescent="0.25">
      <c r="A610" s="56"/>
      <c r="B610" s="56"/>
      <c r="C610" s="56"/>
      <c r="D610" s="56"/>
      <c r="E610" s="56"/>
      <c r="F610" s="57"/>
      <c r="G610" s="78"/>
      <c r="H610" s="56"/>
      <c r="I610" s="56"/>
      <c r="J610" s="59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</row>
    <row r="611" spans="1:33" ht="61.5" customHeight="1" x14ac:dyDescent="0.25">
      <c r="A611" s="56"/>
      <c r="B611" s="56"/>
      <c r="C611" s="56"/>
      <c r="D611" s="56"/>
      <c r="E611" s="56"/>
      <c r="F611" s="57"/>
      <c r="G611" s="78"/>
      <c r="H611" s="56"/>
      <c r="I611" s="56"/>
      <c r="J611" s="59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</row>
    <row r="612" spans="1:33" ht="61.5" customHeight="1" x14ac:dyDescent="0.25">
      <c r="A612" s="56"/>
      <c r="B612" s="56"/>
      <c r="C612" s="56"/>
      <c r="D612" s="56"/>
      <c r="E612" s="56"/>
      <c r="F612" s="57"/>
      <c r="G612" s="78"/>
      <c r="H612" s="56"/>
      <c r="I612" s="56"/>
      <c r="J612" s="59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</row>
    <row r="613" spans="1:33" ht="61.5" customHeight="1" x14ac:dyDescent="0.25">
      <c r="A613" s="56"/>
      <c r="B613" s="56"/>
      <c r="C613" s="56"/>
      <c r="D613" s="56"/>
      <c r="E613" s="56"/>
      <c r="F613" s="57"/>
      <c r="G613" s="78"/>
      <c r="H613" s="56"/>
      <c r="I613" s="56"/>
      <c r="J613" s="59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</row>
    <row r="614" spans="1:33" ht="61.5" customHeight="1" x14ac:dyDescent="0.25">
      <c r="A614" s="56"/>
      <c r="B614" s="56"/>
      <c r="C614" s="56"/>
      <c r="D614" s="56"/>
      <c r="E614" s="56"/>
      <c r="F614" s="57"/>
      <c r="G614" s="78"/>
      <c r="H614" s="56"/>
      <c r="I614" s="56"/>
      <c r="J614" s="59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</row>
    <row r="615" spans="1:33" ht="61.5" customHeight="1" x14ac:dyDescent="0.25">
      <c r="A615" s="56"/>
      <c r="B615" s="56"/>
      <c r="C615" s="56"/>
      <c r="D615" s="56"/>
      <c r="E615" s="56"/>
      <c r="F615" s="57"/>
      <c r="G615" s="78"/>
      <c r="H615" s="56"/>
      <c r="I615" s="56"/>
      <c r="J615" s="59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</row>
    <row r="616" spans="1:33" ht="61.5" customHeight="1" x14ac:dyDescent="0.25">
      <c r="A616" s="56"/>
      <c r="B616" s="56"/>
      <c r="C616" s="56"/>
      <c r="D616" s="56"/>
      <c r="E616" s="56"/>
      <c r="F616" s="57"/>
      <c r="G616" s="78"/>
      <c r="H616" s="56"/>
      <c r="I616" s="56"/>
      <c r="J616" s="59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</row>
    <row r="617" spans="1:33" ht="61.5" customHeight="1" x14ac:dyDescent="0.25">
      <c r="A617" s="56"/>
      <c r="B617" s="56"/>
      <c r="C617" s="56"/>
      <c r="D617" s="56"/>
      <c r="E617" s="56"/>
      <c r="F617" s="57"/>
      <c r="G617" s="78"/>
      <c r="H617" s="56"/>
      <c r="I617" s="56"/>
      <c r="J617" s="59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</row>
    <row r="618" spans="1:33" ht="61.5" customHeight="1" x14ac:dyDescent="0.25">
      <c r="A618" s="56"/>
      <c r="B618" s="56"/>
      <c r="C618" s="56"/>
      <c r="D618" s="56"/>
      <c r="E618" s="56"/>
      <c r="F618" s="57"/>
      <c r="G618" s="78"/>
      <c r="H618" s="56"/>
      <c r="I618" s="56"/>
      <c r="J618" s="59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</row>
    <row r="619" spans="1:33" ht="61.5" customHeight="1" x14ac:dyDescent="0.25">
      <c r="A619" s="56"/>
      <c r="B619" s="56"/>
      <c r="C619" s="56"/>
      <c r="D619" s="56"/>
      <c r="E619" s="56"/>
      <c r="F619" s="57"/>
      <c r="G619" s="78"/>
      <c r="H619" s="56"/>
      <c r="I619" s="56"/>
      <c r="J619" s="59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</row>
    <row r="620" spans="1:33" ht="61.5" customHeight="1" x14ac:dyDescent="0.25">
      <c r="A620" s="56"/>
      <c r="B620" s="56"/>
      <c r="C620" s="56"/>
      <c r="D620" s="56"/>
      <c r="E620" s="56"/>
      <c r="F620" s="57"/>
      <c r="G620" s="78"/>
      <c r="H620" s="56"/>
      <c r="I620" s="56"/>
      <c r="J620" s="59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</row>
    <row r="621" spans="1:33" ht="61.5" customHeight="1" x14ac:dyDescent="0.25">
      <c r="A621" s="56"/>
      <c r="B621" s="56"/>
      <c r="C621" s="56"/>
      <c r="D621" s="56"/>
      <c r="E621" s="56"/>
      <c r="F621" s="57"/>
      <c r="G621" s="78"/>
      <c r="H621" s="56"/>
      <c r="I621" s="56"/>
      <c r="J621" s="59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</row>
    <row r="622" spans="1:33" ht="61.5" customHeight="1" x14ac:dyDescent="0.25">
      <c r="A622" s="56"/>
      <c r="B622" s="56"/>
      <c r="C622" s="56"/>
      <c r="D622" s="56"/>
      <c r="E622" s="56"/>
      <c r="F622" s="57"/>
      <c r="G622" s="78"/>
      <c r="H622" s="56"/>
      <c r="I622" s="56"/>
      <c r="J622" s="59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</row>
    <row r="623" spans="1:33" ht="61.5" customHeight="1" x14ac:dyDescent="0.25">
      <c r="A623" s="56"/>
      <c r="B623" s="56"/>
      <c r="C623" s="56"/>
      <c r="D623" s="56"/>
      <c r="E623" s="56"/>
      <c r="F623" s="57"/>
      <c r="G623" s="78"/>
      <c r="H623" s="56"/>
      <c r="I623" s="56"/>
      <c r="J623" s="59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</row>
    <row r="624" spans="1:33" ht="61.5" customHeight="1" x14ac:dyDescent="0.25">
      <c r="A624" s="56"/>
      <c r="B624" s="56"/>
      <c r="C624" s="56"/>
      <c r="D624" s="56"/>
      <c r="E624" s="56"/>
      <c r="F624" s="57"/>
      <c r="G624" s="78"/>
      <c r="H624" s="56"/>
      <c r="I624" s="56"/>
      <c r="J624" s="59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</row>
    <row r="625" spans="1:33" ht="61.5" customHeight="1" x14ac:dyDescent="0.25">
      <c r="A625" s="56"/>
      <c r="B625" s="56"/>
      <c r="C625" s="56"/>
      <c r="D625" s="56"/>
      <c r="E625" s="56"/>
      <c r="F625" s="57"/>
      <c r="G625" s="78"/>
      <c r="H625" s="56"/>
      <c r="I625" s="56"/>
      <c r="J625" s="59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</row>
    <row r="626" spans="1:33" ht="61.5" customHeight="1" x14ac:dyDescent="0.25">
      <c r="A626" s="56"/>
      <c r="B626" s="56"/>
      <c r="C626" s="56"/>
      <c r="D626" s="56"/>
      <c r="E626" s="56"/>
      <c r="F626" s="57"/>
      <c r="G626" s="78"/>
      <c r="H626" s="56"/>
      <c r="I626" s="56"/>
      <c r="J626" s="59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</row>
    <row r="627" spans="1:33" ht="61.5" customHeight="1" x14ac:dyDescent="0.25">
      <c r="A627" s="56"/>
      <c r="B627" s="56"/>
      <c r="C627" s="56"/>
      <c r="D627" s="56"/>
      <c r="E627" s="56"/>
      <c r="F627" s="57"/>
      <c r="G627" s="78"/>
      <c r="H627" s="56"/>
      <c r="I627" s="56"/>
      <c r="J627" s="59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</row>
    <row r="628" spans="1:33" ht="61.5" customHeight="1" x14ac:dyDescent="0.25">
      <c r="A628" s="56"/>
      <c r="B628" s="56"/>
      <c r="C628" s="56"/>
      <c r="D628" s="56"/>
      <c r="E628" s="56"/>
      <c r="F628" s="57"/>
      <c r="G628" s="78"/>
      <c r="H628" s="56"/>
      <c r="I628" s="56"/>
      <c r="J628" s="59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</row>
    <row r="629" spans="1:33" ht="61.5" customHeight="1" x14ac:dyDescent="0.25">
      <c r="A629" s="56"/>
      <c r="B629" s="56"/>
      <c r="C629" s="56"/>
      <c r="D629" s="56"/>
      <c r="E629" s="56"/>
      <c r="F629" s="57"/>
      <c r="G629" s="78"/>
      <c r="H629" s="56"/>
      <c r="I629" s="56"/>
      <c r="J629" s="59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</row>
    <row r="630" spans="1:33" ht="61.5" customHeight="1" x14ac:dyDescent="0.25">
      <c r="A630" s="56"/>
      <c r="B630" s="56"/>
      <c r="C630" s="56"/>
      <c r="D630" s="56"/>
      <c r="E630" s="56"/>
      <c r="F630" s="57"/>
      <c r="G630" s="78"/>
      <c r="H630" s="56"/>
      <c r="I630" s="56"/>
      <c r="J630" s="59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</row>
    <row r="631" spans="1:33" ht="61.5" customHeight="1" x14ac:dyDescent="0.25">
      <c r="A631" s="56"/>
      <c r="B631" s="56"/>
      <c r="C631" s="56"/>
      <c r="D631" s="56"/>
      <c r="E631" s="56"/>
      <c r="F631" s="57"/>
      <c r="G631" s="78"/>
      <c r="H631" s="56"/>
      <c r="I631" s="56"/>
      <c r="J631" s="59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</row>
    <row r="632" spans="1:33" ht="61.5" customHeight="1" x14ac:dyDescent="0.25">
      <c r="A632" s="56"/>
      <c r="B632" s="56"/>
      <c r="C632" s="56"/>
      <c r="D632" s="56"/>
      <c r="E632" s="56"/>
      <c r="F632" s="57"/>
      <c r="G632" s="78"/>
      <c r="H632" s="56"/>
      <c r="I632" s="56"/>
      <c r="J632" s="59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</row>
    <row r="633" spans="1:33" ht="61.5" customHeight="1" x14ac:dyDescent="0.25">
      <c r="A633" s="56"/>
      <c r="B633" s="56"/>
      <c r="C633" s="56"/>
      <c r="D633" s="56"/>
      <c r="E633" s="56"/>
      <c r="F633" s="57"/>
      <c r="G633" s="78"/>
      <c r="H633" s="56"/>
      <c r="I633" s="56"/>
      <c r="J633" s="59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</row>
    <row r="634" spans="1:33" ht="61.5" customHeight="1" x14ac:dyDescent="0.25">
      <c r="A634" s="56"/>
      <c r="B634" s="56"/>
      <c r="C634" s="56"/>
      <c r="D634" s="56"/>
      <c r="E634" s="56"/>
      <c r="F634" s="57"/>
      <c r="G634" s="78"/>
      <c r="H634" s="56"/>
      <c r="I634" s="56"/>
      <c r="J634" s="59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</row>
    <row r="635" spans="1:33" ht="61.5" customHeight="1" x14ac:dyDescent="0.25">
      <c r="A635" s="56"/>
      <c r="B635" s="56"/>
      <c r="C635" s="56"/>
      <c r="D635" s="56"/>
      <c r="E635" s="56"/>
      <c r="F635" s="57"/>
      <c r="G635" s="78"/>
      <c r="H635" s="56"/>
      <c r="I635" s="56"/>
      <c r="J635" s="59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</row>
    <row r="636" spans="1:33" ht="61.5" customHeight="1" x14ac:dyDescent="0.25">
      <c r="A636" s="56"/>
      <c r="B636" s="56"/>
      <c r="C636" s="56"/>
      <c r="D636" s="56"/>
      <c r="E636" s="56"/>
      <c r="F636" s="57"/>
      <c r="G636" s="78"/>
      <c r="H636" s="56"/>
      <c r="I636" s="56"/>
      <c r="J636" s="59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</row>
    <row r="637" spans="1:33" ht="61.5" customHeight="1" x14ac:dyDescent="0.25">
      <c r="A637" s="56"/>
      <c r="B637" s="56"/>
      <c r="C637" s="56"/>
      <c r="D637" s="56"/>
      <c r="E637" s="56"/>
      <c r="F637" s="57"/>
      <c r="G637" s="78"/>
      <c r="H637" s="56"/>
      <c r="I637" s="56"/>
      <c r="J637" s="59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</row>
    <row r="638" spans="1:33" ht="61.5" customHeight="1" x14ac:dyDescent="0.25">
      <c r="A638" s="56"/>
      <c r="B638" s="56"/>
      <c r="C638" s="56"/>
      <c r="D638" s="56"/>
      <c r="E638" s="56"/>
      <c r="F638" s="57"/>
      <c r="G638" s="78"/>
      <c r="H638" s="56"/>
      <c r="I638" s="56"/>
      <c r="J638" s="59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</row>
    <row r="639" spans="1:33" ht="61.5" customHeight="1" x14ac:dyDescent="0.25">
      <c r="A639" s="56"/>
      <c r="B639" s="56"/>
      <c r="C639" s="56"/>
      <c r="D639" s="56"/>
      <c r="E639" s="56"/>
      <c r="F639" s="57"/>
      <c r="G639" s="78"/>
      <c r="H639" s="56"/>
      <c r="I639" s="56"/>
      <c r="J639" s="59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</row>
    <row r="640" spans="1:33" ht="61.5" customHeight="1" x14ac:dyDescent="0.25">
      <c r="A640" s="56"/>
      <c r="B640" s="56"/>
      <c r="C640" s="56"/>
      <c r="D640" s="56"/>
      <c r="E640" s="56"/>
      <c r="F640" s="57"/>
      <c r="G640" s="78"/>
      <c r="H640" s="56"/>
      <c r="I640" s="56"/>
      <c r="J640" s="59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</row>
    <row r="641" spans="1:33" ht="61.5" customHeight="1" x14ac:dyDescent="0.25">
      <c r="A641" s="56"/>
      <c r="B641" s="56"/>
      <c r="C641" s="56"/>
      <c r="D641" s="56"/>
      <c r="E641" s="56"/>
      <c r="F641" s="57"/>
      <c r="G641" s="78"/>
      <c r="H641" s="56"/>
      <c r="I641" s="56"/>
      <c r="J641" s="59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</row>
    <row r="642" spans="1:33" ht="61.5" customHeight="1" x14ac:dyDescent="0.25">
      <c r="A642" s="56"/>
      <c r="B642" s="56"/>
      <c r="C642" s="56"/>
      <c r="D642" s="56"/>
      <c r="E642" s="56"/>
      <c r="F642" s="57"/>
      <c r="G642" s="78"/>
      <c r="H642" s="56"/>
      <c r="I642" s="56"/>
      <c r="J642" s="59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</row>
    <row r="643" spans="1:33" ht="61.5" customHeight="1" x14ac:dyDescent="0.25">
      <c r="A643" s="56"/>
      <c r="B643" s="56"/>
      <c r="C643" s="56"/>
      <c r="D643" s="56"/>
      <c r="E643" s="56"/>
      <c r="F643" s="57"/>
      <c r="G643" s="78"/>
      <c r="H643" s="56"/>
      <c r="I643" s="56"/>
      <c r="J643" s="59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</row>
    <row r="644" spans="1:33" ht="61.5" customHeight="1" x14ac:dyDescent="0.25">
      <c r="A644" s="56"/>
      <c r="B644" s="56"/>
      <c r="C644" s="56"/>
      <c r="D644" s="56"/>
      <c r="E644" s="56"/>
      <c r="F644" s="57"/>
      <c r="G644" s="78"/>
      <c r="H644" s="56"/>
      <c r="I644" s="56"/>
      <c r="J644" s="59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</row>
    <row r="645" spans="1:33" ht="61.5" customHeight="1" x14ac:dyDescent="0.25">
      <c r="A645" s="56"/>
      <c r="B645" s="56"/>
      <c r="C645" s="56"/>
      <c r="D645" s="56"/>
      <c r="E645" s="56"/>
      <c r="F645" s="57"/>
      <c r="G645" s="78"/>
      <c r="H645" s="56"/>
      <c r="I645" s="56"/>
      <c r="J645" s="59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</row>
    <row r="646" spans="1:33" ht="61.5" customHeight="1" x14ac:dyDescent="0.25">
      <c r="A646" s="56"/>
      <c r="B646" s="56"/>
      <c r="C646" s="56"/>
      <c r="D646" s="56"/>
      <c r="E646" s="56"/>
      <c r="F646" s="57"/>
      <c r="G646" s="78"/>
      <c r="H646" s="56"/>
      <c r="I646" s="56"/>
      <c r="J646" s="59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</row>
    <row r="647" spans="1:33" ht="61.5" customHeight="1" x14ac:dyDescent="0.25">
      <c r="A647" s="56"/>
      <c r="B647" s="56"/>
      <c r="C647" s="56"/>
      <c r="D647" s="56"/>
      <c r="E647" s="56"/>
      <c r="F647" s="57"/>
      <c r="G647" s="78"/>
      <c r="H647" s="56"/>
      <c r="I647" s="56"/>
      <c r="J647" s="59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</row>
    <row r="648" spans="1:33" ht="61.5" customHeight="1" x14ac:dyDescent="0.25">
      <c r="A648" s="56"/>
      <c r="B648" s="56"/>
      <c r="C648" s="56"/>
      <c r="D648" s="56"/>
      <c r="E648" s="56"/>
      <c r="F648" s="57"/>
      <c r="G648" s="78"/>
      <c r="H648" s="56"/>
      <c r="I648" s="56"/>
      <c r="J648" s="59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</row>
    <row r="649" spans="1:33" ht="61.5" customHeight="1" x14ac:dyDescent="0.25">
      <c r="A649" s="56"/>
      <c r="B649" s="56"/>
      <c r="C649" s="56"/>
      <c r="D649" s="56"/>
      <c r="E649" s="56"/>
      <c r="F649" s="57"/>
      <c r="G649" s="78"/>
      <c r="H649" s="56"/>
      <c r="I649" s="56"/>
      <c r="J649" s="59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</row>
    <row r="650" spans="1:33" ht="61.5" customHeight="1" x14ac:dyDescent="0.25">
      <c r="A650" s="56"/>
      <c r="B650" s="56"/>
      <c r="C650" s="56"/>
      <c r="D650" s="56"/>
      <c r="E650" s="56"/>
      <c r="F650" s="57"/>
      <c r="G650" s="78"/>
      <c r="H650" s="56"/>
      <c r="I650" s="56"/>
      <c r="J650" s="59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</row>
    <row r="651" spans="1:33" ht="61.5" customHeight="1" x14ac:dyDescent="0.25">
      <c r="A651" s="56"/>
      <c r="B651" s="56"/>
      <c r="C651" s="56"/>
      <c r="D651" s="56"/>
      <c r="E651" s="56"/>
      <c r="F651" s="57"/>
      <c r="G651" s="78"/>
      <c r="H651" s="56"/>
      <c r="I651" s="56"/>
      <c r="J651" s="59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</row>
    <row r="652" spans="1:33" ht="61.5" customHeight="1" x14ac:dyDescent="0.25">
      <c r="A652" s="56"/>
      <c r="B652" s="56"/>
      <c r="C652" s="56"/>
      <c r="D652" s="56"/>
      <c r="E652" s="56"/>
      <c r="F652" s="57"/>
      <c r="G652" s="78"/>
      <c r="H652" s="56"/>
      <c r="I652" s="56"/>
      <c r="J652" s="59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</row>
    <row r="653" spans="1:33" ht="61.5" customHeight="1" x14ac:dyDescent="0.25">
      <c r="A653" s="56"/>
      <c r="B653" s="56"/>
      <c r="C653" s="56"/>
      <c r="D653" s="56"/>
      <c r="E653" s="56"/>
      <c r="F653" s="57"/>
      <c r="G653" s="78"/>
      <c r="H653" s="56"/>
      <c r="I653" s="56"/>
      <c r="J653" s="59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</row>
    <row r="654" spans="1:33" ht="61.5" customHeight="1" x14ac:dyDescent="0.25">
      <c r="A654" s="56"/>
      <c r="B654" s="56"/>
      <c r="C654" s="56"/>
      <c r="D654" s="56"/>
      <c r="E654" s="56"/>
      <c r="F654" s="57"/>
      <c r="G654" s="78"/>
      <c r="H654" s="56"/>
      <c r="I654" s="56"/>
      <c r="J654" s="59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</row>
    <row r="655" spans="1:33" ht="61.5" customHeight="1" x14ac:dyDescent="0.25">
      <c r="A655" s="56"/>
      <c r="B655" s="56"/>
      <c r="C655" s="56"/>
      <c r="D655" s="56"/>
      <c r="E655" s="56"/>
      <c r="F655" s="57"/>
      <c r="G655" s="78"/>
      <c r="H655" s="56"/>
      <c r="I655" s="56"/>
      <c r="J655" s="59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</row>
    <row r="656" spans="1:33" ht="61.5" customHeight="1" x14ac:dyDescent="0.25">
      <c r="A656" s="56"/>
      <c r="B656" s="56"/>
      <c r="C656" s="56"/>
      <c r="D656" s="56"/>
      <c r="E656" s="56"/>
      <c r="F656" s="57"/>
      <c r="G656" s="78"/>
      <c r="H656" s="56"/>
      <c r="I656" s="56"/>
      <c r="J656" s="59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</row>
    <row r="657" spans="1:33" ht="61.5" customHeight="1" x14ac:dyDescent="0.25">
      <c r="A657" s="56"/>
      <c r="B657" s="56"/>
      <c r="C657" s="56"/>
      <c r="D657" s="56"/>
      <c r="E657" s="56"/>
      <c r="F657" s="57"/>
      <c r="G657" s="78"/>
      <c r="H657" s="56"/>
      <c r="I657" s="56"/>
      <c r="J657" s="59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</row>
    <row r="658" spans="1:33" ht="61.5" customHeight="1" x14ac:dyDescent="0.25">
      <c r="A658" s="56"/>
      <c r="B658" s="56"/>
      <c r="C658" s="56"/>
      <c r="D658" s="56"/>
      <c r="E658" s="56"/>
      <c r="F658" s="57"/>
      <c r="G658" s="78"/>
      <c r="H658" s="56"/>
      <c r="I658" s="56"/>
      <c r="J658" s="59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</row>
    <row r="659" spans="1:33" ht="61.5" customHeight="1" x14ac:dyDescent="0.25">
      <c r="A659" s="56"/>
      <c r="B659" s="56"/>
      <c r="C659" s="56"/>
      <c r="D659" s="56"/>
      <c r="E659" s="56"/>
      <c r="F659" s="57"/>
      <c r="G659" s="78"/>
      <c r="H659" s="56"/>
      <c r="I659" s="56"/>
      <c r="J659" s="59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</row>
    <row r="660" spans="1:33" ht="61.5" customHeight="1" x14ac:dyDescent="0.25">
      <c r="A660" s="56"/>
      <c r="B660" s="56"/>
      <c r="C660" s="56"/>
      <c r="D660" s="56"/>
      <c r="E660" s="56"/>
      <c r="F660" s="57"/>
      <c r="G660" s="78"/>
      <c r="H660" s="56"/>
      <c r="I660" s="56"/>
      <c r="J660" s="59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</row>
    <row r="661" spans="1:33" ht="61.5" customHeight="1" x14ac:dyDescent="0.25">
      <c r="A661" s="56"/>
      <c r="B661" s="56"/>
      <c r="C661" s="56"/>
      <c r="D661" s="56"/>
      <c r="E661" s="56"/>
      <c r="F661" s="57"/>
      <c r="G661" s="78"/>
      <c r="H661" s="56"/>
      <c r="I661" s="56"/>
      <c r="J661" s="59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</row>
    <row r="662" spans="1:33" ht="61.5" customHeight="1" x14ac:dyDescent="0.25">
      <c r="A662" s="56"/>
      <c r="B662" s="56"/>
      <c r="C662" s="56"/>
      <c r="D662" s="56"/>
      <c r="E662" s="56"/>
      <c r="F662" s="57"/>
      <c r="G662" s="78"/>
      <c r="H662" s="56"/>
      <c r="I662" s="56"/>
      <c r="J662" s="59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</row>
    <row r="663" spans="1:33" ht="61.5" customHeight="1" x14ac:dyDescent="0.25">
      <c r="A663" s="56"/>
      <c r="B663" s="56"/>
      <c r="C663" s="56"/>
      <c r="D663" s="56"/>
      <c r="E663" s="56"/>
      <c r="F663" s="57"/>
      <c r="G663" s="78"/>
      <c r="H663" s="56"/>
      <c r="I663" s="56"/>
      <c r="J663" s="59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</row>
    <row r="664" spans="1:33" ht="61.5" customHeight="1" x14ac:dyDescent="0.25">
      <c r="A664" s="56"/>
      <c r="B664" s="56"/>
      <c r="C664" s="56"/>
      <c r="D664" s="56"/>
      <c r="E664" s="56"/>
      <c r="F664" s="57"/>
      <c r="G664" s="78"/>
      <c r="H664" s="56"/>
      <c r="I664" s="56"/>
      <c r="J664" s="59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</row>
    <row r="665" spans="1:33" ht="61.5" customHeight="1" x14ac:dyDescent="0.25">
      <c r="A665" s="56"/>
      <c r="B665" s="56"/>
      <c r="C665" s="56"/>
      <c r="D665" s="56"/>
      <c r="E665" s="56"/>
      <c r="F665" s="57"/>
      <c r="G665" s="78"/>
      <c r="H665" s="56"/>
      <c r="I665" s="56"/>
      <c r="J665" s="59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</row>
    <row r="666" spans="1:33" ht="61.5" customHeight="1" x14ac:dyDescent="0.25">
      <c r="A666" s="56"/>
      <c r="B666" s="56"/>
      <c r="C666" s="56"/>
      <c r="D666" s="56"/>
      <c r="E666" s="56"/>
      <c r="F666" s="57"/>
      <c r="G666" s="78"/>
      <c r="H666" s="56"/>
      <c r="I666" s="56"/>
      <c r="J666" s="59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</row>
    <row r="667" spans="1:33" ht="61.5" customHeight="1" x14ac:dyDescent="0.25">
      <c r="A667" s="56"/>
      <c r="B667" s="56"/>
      <c r="C667" s="56"/>
      <c r="D667" s="56"/>
      <c r="E667" s="56"/>
      <c r="F667" s="57"/>
      <c r="G667" s="78"/>
      <c r="H667" s="56"/>
      <c r="I667" s="56"/>
      <c r="J667" s="59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</row>
    <row r="668" spans="1:33" ht="61.5" customHeight="1" x14ac:dyDescent="0.25">
      <c r="A668" s="56"/>
      <c r="B668" s="56"/>
      <c r="C668" s="56"/>
      <c r="D668" s="56"/>
      <c r="E668" s="56"/>
      <c r="F668" s="57"/>
      <c r="G668" s="78"/>
      <c r="H668" s="56"/>
      <c r="I668" s="56"/>
      <c r="J668" s="59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</row>
    <row r="669" spans="1:33" ht="61.5" customHeight="1" x14ac:dyDescent="0.25">
      <c r="A669" s="56"/>
      <c r="B669" s="56"/>
      <c r="C669" s="56"/>
      <c r="D669" s="56"/>
      <c r="E669" s="56"/>
      <c r="F669" s="57"/>
      <c r="G669" s="78"/>
      <c r="H669" s="56"/>
      <c r="I669" s="56"/>
      <c r="J669" s="59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</row>
    <row r="670" spans="1:33" ht="61.5" customHeight="1" x14ac:dyDescent="0.25">
      <c r="A670" s="56"/>
      <c r="B670" s="56"/>
      <c r="C670" s="56"/>
      <c r="D670" s="56"/>
      <c r="E670" s="56"/>
      <c r="F670" s="57"/>
      <c r="G670" s="78"/>
      <c r="H670" s="56"/>
      <c r="I670" s="56"/>
      <c r="J670" s="59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</row>
    <row r="671" spans="1:33" ht="61.5" customHeight="1" x14ac:dyDescent="0.25">
      <c r="A671" s="56"/>
      <c r="B671" s="56"/>
      <c r="C671" s="56"/>
      <c r="D671" s="56"/>
      <c r="E671" s="56"/>
      <c r="F671" s="57"/>
      <c r="G671" s="78"/>
      <c r="H671" s="56"/>
      <c r="I671" s="56"/>
      <c r="J671" s="59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</row>
    <row r="672" spans="1:33" ht="61.5" customHeight="1" x14ac:dyDescent="0.25">
      <c r="A672" s="56"/>
      <c r="B672" s="56"/>
      <c r="C672" s="56"/>
      <c r="D672" s="56"/>
      <c r="E672" s="56"/>
      <c r="F672" s="57"/>
      <c r="G672" s="78"/>
      <c r="H672" s="56"/>
      <c r="I672" s="56"/>
      <c r="J672" s="59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</row>
    <row r="673" spans="1:33" ht="61.5" customHeight="1" x14ac:dyDescent="0.25">
      <c r="A673" s="56"/>
      <c r="B673" s="56"/>
      <c r="C673" s="56"/>
      <c r="D673" s="56"/>
      <c r="E673" s="56"/>
      <c r="F673" s="57"/>
      <c r="G673" s="78"/>
      <c r="H673" s="56"/>
      <c r="I673" s="56"/>
      <c r="J673" s="59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</row>
    <row r="674" spans="1:33" ht="61.5" customHeight="1" x14ac:dyDescent="0.25">
      <c r="A674" s="56"/>
      <c r="B674" s="56"/>
      <c r="C674" s="56"/>
      <c r="D674" s="56"/>
      <c r="E674" s="56"/>
      <c r="F674" s="57"/>
      <c r="G674" s="78"/>
      <c r="H674" s="56"/>
      <c r="I674" s="56"/>
      <c r="J674" s="59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</row>
    <row r="675" spans="1:33" ht="61.5" customHeight="1" x14ac:dyDescent="0.25">
      <c r="A675" s="56"/>
      <c r="B675" s="56"/>
      <c r="C675" s="56"/>
      <c r="D675" s="56"/>
      <c r="E675" s="56"/>
      <c r="F675" s="57"/>
      <c r="G675" s="78"/>
      <c r="H675" s="56"/>
      <c r="I675" s="56"/>
      <c r="J675" s="59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</row>
    <row r="676" spans="1:33" ht="61.5" customHeight="1" x14ac:dyDescent="0.25">
      <c r="A676" s="56"/>
      <c r="B676" s="56"/>
      <c r="C676" s="56"/>
      <c r="D676" s="56"/>
      <c r="E676" s="56"/>
      <c r="F676" s="57"/>
      <c r="G676" s="78"/>
      <c r="H676" s="56"/>
      <c r="I676" s="56"/>
      <c r="J676" s="59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</row>
    <row r="677" spans="1:33" ht="61.5" customHeight="1" x14ac:dyDescent="0.25">
      <c r="A677" s="56"/>
      <c r="B677" s="56"/>
      <c r="C677" s="56"/>
      <c r="D677" s="56"/>
      <c r="E677" s="56"/>
      <c r="F677" s="57"/>
      <c r="G677" s="78"/>
      <c r="H677" s="56"/>
      <c r="I677" s="56"/>
      <c r="J677" s="59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</row>
    <row r="678" spans="1:33" ht="61.5" customHeight="1" x14ac:dyDescent="0.25">
      <c r="A678" s="56"/>
      <c r="B678" s="56"/>
      <c r="C678" s="56"/>
      <c r="D678" s="56"/>
      <c r="E678" s="56"/>
      <c r="F678" s="57"/>
      <c r="G678" s="78"/>
      <c r="H678" s="56"/>
      <c r="I678" s="56"/>
      <c r="J678" s="59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</row>
    <row r="679" spans="1:33" ht="61.5" customHeight="1" x14ac:dyDescent="0.25">
      <c r="A679" s="56"/>
      <c r="B679" s="56"/>
      <c r="C679" s="56"/>
      <c r="D679" s="56"/>
      <c r="E679" s="56"/>
      <c r="F679" s="57"/>
      <c r="G679" s="78"/>
      <c r="H679" s="56"/>
      <c r="I679" s="56"/>
      <c r="J679" s="59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</row>
    <row r="680" spans="1:33" ht="61.5" customHeight="1" x14ac:dyDescent="0.25">
      <c r="A680" s="56"/>
      <c r="B680" s="56"/>
      <c r="C680" s="56"/>
      <c r="D680" s="56"/>
      <c r="E680" s="56"/>
      <c r="F680" s="57"/>
      <c r="G680" s="78"/>
      <c r="H680" s="56"/>
      <c r="I680" s="56"/>
      <c r="J680" s="59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</row>
    <row r="681" spans="1:33" ht="61.5" customHeight="1" x14ac:dyDescent="0.25">
      <c r="A681" s="56"/>
      <c r="B681" s="56"/>
      <c r="C681" s="56"/>
      <c r="D681" s="56"/>
      <c r="E681" s="56"/>
      <c r="F681" s="57"/>
      <c r="G681" s="78"/>
      <c r="H681" s="56"/>
      <c r="I681" s="56"/>
      <c r="J681" s="59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</row>
    <row r="682" spans="1:33" ht="61.5" customHeight="1" x14ac:dyDescent="0.25">
      <c r="A682" s="56"/>
      <c r="B682" s="56"/>
      <c r="C682" s="56"/>
      <c r="D682" s="56"/>
      <c r="E682" s="56"/>
      <c r="F682" s="57"/>
      <c r="G682" s="78"/>
      <c r="H682" s="56"/>
      <c r="I682" s="56"/>
      <c r="J682" s="59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</row>
    <row r="683" spans="1:33" ht="61.5" customHeight="1" x14ac:dyDescent="0.25">
      <c r="A683" s="56"/>
      <c r="B683" s="56"/>
      <c r="C683" s="56"/>
      <c r="D683" s="56"/>
      <c r="E683" s="56"/>
      <c r="F683" s="57"/>
      <c r="G683" s="78"/>
      <c r="H683" s="56"/>
      <c r="I683" s="56"/>
      <c r="J683" s="59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</row>
    <row r="684" spans="1:33" ht="61.5" customHeight="1" x14ac:dyDescent="0.25">
      <c r="A684" s="56"/>
      <c r="B684" s="56"/>
      <c r="C684" s="56"/>
      <c r="D684" s="56"/>
      <c r="E684" s="56"/>
      <c r="F684" s="57"/>
      <c r="G684" s="78"/>
      <c r="H684" s="56"/>
      <c r="I684" s="56"/>
      <c r="J684" s="59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</row>
    <row r="685" spans="1:33" ht="61.5" customHeight="1" x14ac:dyDescent="0.25">
      <c r="A685" s="56"/>
      <c r="B685" s="56"/>
      <c r="C685" s="56"/>
      <c r="D685" s="56"/>
      <c r="E685" s="56"/>
      <c r="F685" s="57"/>
      <c r="G685" s="78"/>
      <c r="H685" s="56"/>
      <c r="I685" s="56"/>
      <c r="J685" s="59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</row>
    <row r="686" spans="1:33" ht="61.5" customHeight="1" x14ac:dyDescent="0.25">
      <c r="A686" s="56"/>
      <c r="B686" s="56"/>
      <c r="C686" s="56"/>
      <c r="D686" s="56"/>
      <c r="E686" s="56"/>
      <c r="F686" s="57"/>
      <c r="G686" s="78"/>
      <c r="H686" s="56"/>
      <c r="I686" s="56"/>
      <c r="J686" s="59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</row>
    <row r="687" spans="1:33" ht="61.5" customHeight="1" x14ac:dyDescent="0.25">
      <c r="A687" s="56"/>
      <c r="B687" s="56"/>
      <c r="C687" s="56"/>
      <c r="D687" s="56"/>
      <c r="E687" s="56"/>
      <c r="F687" s="57"/>
      <c r="G687" s="78"/>
      <c r="H687" s="56"/>
      <c r="I687" s="56"/>
      <c r="J687" s="59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</row>
    <row r="688" spans="1:33" ht="61.5" customHeight="1" x14ac:dyDescent="0.25">
      <c r="A688" s="56"/>
      <c r="B688" s="56"/>
      <c r="C688" s="56"/>
      <c r="D688" s="56"/>
      <c r="E688" s="56"/>
      <c r="F688" s="57"/>
      <c r="G688" s="78"/>
      <c r="H688" s="56"/>
      <c r="I688" s="56"/>
      <c r="J688" s="59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</row>
    <row r="689" spans="1:33" ht="61.5" customHeight="1" x14ac:dyDescent="0.25">
      <c r="A689" s="56"/>
      <c r="B689" s="56"/>
      <c r="C689" s="56"/>
      <c r="D689" s="56"/>
      <c r="E689" s="56"/>
      <c r="F689" s="57"/>
      <c r="G689" s="78"/>
      <c r="H689" s="56"/>
      <c r="I689" s="56"/>
      <c r="J689" s="59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</row>
    <row r="690" spans="1:33" ht="61.5" customHeight="1" x14ac:dyDescent="0.25">
      <c r="A690" s="56"/>
      <c r="B690" s="56"/>
      <c r="C690" s="56"/>
      <c r="D690" s="56"/>
      <c r="E690" s="56"/>
      <c r="F690" s="57"/>
      <c r="G690" s="78"/>
      <c r="H690" s="56"/>
      <c r="I690" s="56"/>
      <c r="J690" s="59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</row>
    <row r="691" spans="1:33" ht="61.5" customHeight="1" x14ac:dyDescent="0.25">
      <c r="A691" s="56"/>
      <c r="B691" s="56"/>
      <c r="C691" s="56"/>
      <c r="D691" s="56"/>
      <c r="E691" s="56"/>
      <c r="F691" s="57"/>
      <c r="G691" s="78"/>
      <c r="H691" s="56"/>
      <c r="I691" s="56"/>
      <c r="J691" s="59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</row>
    <row r="692" spans="1:33" ht="61.5" customHeight="1" x14ac:dyDescent="0.25">
      <c r="A692" s="56"/>
      <c r="B692" s="56"/>
      <c r="C692" s="56"/>
      <c r="D692" s="56"/>
      <c r="E692" s="56"/>
      <c r="F692" s="57"/>
      <c r="G692" s="78"/>
      <c r="H692" s="56"/>
      <c r="I692" s="56"/>
      <c r="J692" s="59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</row>
    <row r="693" spans="1:33" ht="61.5" customHeight="1" x14ac:dyDescent="0.25">
      <c r="A693" s="56"/>
      <c r="B693" s="56"/>
      <c r="C693" s="56"/>
      <c r="D693" s="56"/>
      <c r="E693" s="56"/>
      <c r="F693" s="57"/>
      <c r="G693" s="78"/>
      <c r="H693" s="56"/>
      <c r="I693" s="56"/>
      <c r="J693" s="59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</row>
    <row r="694" spans="1:33" ht="61.5" customHeight="1" x14ac:dyDescent="0.25">
      <c r="A694" s="56"/>
      <c r="B694" s="56"/>
      <c r="C694" s="56"/>
      <c r="D694" s="56"/>
      <c r="E694" s="56"/>
      <c r="F694" s="57"/>
      <c r="G694" s="78"/>
      <c r="H694" s="56"/>
      <c r="I694" s="56"/>
      <c r="J694" s="59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</row>
    <row r="695" spans="1:33" ht="61.5" customHeight="1" x14ac:dyDescent="0.25">
      <c r="A695" s="56"/>
      <c r="B695" s="56"/>
      <c r="C695" s="56"/>
      <c r="D695" s="56"/>
      <c r="E695" s="56"/>
      <c r="F695" s="57"/>
      <c r="G695" s="78"/>
      <c r="H695" s="56"/>
      <c r="I695" s="56"/>
      <c r="J695" s="59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</row>
    <row r="696" spans="1:33" ht="61.5" customHeight="1" x14ac:dyDescent="0.25">
      <c r="A696" s="56"/>
      <c r="B696" s="56"/>
      <c r="C696" s="56"/>
      <c r="D696" s="56"/>
      <c r="E696" s="56"/>
      <c r="F696" s="57"/>
      <c r="G696" s="78"/>
      <c r="H696" s="56"/>
      <c r="I696" s="56"/>
      <c r="J696" s="59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</row>
    <row r="697" spans="1:33" ht="61.5" customHeight="1" x14ac:dyDescent="0.25">
      <c r="A697" s="56"/>
      <c r="B697" s="56"/>
      <c r="C697" s="56"/>
      <c r="D697" s="56"/>
      <c r="E697" s="56"/>
      <c r="F697" s="57"/>
      <c r="G697" s="78"/>
      <c r="H697" s="56"/>
      <c r="I697" s="56"/>
      <c r="J697" s="59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</row>
    <row r="698" spans="1:33" ht="61.5" customHeight="1" x14ac:dyDescent="0.25">
      <c r="A698" s="56"/>
      <c r="B698" s="56"/>
      <c r="C698" s="56"/>
      <c r="D698" s="56"/>
      <c r="E698" s="56"/>
      <c r="F698" s="57"/>
      <c r="G698" s="78"/>
      <c r="H698" s="56"/>
      <c r="I698" s="56"/>
      <c r="J698" s="59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</row>
    <row r="699" spans="1:33" ht="61.5" customHeight="1" x14ac:dyDescent="0.25">
      <c r="A699" s="56"/>
      <c r="B699" s="56"/>
      <c r="C699" s="56"/>
      <c r="D699" s="56"/>
      <c r="E699" s="56"/>
      <c r="F699" s="57"/>
      <c r="G699" s="78"/>
      <c r="H699" s="56"/>
      <c r="I699" s="56"/>
      <c r="J699" s="59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</row>
    <row r="700" spans="1:33" ht="61.5" customHeight="1" x14ac:dyDescent="0.25">
      <c r="A700" s="56"/>
      <c r="B700" s="56"/>
      <c r="C700" s="56"/>
      <c r="D700" s="56"/>
      <c r="E700" s="56"/>
      <c r="F700" s="57"/>
      <c r="G700" s="78"/>
      <c r="H700" s="56"/>
      <c r="I700" s="56"/>
      <c r="J700" s="59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</row>
    <row r="701" spans="1:33" ht="61.5" customHeight="1" x14ac:dyDescent="0.25">
      <c r="A701" s="56"/>
      <c r="B701" s="56"/>
      <c r="C701" s="56"/>
      <c r="D701" s="56"/>
      <c r="E701" s="56"/>
      <c r="F701" s="57"/>
      <c r="G701" s="78"/>
      <c r="H701" s="56"/>
      <c r="I701" s="56"/>
      <c r="J701" s="59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</row>
    <row r="702" spans="1:33" ht="61.5" customHeight="1" x14ac:dyDescent="0.25">
      <c r="A702" s="56"/>
      <c r="B702" s="56"/>
      <c r="C702" s="56"/>
      <c r="D702" s="56"/>
      <c r="E702" s="56"/>
      <c r="F702" s="57"/>
      <c r="G702" s="78"/>
      <c r="H702" s="56"/>
      <c r="I702" s="56"/>
      <c r="J702" s="59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</row>
    <row r="703" spans="1:33" ht="61.5" customHeight="1" x14ac:dyDescent="0.25">
      <c r="A703" s="56"/>
      <c r="B703" s="56"/>
      <c r="C703" s="56"/>
      <c r="D703" s="56"/>
      <c r="E703" s="56"/>
      <c r="F703" s="57"/>
      <c r="G703" s="78"/>
      <c r="H703" s="56"/>
      <c r="I703" s="56"/>
      <c r="J703" s="59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</row>
    <row r="704" spans="1:33" ht="61.5" customHeight="1" x14ac:dyDescent="0.25">
      <c r="A704" s="56"/>
      <c r="B704" s="56"/>
      <c r="C704" s="56"/>
      <c r="D704" s="56"/>
      <c r="E704" s="56"/>
      <c r="F704" s="57"/>
      <c r="G704" s="78"/>
      <c r="H704" s="56"/>
      <c r="I704" s="56"/>
      <c r="J704" s="59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</row>
    <row r="705" spans="1:33" ht="61.5" customHeight="1" x14ac:dyDescent="0.25">
      <c r="A705" s="56"/>
      <c r="B705" s="56"/>
      <c r="C705" s="56"/>
      <c r="D705" s="56"/>
      <c r="E705" s="56"/>
      <c r="F705" s="57"/>
      <c r="G705" s="78"/>
      <c r="H705" s="56"/>
      <c r="I705" s="56"/>
      <c r="J705" s="59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</row>
    <row r="706" spans="1:33" ht="61.5" customHeight="1" x14ac:dyDescent="0.25">
      <c r="A706" s="56"/>
      <c r="B706" s="56"/>
      <c r="C706" s="56"/>
      <c r="D706" s="56"/>
      <c r="E706" s="56"/>
      <c r="F706" s="57"/>
      <c r="G706" s="78"/>
      <c r="H706" s="56"/>
      <c r="I706" s="56"/>
      <c r="J706" s="59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</row>
    <row r="707" spans="1:33" ht="61.5" customHeight="1" x14ac:dyDescent="0.25">
      <c r="A707" s="56"/>
      <c r="B707" s="56"/>
      <c r="C707" s="56"/>
      <c r="D707" s="56"/>
      <c r="E707" s="56"/>
      <c r="F707" s="57"/>
      <c r="G707" s="78"/>
      <c r="H707" s="56"/>
      <c r="I707" s="56"/>
      <c r="J707" s="59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</row>
    <row r="708" spans="1:33" ht="61.5" customHeight="1" x14ac:dyDescent="0.25">
      <c r="A708" s="56"/>
      <c r="B708" s="56"/>
      <c r="C708" s="56"/>
      <c r="D708" s="56"/>
      <c r="E708" s="56"/>
      <c r="F708" s="57"/>
      <c r="G708" s="78"/>
      <c r="H708" s="56"/>
      <c r="I708" s="56"/>
      <c r="J708" s="59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</row>
    <row r="709" spans="1:33" ht="61.5" customHeight="1" x14ac:dyDescent="0.25">
      <c r="A709" s="56"/>
      <c r="B709" s="56"/>
      <c r="C709" s="56"/>
      <c r="D709" s="56"/>
      <c r="E709" s="56"/>
      <c r="F709" s="57"/>
      <c r="G709" s="78"/>
      <c r="H709" s="56"/>
      <c r="I709" s="56"/>
      <c r="J709" s="59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</row>
    <row r="710" spans="1:33" ht="61.5" customHeight="1" x14ac:dyDescent="0.25">
      <c r="A710" s="56"/>
      <c r="B710" s="56"/>
      <c r="C710" s="56"/>
      <c r="D710" s="56"/>
      <c r="E710" s="56"/>
      <c r="F710" s="57"/>
      <c r="G710" s="78"/>
      <c r="H710" s="56"/>
      <c r="I710" s="56"/>
      <c r="J710" s="59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</row>
    <row r="711" spans="1:33" ht="61.5" customHeight="1" x14ac:dyDescent="0.25">
      <c r="A711" s="56"/>
      <c r="B711" s="56"/>
      <c r="C711" s="56"/>
      <c r="D711" s="56"/>
      <c r="E711" s="56"/>
      <c r="F711" s="57"/>
      <c r="G711" s="78"/>
      <c r="H711" s="56"/>
      <c r="I711" s="56"/>
      <c r="J711" s="59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</row>
    <row r="712" spans="1:33" ht="61.5" customHeight="1" x14ac:dyDescent="0.25">
      <c r="A712" s="56"/>
      <c r="B712" s="56"/>
      <c r="C712" s="56"/>
      <c r="D712" s="56"/>
      <c r="E712" s="56"/>
      <c r="F712" s="57"/>
      <c r="G712" s="78"/>
      <c r="H712" s="56"/>
      <c r="I712" s="56"/>
      <c r="J712" s="59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</row>
    <row r="713" spans="1:33" ht="61.5" customHeight="1" x14ac:dyDescent="0.25">
      <c r="A713" s="56"/>
      <c r="B713" s="56"/>
      <c r="C713" s="56"/>
      <c r="D713" s="56"/>
      <c r="E713" s="56"/>
      <c r="F713" s="57"/>
      <c r="G713" s="78"/>
      <c r="H713" s="56"/>
      <c r="I713" s="56"/>
      <c r="J713" s="59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</row>
    <row r="714" spans="1:33" ht="61.5" customHeight="1" x14ac:dyDescent="0.25">
      <c r="A714" s="56"/>
      <c r="B714" s="56"/>
      <c r="C714" s="56"/>
      <c r="D714" s="56"/>
      <c r="E714" s="56"/>
      <c r="F714" s="57"/>
      <c r="G714" s="78"/>
      <c r="H714" s="56"/>
      <c r="I714" s="56"/>
      <c r="J714" s="59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</row>
    <row r="715" spans="1:33" ht="61.5" customHeight="1" x14ac:dyDescent="0.25">
      <c r="A715" s="56"/>
      <c r="B715" s="56"/>
      <c r="C715" s="56"/>
      <c r="D715" s="56"/>
      <c r="E715" s="56"/>
      <c r="F715" s="57"/>
      <c r="G715" s="78"/>
      <c r="H715" s="56"/>
      <c r="I715" s="56"/>
      <c r="J715" s="59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</row>
    <row r="716" spans="1:33" ht="61.5" customHeight="1" x14ac:dyDescent="0.25">
      <c r="A716" s="56"/>
      <c r="B716" s="56"/>
      <c r="C716" s="56"/>
      <c r="D716" s="56"/>
      <c r="E716" s="56"/>
      <c r="F716" s="57"/>
      <c r="G716" s="78"/>
      <c r="H716" s="56"/>
      <c r="I716" s="56"/>
      <c r="J716" s="59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</row>
    <row r="717" spans="1:33" ht="61.5" customHeight="1" x14ac:dyDescent="0.25">
      <c r="A717" s="56"/>
      <c r="B717" s="56"/>
      <c r="C717" s="56"/>
      <c r="D717" s="56"/>
      <c r="E717" s="56"/>
      <c r="F717" s="57"/>
      <c r="G717" s="78"/>
      <c r="H717" s="56"/>
      <c r="I717" s="56"/>
      <c r="J717" s="59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</row>
    <row r="718" spans="1:33" ht="61.5" customHeight="1" x14ac:dyDescent="0.25">
      <c r="A718" s="56"/>
      <c r="B718" s="56"/>
      <c r="C718" s="56"/>
      <c r="D718" s="56"/>
      <c r="E718" s="56"/>
      <c r="F718" s="57"/>
      <c r="G718" s="78"/>
      <c r="H718" s="56"/>
      <c r="I718" s="56"/>
      <c r="J718" s="59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</row>
    <row r="719" spans="1:33" ht="61.5" customHeight="1" x14ac:dyDescent="0.25">
      <c r="A719" s="56"/>
      <c r="B719" s="56"/>
      <c r="C719" s="56"/>
      <c r="D719" s="56"/>
      <c r="E719" s="56"/>
      <c r="F719" s="57"/>
      <c r="G719" s="78"/>
      <c r="H719" s="56"/>
      <c r="I719" s="56"/>
      <c r="J719" s="59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</row>
    <row r="720" spans="1:33" ht="61.5" customHeight="1" x14ac:dyDescent="0.25">
      <c r="A720" s="56"/>
      <c r="B720" s="56"/>
      <c r="C720" s="56"/>
      <c r="D720" s="56"/>
      <c r="E720" s="56"/>
      <c r="F720" s="57"/>
      <c r="G720" s="78"/>
      <c r="H720" s="56"/>
      <c r="I720" s="56"/>
      <c r="J720" s="59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</row>
    <row r="721" spans="1:33" ht="61.5" customHeight="1" x14ac:dyDescent="0.25">
      <c r="A721" s="56"/>
      <c r="B721" s="56"/>
      <c r="C721" s="56"/>
      <c r="D721" s="56"/>
      <c r="E721" s="56"/>
      <c r="F721" s="57"/>
      <c r="G721" s="78"/>
      <c r="H721" s="56"/>
      <c r="I721" s="56"/>
      <c r="J721" s="59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</row>
    <row r="722" spans="1:33" ht="61.5" customHeight="1" x14ac:dyDescent="0.25">
      <c r="A722" s="56"/>
      <c r="B722" s="56"/>
      <c r="C722" s="56"/>
      <c r="D722" s="56"/>
      <c r="E722" s="56"/>
      <c r="F722" s="57"/>
      <c r="G722" s="78"/>
      <c r="H722" s="56"/>
      <c r="I722" s="56"/>
      <c r="J722" s="59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</row>
    <row r="723" spans="1:33" ht="61.5" customHeight="1" x14ac:dyDescent="0.25">
      <c r="A723" s="56"/>
      <c r="B723" s="56"/>
      <c r="C723" s="56"/>
      <c r="D723" s="56"/>
      <c r="E723" s="56"/>
      <c r="F723" s="57"/>
      <c r="G723" s="78"/>
      <c r="H723" s="56"/>
      <c r="I723" s="56"/>
      <c r="J723" s="59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</row>
    <row r="724" spans="1:33" ht="61.5" customHeight="1" x14ac:dyDescent="0.25">
      <c r="A724" s="56"/>
      <c r="B724" s="56"/>
      <c r="C724" s="56"/>
      <c r="D724" s="56"/>
      <c r="E724" s="56"/>
      <c r="F724" s="57"/>
      <c r="G724" s="78"/>
      <c r="H724" s="56"/>
      <c r="I724" s="56"/>
      <c r="J724" s="59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</row>
    <row r="725" spans="1:33" ht="61.5" customHeight="1" x14ac:dyDescent="0.25">
      <c r="A725" s="56"/>
      <c r="B725" s="56"/>
      <c r="C725" s="56"/>
      <c r="D725" s="56"/>
      <c r="E725" s="56"/>
      <c r="F725" s="57"/>
      <c r="G725" s="78"/>
      <c r="H725" s="56"/>
      <c r="I725" s="56"/>
      <c r="J725" s="59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</row>
    <row r="726" spans="1:33" ht="61.5" customHeight="1" x14ac:dyDescent="0.25">
      <c r="A726" s="56"/>
      <c r="B726" s="56"/>
      <c r="C726" s="56"/>
      <c r="D726" s="56"/>
      <c r="E726" s="56"/>
      <c r="F726" s="57"/>
      <c r="G726" s="78"/>
      <c r="H726" s="56"/>
      <c r="I726" s="56"/>
      <c r="J726" s="59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</row>
    <row r="727" spans="1:33" ht="61.5" customHeight="1" x14ac:dyDescent="0.25">
      <c r="A727" s="56"/>
      <c r="B727" s="56"/>
      <c r="C727" s="56"/>
      <c r="D727" s="56"/>
      <c r="E727" s="56"/>
      <c r="F727" s="57"/>
      <c r="G727" s="78"/>
      <c r="H727" s="56"/>
      <c r="I727" s="56"/>
      <c r="J727" s="59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</row>
    <row r="728" spans="1:33" ht="61.5" customHeight="1" x14ac:dyDescent="0.25">
      <c r="A728" s="56"/>
      <c r="B728" s="56"/>
      <c r="C728" s="56"/>
      <c r="D728" s="56"/>
      <c r="E728" s="56"/>
      <c r="F728" s="57"/>
      <c r="G728" s="78"/>
      <c r="H728" s="56"/>
      <c r="I728" s="56"/>
      <c r="J728" s="59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</row>
    <row r="729" spans="1:33" ht="61.5" customHeight="1" x14ac:dyDescent="0.25">
      <c r="A729" s="56"/>
      <c r="B729" s="56"/>
      <c r="C729" s="56"/>
      <c r="D729" s="56"/>
      <c r="E729" s="56"/>
      <c r="F729" s="57"/>
      <c r="G729" s="78"/>
      <c r="H729" s="56"/>
      <c r="I729" s="56"/>
      <c r="J729" s="59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</row>
    <row r="730" spans="1:33" ht="61.5" customHeight="1" x14ac:dyDescent="0.25">
      <c r="A730" s="56"/>
      <c r="B730" s="56"/>
      <c r="C730" s="56"/>
      <c r="D730" s="56"/>
      <c r="E730" s="56"/>
      <c r="F730" s="57"/>
      <c r="G730" s="78"/>
      <c r="H730" s="56"/>
      <c r="I730" s="56"/>
      <c r="J730" s="59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</row>
    <row r="731" spans="1:33" ht="61.5" customHeight="1" x14ac:dyDescent="0.25">
      <c r="A731" s="56"/>
      <c r="B731" s="56"/>
      <c r="C731" s="56"/>
      <c r="D731" s="56"/>
      <c r="E731" s="56"/>
      <c r="F731" s="57"/>
      <c r="G731" s="78"/>
      <c r="H731" s="56"/>
      <c r="I731" s="56"/>
      <c r="J731" s="59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</row>
    <row r="732" spans="1:33" ht="61.5" customHeight="1" x14ac:dyDescent="0.25">
      <c r="A732" s="56"/>
      <c r="B732" s="56"/>
      <c r="C732" s="56"/>
      <c r="D732" s="56"/>
      <c r="E732" s="56"/>
      <c r="F732" s="57"/>
      <c r="G732" s="78"/>
      <c r="H732" s="56"/>
      <c r="I732" s="56"/>
      <c r="J732" s="59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</row>
    <row r="733" spans="1:33" ht="61.5" customHeight="1" x14ac:dyDescent="0.25">
      <c r="A733" s="56"/>
      <c r="B733" s="56"/>
      <c r="C733" s="56"/>
      <c r="D733" s="56"/>
      <c r="E733" s="56"/>
      <c r="F733" s="57"/>
      <c r="G733" s="78"/>
      <c r="H733" s="56"/>
      <c r="I733" s="56"/>
      <c r="J733" s="59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</row>
    <row r="734" spans="1:33" ht="61.5" customHeight="1" x14ac:dyDescent="0.25">
      <c r="A734" s="56"/>
      <c r="B734" s="56"/>
      <c r="C734" s="56"/>
      <c r="D734" s="56"/>
      <c r="E734" s="56"/>
      <c r="F734" s="57"/>
      <c r="G734" s="78"/>
      <c r="H734" s="56"/>
      <c r="I734" s="56"/>
      <c r="J734" s="59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</row>
    <row r="735" spans="1:33" ht="61.5" customHeight="1" x14ac:dyDescent="0.25">
      <c r="A735" s="56"/>
      <c r="B735" s="56"/>
      <c r="C735" s="56"/>
      <c r="D735" s="56"/>
      <c r="E735" s="56"/>
      <c r="F735" s="57"/>
      <c r="G735" s="78"/>
      <c r="H735" s="56"/>
      <c r="I735" s="56"/>
      <c r="J735" s="59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</row>
    <row r="736" spans="1:33" ht="61.5" customHeight="1" x14ac:dyDescent="0.25">
      <c r="A736" s="56"/>
      <c r="B736" s="56"/>
      <c r="C736" s="56"/>
      <c r="D736" s="56"/>
      <c r="E736" s="56"/>
      <c r="F736" s="57"/>
      <c r="G736" s="78"/>
      <c r="H736" s="56"/>
      <c r="I736" s="56"/>
      <c r="J736" s="59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</row>
    <row r="737" spans="1:33" ht="61.5" customHeight="1" x14ac:dyDescent="0.25">
      <c r="A737" s="56"/>
      <c r="B737" s="56"/>
      <c r="C737" s="56"/>
      <c r="D737" s="56"/>
      <c r="E737" s="56"/>
      <c r="F737" s="57"/>
      <c r="G737" s="78"/>
      <c r="H737" s="56"/>
      <c r="I737" s="56"/>
      <c r="J737" s="59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</row>
    <row r="738" spans="1:33" ht="61.5" customHeight="1" x14ac:dyDescent="0.25">
      <c r="A738" s="56"/>
      <c r="B738" s="56"/>
      <c r="C738" s="56"/>
      <c r="D738" s="56"/>
      <c r="E738" s="56"/>
      <c r="F738" s="57"/>
      <c r="G738" s="78"/>
      <c r="H738" s="56"/>
      <c r="I738" s="56"/>
      <c r="J738" s="59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</row>
    <row r="739" spans="1:33" ht="61.5" customHeight="1" x14ac:dyDescent="0.25">
      <c r="A739" s="56"/>
      <c r="B739" s="56"/>
      <c r="C739" s="56"/>
      <c r="D739" s="56"/>
      <c r="E739" s="56"/>
      <c r="F739" s="57"/>
      <c r="G739" s="78"/>
      <c r="H739" s="56"/>
      <c r="I739" s="56"/>
      <c r="J739" s="59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</row>
    <row r="740" spans="1:33" ht="61.5" customHeight="1" x14ac:dyDescent="0.25">
      <c r="A740" s="56"/>
      <c r="B740" s="56"/>
      <c r="C740" s="56"/>
      <c r="D740" s="56"/>
      <c r="E740" s="56"/>
      <c r="F740" s="57"/>
      <c r="G740" s="78"/>
      <c r="H740" s="56"/>
      <c r="I740" s="56"/>
      <c r="J740" s="59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</row>
    <row r="741" spans="1:33" ht="61.5" customHeight="1" x14ac:dyDescent="0.25">
      <c r="A741" s="56"/>
      <c r="B741" s="56"/>
      <c r="C741" s="56"/>
      <c r="D741" s="56"/>
      <c r="E741" s="56"/>
      <c r="F741" s="57"/>
      <c r="G741" s="78"/>
      <c r="H741" s="56"/>
      <c r="I741" s="56"/>
      <c r="J741" s="59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</row>
    <row r="742" spans="1:33" ht="61.5" customHeight="1" x14ac:dyDescent="0.25">
      <c r="A742" s="56"/>
      <c r="B742" s="56"/>
      <c r="C742" s="56"/>
      <c r="D742" s="56"/>
      <c r="E742" s="56"/>
      <c r="F742" s="57"/>
      <c r="G742" s="78"/>
      <c r="H742" s="56"/>
      <c r="I742" s="56"/>
      <c r="J742" s="59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</row>
    <row r="743" spans="1:33" ht="61.5" customHeight="1" x14ac:dyDescent="0.25">
      <c r="A743" s="56"/>
      <c r="B743" s="56"/>
      <c r="C743" s="56"/>
      <c r="D743" s="56"/>
      <c r="E743" s="56"/>
      <c r="F743" s="57"/>
      <c r="G743" s="78"/>
      <c r="H743" s="56"/>
      <c r="I743" s="56"/>
      <c r="J743" s="59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</row>
    <row r="744" spans="1:33" ht="61.5" customHeight="1" x14ac:dyDescent="0.25">
      <c r="A744" s="56"/>
      <c r="B744" s="56"/>
      <c r="C744" s="56"/>
      <c r="D744" s="56"/>
      <c r="E744" s="56"/>
      <c r="F744" s="57"/>
      <c r="G744" s="78"/>
      <c r="H744" s="56"/>
      <c r="I744" s="56"/>
      <c r="J744" s="59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</row>
    <row r="745" spans="1:33" ht="61.5" customHeight="1" x14ac:dyDescent="0.25">
      <c r="A745" s="56"/>
      <c r="B745" s="56"/>
      <c r="C745" s="56"/>
      <c r="D745" s="56"/>
      <c r="E745" s="56"/>
      <c r="F745" s="57"/>
      <c r="G745" s="78"/>
      <c r="H745" s="56"/>
      <c r="I745" s="56"/>
      <c r="J745" s="59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</row>
    <row r="746" spans="1:33" ht="61.5" customHeight="1" x14ac:dyDescent="0.25">
      <c r="A746" s="56"/>
      <c r="B746" s="56"/>
      <c r="C746" s="56"/>
      <c r="D746" s="56"/>
      <c r="E746" s="56"/>
      <c r="F746" s="57"/>
      <c r="G746" s="78"/>
      <c r="H746" s="56"/>
      <c r="I746" s="56"/>
      <c r="J746" s="59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</row>
    <row r="747" spans="1:33" ht="61.5" customHeight="1" x14ac:dyDescent="0.25">
      <c r="A747" s="56"/>
      <c r="B747" s="56"/>
      <c r="C747" s="56"/>
      <c r="D747" s="56"/>
      <c r="E747" s="56"/>
      <c r="F747" s="57"/>
      <c r="G747" s="78"/>
      <c r="H747" s="56"/>
      <c r="I747" s="56"/>
      <c r="J747" s="59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</row>
    <row r="748" spans="1:33" ht="61.5" customHeight="1" x14ac:dyDescent="0.25">
      <c r="A748" s="56"/>
      <c r="B748" s="56"/>
      <c r="C748" s="56"/>
      <c r="D748" s="56"/>
      <c r="E748" s="56"/>
      <c r="F748" s="57"/>
      <c r="G748" s="78"/>
      <c r="H748" s="56"/>
      <c r="I748" s="56"/>
      <c r="J748" s="59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</row>
    <row r="749" spans="1:33" ht="61.5" customHeight="1" x14ac:dyDescent="0.25">
      <c r="A749" s="56"/>
      <c r="B749" s="56"/>
      <c r="C749" s="56"/>
      <c r="D749" s="56"/>
      <c r="E749" s="56"/>
      <c r="F749" s="57"/>
      <c r="G749" s="78"/>
      <c r="H749" s="56"/>
      <c r="I749" s="56"/>
      <c r="J749" s="59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</row>
    <row r="750" spans="1:33" ht="61.5" customHeight="1" x14ac:dyDescent="0.25">
      <c r="A750" s="56"/>
      <c r="B750" s="56"/>
      <c r="C750" s="56"/>
      <c r="D750" s="56"/>
      <c r="E750" s="56"/>
      <c r="F750" s="57"/>
      <c r="G750" s="78"/>
      <c r="H750" s="56"/>
      <c r="I750" s="56"/>
      <c r="J750" s="59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</row>
    <row r="751" spans="1:33" ht="61.5" customHeight="1" x14ac:dyDescent="0.25">
      <c r="A751" s="56"/>
      <c r="B751" s="56"/>
      <c r="C751" s="56"/>
      <c r="D751" s="56"/>
      <c r="E751" s="56"/>
      <c r="F751" s="57"/>
      <c r="G751" s="78"/>
      <c r="H751" s="56"/>
      <c r="I751" s="56"/>
      <c r="J751" s="59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</row>
    <row r="752" spans="1:33" ht="61.5" customHeight="1" x14ac:dyDescent="0.25">
      <c r="A752" s="56"/>
      <c r="B752" s="56"/>
      <c r="C752" s="56"/>
      <c r="D752" s="56"/>
      <c r="E752" s="56"/>
      <c r="F752" s="57"/>
      <c r="G752" s="78"/>
      <c r="H752" s="56"/>
      <c r="I752" s="56"/>
      <c r="J752" s="59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</row>
    <row r="753" spans="1:33" ht="61.5" customHeight="1" x14ac:dyDescent="0.25">
      <c r="A753" s="56"/>
      <c r="B753" s="56"/>
      <c r="C753" s="56"/>
      <c r="D753" s="56"/>
      <c r="E753" s="56"/>
      <c r="F753" s="57"/>
      <c r="G753" s="78"/>
      <c r="H753" s="56"/>
      <c r="I753" s="56"/>
      <c r="J753" s="59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</row>
    <row r="754" spans="1:33" ht="61.5" customHeight="1" x14ac:dyDescent="0.25">
      <c r="A754" s="56"/>
      <c r="B754" s="56"/>
      <c r="C754" s="56"/>
      <c r="D754" s="56"/>
      <c r="E754" s="56"/>
      <c r="F754" s="57"/>
      <c r="G754" s="78"/>
      <c r="H754" s="56"/>
      <c r="I754" s="56"/>
      <c r="J754" s="59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</row>
    <row r="755" spans="1:33" ht="61.5" customHeight="1" x14ac:dyDescent="0.25">
      <c r="A755" s="56"/>
      <c r="B755" s="56"/>
      <c r="C755" s="56"/>
      <c r="D755" s="56"/>
      <c r="E755" s="56"/>
      <c r="F755" s="57"/>
      <c r="G755" s="78"/>
      <c r="H755" s="56"/>
      <c r="I755" s="56"/>
      <c r="J755" s="59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</row>
    <row r="756" spans="1:33" ht="61.5" customHeight="1" x14ac:dyDescent="0.25">
      <c r="A756" s="56"/>
      <c r="B756" s="56"/>
      <c r="C756" s="56"/>
      <c r="D756" s="56"/>
      <c r="E756" s="56"/>
      <c r="F756" s="57"/>
      <c r="G756" s="78"/>
      <c r="H756" s="56"/>
      <c r="I756" s="56"/>
      <c r="J756" s="59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</row>
    <row r="757" spans="1:33" ht="61.5" customHeight="1" x14ac:dyDescent="0.25">
      <c r="A757" s="56"/>
      <c r="B757" s="56"/>
      <c r="C757" s="56"/>
      <c r="D757" s="56"/>
      <c r="E757" s="56"/>
      <c r="F757" s="57"/>
      <c r="G757" s="78"/>
      <c r="H757" s="56"/>
      <c r="I757" s="56"/>
      <c r="J757" s="59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</row>
    <row r="758" spans="1:33" ht="61.5" customHeight="1" x14ac:dyDescent="0.25">
      <c r="A758" s="56"/>
      <c r="B758" s="56"/>
      <c r="C758" s="56"/>
      <c r="D758" s="56"/>
      <c r="E758" s="56"/>
      <c r="F758" s="57"/>
      <c r="G758" s="78"/>
      <c r="H758" s="56"/>
      <c r="I758" s="56"/>
      <c r="J758" s="59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</row>
    <row r="759" spans="1:33" ht="61.5" customHeight="1" x14ac:dyDescent="0.25">
      <c r="A759" s="56"/>
      <c r="B759" s="56"/>
      <c r="C759" s="56"/>
      <c r="D759" s="56"/>
      <c r="E759" s="56"/>
      <c r="F759" s="57"/>
      <c r="G759" s="78"/>
      <c r="H759" s="56"/>
      <c r="I759" s="56"/>
      <c r="J759" s="59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</row>
    <row r="760" spans="1:33" ht="61.5" customHeight="1" x14ac:dyDescent="0.25">
      <c r="A760" s="56"/>
      <c r="B760" s="56"/>
      <c r="C760" s="56"/>
      <c r="D760" s="56"/>
      <c r="E760" s="56"/>
      <c r="F760" s="57"/>
      <c r="G760" s="78"/>
      <c r="H760" s="56"/>
      <c r="I760" s="56"/>
      <c r="J760" s="59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</row>
    <row r="761" spans="1:33" ht="61.5" customHeight="1" x14ac:dyDescent="0.25">
      <c r="A761" s="56"/>
      <c r="B761" s="56"/>
      <c r="C761" s="56"/>
      <c r="D761" s="56"/>
      <c r="E761" s="56"/>
      <c r="F761" s="57"/>
      <c r="G761" s="78"/>
      <c r="H761" s="56"/>
      <c r="I761" s="56"/>
      <c r="J761" s="59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</row>
    <row r="762" spans="1:33" ht="61.5" customHeight="1" x14ac:dyDescent="0.25">
      <c r="A762" s="56"/>
      <c r="B762" s="56"/>
      <c r="C762" s="56"/>
      <c r="D762" s="56"/>
      <c r="E762" s="56"/>
      <c r="F762" s="57"/>
      <c r="G762" s="78"/>
      <c r="H762" s="56"/>
      <c r="I762" s="56"/>
      <c r="J762" s="59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</row>
    <row r="763" spans="1:33" ht="61.5" customHeight="1" x14ac:dyDescent="0.25">
      <c r="A763" s="56"/>
      <c r="B763" s="56"/>
      <c r="C763" s="56"/>
      <c r="D763" s="56"/>
      <c r="E763" s="56"/>
      <c r="F763" s="57"/>
      <c r="G763" s="78"/>
      <c r="H763" s="56"/>
      <c r="I763" s="56"/>
      <c r="J763" s="59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</row>
    <row r="764" spans="1:33" ht="61.5" customHeight="1" x14ac:dyDescent="0.25">
      <c r="A764" s="56"/>
      <c r="B764" s="56"/>
      <c r="C764" s="56"/>
      <c r="D764" s="56"/>
      <c r="E764" s="56"/>
      <c r="F764" s="57"/>
      <c r="G764" s="78"/>
      <c r="H764" s="56"/>
      <c r="I764" s="56"/>
      <c r="J764" s="59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</row>
    <row r="765" spans="1:33" ht="61.5" customHeight="1" x14ac:dyDescent="0.25">
      <c r="A765" s="56"/>
      <c r="B765" s="56"/>
      <c r="C765" s="56"/>
      <c r="D765" s="56"/>
      <c r="E765" s="56"/>
      <c r="F765" s="57"/>
      <c r="G765" s="78"/>
      <c r="H765" s="56"/>
      <c r="I765" s="56"/>
      <c r="J765" s="59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</row>
    <row r="766" spans="1:33" ht="61.5" customHeight="1" x14ac:dyDescent="0.25">
      <c r="A766" s="56"/>
      <c r="B766" s="56"/>
      <c r="C766" s="56"/>
      <c r="D766" s="56"/>
      <c r="E766" s="56"/>
      <c r="F766" s="57"/>
      <c r="G766" s="78"/>
      <c r="H766" s="56"/>
      <c r="I766" s="56"/>
      <c r="J766" s="59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</row>
    <row r="767" spans="1:33" ht="61.5" customHeight="1" x14ac:dyDescent="0.25">
      <c r="A767" s="56"/>
      <c r="B767" s="56"/>
      <c r="C767" s="56"/>
      <c r="D767" s="56"/>
      <c r="E767" s="56"/>
      <c r="F767" s="57"/>
      <c r="G767" s="78"/>
      <c r="H767" s="56"/>
      <c r="I767" s="56"/>
      <c r="J767" s="59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</row>
    <row r="768" spans="1:33" ht="61.5" customHeight="1" x14ac:dyDescent="0.25">
      <c r="A768" s="56"/>
      <c r="B768" s="56"/>
      <c r="C768" s="56"/>
      <c r="D768" s="56"/>
      <c r="E768" s="56"/>
      <c r="F768" s="57"/>
      <c r="G768" s="78"/>
      <c r="H768" s="56"/>
      <c r="I768" s="56"/>
      <c r="J768" s="59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</row>
    <row r="769" spans="1:33" ht="61.5" customHeight="1" x14ac:dyDescent="0.25">
      <c r="A769" s="56"/>
      <c r="B769" s="56"/>
      <c r="C769" s="56"/>
      <c r="D769" s="56"/>
      <c r="E769" s="56"/>
      <c r="F769" s="57"/>
      <c r="G769" s="78"/>
      <c r="H769" s="56"/>
      <c r="I769" s="56"/>
      <c r="J769" s="59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</row>
    <row r="770" spans="1:33" ht="61.5" customHeight="1" x14ac:dyDescent="0.25">
      <c r="A770" s="56"/>
      <c r="B770" s="56"/>
      <c r="C770" s="56"/>
      <c r="D770" s="56"/>
      <c r="E770" s="56"/>
      <c r="F770" s="57"/>
      <c r="G770" s="78"/>
      <c r="H770" s="56"/>
      <c r="I770" s="56"/>
      <c r="J770" s="59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</row>
    <row r="771" spans="1:33" ht="61.5" customHeight="1" x14ac:dyDescent="0.25">
      <c r="A771" s="56"/>
      <c r="B771" s="56"/>
      <c r="C771" s="56"/>
      <c r="D771" s="56"/>
      <c r="E771" s="56"/>
      <c r="F771" s="57"/>
      <c r="G771" s="78"/>
      <c r="H771" s="56"/>
      <c r="I771" s="56"/>
      <c r="J771" s="59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</row>
    <row r="772" spans="1:33" ht="61.5" customHeight="1" x14ac:dyDescent="0.25">
      <c r="A772" s="56"/>
      <c r="B772" s="56"/>
      <c r="C772" s="56"/>
      <c r="D772" s="56"/>
      <c r="E772" s="56"/>
      <c r="F772" s="57"/>
      <c r="G772" s="78"/>
      <c r="H772" s="56"/>
      <c r="I772" s="56"/>
      <c r="J772" s="59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</row>
    <row r="773" spans="1:33" ht="61.5" customHeight="1" x14ac:dyDescent="0.25">
      <c r="A773" s="56"/>
      <c r="B773" s="56"/>
      <c r="C773" s="56"/>
      <c r="D773" s="56"/>
      <c r="E773" s="56"/>
      <c r="F773" s="57"/>
      <c r="G773" s="78"/>
      <c r="H773" s="56"/>
      <c r="I773" s="56"/>
      <c r="J773" s="59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</row>
    <row r="774" spans="1:33" ht="61.5" customHeight="1" x14ac:dyDescent="0.25">
      <c r="A774" s="56"/>
      <c r="B774" s="56"/>
      <c r="C774" s="56"/>
      <c r="D774" s="56"/>
      <c r="E774" s="56"/>
      <c r="F774" s="57"/>
      <c r="G774" s="78"/>
      <c r="H774" s="56"/>
      <c r="I774" s="56"/>
      <c r="J774" s="59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</row>
    <row r="775" spans="1:33" ht="61.5" customHeight="1" x14ac:dyDescent="0.25">
      <c r="A775" s="56"/>
      <c r="B775" s="56"/>
      <c r="C775" s="56"/>
      <c r="D775" s="56"/>
      <c r="E775" s="56"/>
      <c r="F775" s="57"/>
      <c r="G775" s="78"/>
      <c r="H775" s="56"/>
      <c r="I775" s="56"/>
      <c r="J775" s="59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</row>
    <row r="776" spans="1:33" ht="61.5" customHeight="1" x14ac:dyDescent="0.25">
      <c r="A776" s="56"/>
      <c r="B776" s="56"/>
      <c r="C776" s="56"/>
      <c r="D776" s="56"/>
      <c r="E776" s="56"/>
      <c r="F776" s="57"/>
      <c r="G776" s="78"/>
      <c r="H776" s="56"/>
      <c r="I776" s="56"/>
      <c r="J776" s="59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</row>
    <row r="777" spans="1:33" ht="61.5" customHeight="1" x14ac:dyDescent="0.25">
      <c r="A777" s="56"/>
      <c r="B777" s="56"/>
      <c r="C777" s="56"/>
      <c r="D777" s="56"/>
      <c r="E777" s="56"/>
      <c r="F777" s="57"/>
      <c r="G777" s="78"/>
      <c r="H777" s="56"/>
      <c r="I777" s="56"/>
      <c r="J777" s="59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</row>
    <row r="778" spans="1:33" ht="61.5" customHeight="1" x14ac:dyDescent="0.25">
      <c r="A778" s="56"/>
      <c r="B778" s="56"/>
      <c r="C778" s="56"/>
      <c r="D778" s="56"/>
      <c r="E778" s="56"/>
      <c r="F778" s="57"/>
      <c r="G778" s="78"/>
      <c r="H778" s="56"/>
      <c r="I778" s="56"/>
      <c r="J778" s="59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</row>
    <row r="779" spans="1:33" ht="61.5" customHeight="1" x14ac:dyDescent="0.25">
      <c r="A779" s="56"/>
      <c r="B779" s="56"/>
      <c r="C779" s="56"/>
      <c r="D779" s="56"/>
      <c r="E779" s="56"/>
      <c r="F779" s="57"/>
      <c r="G779" s="78"/>
      <c r="H779" s="56"/>
      <c r="I779" s="56"/>
      <c r="J779" s="59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</row>
    <row r="780" spans="1:33" ht="61.5" customHeight="1" x14ac:dyDescent="0.25">
      <c r="A780" s="56"/>
      <c r="B780" s="56"/>
      <c r="C780" s="56"/>
      <c r="D780" s="56"/>
      <c r="E780" s="56"/>
      <c r="F780" s="57"/>
      <c r="G780" s="78"/>
      <c r="H780" s="56"/>
      <c r="I780" s="56"/>
      <c r="J780" s="59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</row>
    <row r="781" spans="1:33" ht="61.5" customHeight="1" x14ac:dyDescent="0.25">
      <c r="A781" s="56"/>
      <c r="B781" s="56"/>
      <c r="C781" s="56"/>
      <c r="D781" s="56"/>
      <c r="E781" s="56"/>
      <c r="F781" s="57"/>
      <c r="G781" s="78"/>
      <c r="H781" s="56"/>
      <c r="I781" s="56"/>
      <c r="J781" s="59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</row>
    <row r="782" spans="1:33" ht="61.5" customHeight="1" x14ac:dyDescent="0.25">
      <c r="A782" s="56"/>
      <c r="B782" s="56"/>
      <c r="C782" s="56"/>
      <c r="D782" s="56"/>
      <c r="E782" s="56"/>
      <c r="F782" s="57"/>
      <c r="G782" s="78"/>
      <c r="H782" s="56"/>
      <c r="I782" s="56"/>
      <c r="J782" s="59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</row>
    <row r="783" spans="1:33" ht="61.5" customHeight="1" x14ac:dyDescent="0.25">
      <c r="A783" s="56"/>
      <c r="B783" s="56"/>
      <c r="C783" s="56"/>
      <c r="D783" s="56"/>
      <c r="E783" s="56"/>
      <c r="F783" s="57"/>
      <c r="G783" s="78"/>
      <c r="H783" s="56"/>
      <c r="I783" s="56"/>
      <c r="J783" s="59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</row>
    <row r="784" spans="1:33" ht="61.5" customHeight="1" x14ac:dyDescent="0.25">
      <c r="A784" s="56"/>
      <c r="B784" s="56"/>
      <c r="C784" s="56"/>
      <c r="D784" s="56"/>
      <c r="E784" s="56"/>
      <c r="F784" s="57"/>
      <c r="G784" s="78"/>
      <c r="H784" s="56"/>
      <c r="I784" s="56"/>
      <c r="J784" s="59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</row>
    <row r="785" spans="1:33" ht="61.5" customHeight="1" x14ac:dyDescent="0.25">
      <c r="A785" s="56"/>
      <c r="B785" s="56"/>
      <c r="C785" s="56"/>
      <c r="D785" s="56"/>
      <c r="E785" s="56"/>
      <c r="F785" s="57"/>
      <c r="G785" s="78"/>
      <c r="H785" s="56"/>
      <c r="I785" s="56"/>
      <c r="J785" s="59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</row>
    <row r="786" spans="1:33" ht="61.5" customHeight="1" x14ac:dyDescent="0.25">
      <c r="A786" s="56"/>
      <c r="B786" s="56"/>
      <c r="C786" s="56"/>
      <c r="D786" s="56"/>
      <c r="E786" s="56"/>
      <c r="F786" s="57"/>
      <c r="G786" s="78"/>
      <c r="H786" s="56"/>
      <c r="I786" s="56"/>
      <c r="J786" s="59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</row>
    <row r="787" spans="1:33" ht="61.5" customHeight="1" x14ac:dyDescent="0.25">
      <c r="A787" s="56"/>
      <c r="B787" s="56"/>
      <c r="C787" s="56"/>
      <c r="D787" s="56"/>
      <c r="E787" s="56"/>
      <c r="F787" s="57"/>
      <c r="G787" s="78"/>
      <c r="H787" s="56"/>
      <c r="I787" s="56"/>
      <c r="J787" s="59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</row>
    <row r="788" spans="1:33" ht="61.5" customHeight="1" x14ac:dyDescent="0.25">
      <c r="A788" s="56"/>
      <c r="B788" s="56"/>
      <c r="C788" s="56"/>
      <c r="D788" s="56"/>
      <c r="E788" s="56"/>
      <c r="F788" s="57"/>
      <c r="G788" s="78"/>
      <c r="H788" s="56"/>
      <c r="I788" s="56"/>
      <c r="J788" s="59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</row>
    <row r="789" spans="1:33" ht="61.5" customHeight="1" x14ac:dyDescent="0.25">
      <c r="A789" s="56"/>
      <c r="B789" s="56"/>
      <c r="C789" s="56"/>
      <c r="D789" s="56"/>
      <c r="E789" s="56"/>
      <c r="F789" s="57"/>
      <c r="G789" s="78"/>
      <c r="H789" s="56"/>
      <c r="I789" s="56"/>
      <c r="J789" s="59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</row>
    <row r="790" spans="1:33" ht="61.5" customHeight="1" x14ac:dyDescent="0.25">
      <c r="A790" s="56"/>
      <c r="B790" s="56"/>
      <c r="C790" s="56"/>
      <c r="D790" s="56"/>
      <c r="E790" s="56"/>
      <c r="F790" s="57"/>
      <c r="G790" s="78"/>
      <c r="H790" s="56"/>
      <c r="I790" s="56"/>
      <c r="J790" s="59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</row>
    <row r="791" spans="1:33" ht="61.5" customHeight="1" x14ac:dyDescent="0.25">
      <c r="A791" s="56"/>
      <c r="B791" s="56"/>
      <c r="C791" s="56"/>
      <c r="D791" s="56"/>
      <c r="E791" s="56"/>
      <c r="F791" s="57"/>
      <c r="G791" s="78"/>
      <c r="H791" s="56"/>
      <c r="I791" s="56"/>
      <c r="J791" s="59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</row>
    <row r="792" spans="1:33" ht="61.5" customHeight="1" x14ac:dyDescent="0.25">
      <c r="A792" s="56"/>
      <c r="B792" s="56"/>
      <c r="C792" s="56"/>
      <c r="D792" s="56"/>
      <c r="E792" s="56"/>
      <c r="F792" s="57"/>
      <c r="G792" s="78"/>
      <c r="H792" s="56"/>
      <c r="I792" s="56"/>
      <c r="J792" s="59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</row>
    <row r="793" spans="1:33" ht="61.5" customHeight="1" x14ac:dyDescent="0.25">
      <c r="A793" s="56"/>
      <c r="B793" s="56"/>
      <c r="C793" s="56"/>
      <c r="D793" s="56"/>
      <c r="E793" s="56"/>
      <c r="F793" s="57"/>
      <c r="G793" s="78"/>
      <c r="H793" s="56"/>
      <c r="I793" s="56"/>
      <c r="J793" s="59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</row>
    <row r="794" spans="1:33" ht="61.5" customHeight="1" x14ac:dyDescent="0.25">
      <c r="A794" s="56"/>
      <c r="B794" s="56"/>
      <c r="C794" s="56"/>
      <c r="D794" s="56"/>
      <c r="E794" s="56"/>
      <c r="F794" s="57"/>
      <c r="G794" s="78"/>
      <c r="H794" s="56"/>
      <c r="I794" s="56"/>
      <c r="J794" s="59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</row>
    <row r="795" spans="1:33" ht="61.5" customHeight="1" x14ac:dyDescent="0.25">
      <c r="A795" s="56"/>
      <c r="B795" s="56"/>
      <c r="C795" s="56"/>
      <c r="D795" s="56"/>
      <c r="E795" s="56"/>
      <c r="F795" s="57"/>
      <c r="G795" s="78"/>
      <c r="H795" s="56"/>
      <c r="I795" s="56"/>
      <c r="J795" s="59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</row>
    <row r="796" spans="1:33" ht="61.5" customHeight="1" x14ac:dyDescent="0.25">
      <c r="A796" s="56"/>
      <c r="B796" s="56"/>
      <c r="C796" s="56"/>
      <c r="D796" s="56"/>
      <c r="E796" s="56"/>
      <c r="F796" s="57"/>
      <c r="G796" s="78"/>
      <c r="H796" s="56"/>
      <c r="I796" s="56"/>
      <c r="J796" s="59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</row>
    <row r="797" spans="1:33" ht="61.5" customHeight="1" x14ac:dyDescent="0.25">
      <c r="A797" s="56"/>
      <c r="B797" s="56"/>
      <c r="C797" s="56"/>
      <c r="D797" s="56"/>
      <c r="E797" s="56"/>
      <c r="F797" s="57"/>
      <c r="G797" s="78"/>
      <c r="H797" s="56"/>
      <c r="I797" s="56"/>
      <c r="J797" s="59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</row>
    <row r="798" spans="1:33" ht="61.5" customHeight="1" x14ac:dyDescent="0.25">
      <c r="A798" s="56"/>
      <c r="B798" s="56"/>
      <c r="C798" s="56"/>
      <c r="D798" s="56"/>
      <c r="E798" s="56"/>
      <c r="F798" s="57"/>
      <c r="G798" s="78"/>
      <c r="H798" s="56"/>
      <c r="I798" s="56"/>
      <c r="J798" s="59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</row>
    <row r="799" spans="1:33" ht="61.5" customHeight="1" x14ac:dyDescent="0.25">
      <c r="A799" s="56"/>
      <c r="B799" s="56"/>
      <c r="C799" s="56"/>
      <c r="D799" s="56"/>
      <c r="E799" s="56"/>
      <c r="F799" s="57"/>
      <c r="G799" s="78"/>
      <c r="H799" s="56"/>
      <c r="I799" s="56"/>
      <c r="J799" s="59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</row>
    <row r="800" spans="1:33" ht="61.5" customHeight="1" x14ac:dyDescent="0.25">
      <c r="A800" s="56"/>
      <c r="B800" s="56"/>
      <c r="C800" s="56"/>
      <c r="D800" s="56"/>
      <c r="E800" s="56"/>
      <c r="F800" s="57"/>
      <c r="G800" s="78"/>
      <c r="H800" s="56"/>
      <c r="I800" s="56"/>
      <c r="J800" s="59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</row>
    <row r="801" spans="1:33" ht="61.5" customHeight="1" x14ac:dyDescent="0.25">
      <c r="A801" s="56"/>
      <c r="B801" s="56"/>
      <c r="C801" s="56"/>
      <c r="D801" s="56"/>
      <c r="E801" s="56"/>
      <c r="F801" s="57"/>
      <c r="G801" s="78"/>
      <c r="H801" s="56"/>
      <c r="I801" s="56"/>
      <c r="J801" s="59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</row>
    <row r="802" spans="1:33" ht="61.5" customHeight="1" x14ac:dyDescent="0.25">
      <c r="A802" s="56"/>
      <c r="B802" s="56"/>
      <c r="C802" s="56"/>
      <c r="D802" s="56"/>
      <c r="E802" s="56"/>
      <c r="F802" s="57"/>
      <c r="G802" s="78"/>
      <c r="H802" s="56"/>
      <c r="I802" s="56"/>
      <c r="J802" s="59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</row>
    <row r="803" spans="1:33" ht="61.5" customHeight="1" x14ac:dyDescent="0.25">
      <c r="A803" s="56"/>
      <c r="B803" s="56"/>
      <c r="C803" s="56"/>
      <c r="D803" s="56"/>
      <c r="E803" s="56"/>
      <c r="F803" s="57"/>
      <c r="G803" s="78"/>
      <c r="H803" s="56"/>
      <c r="I803" s="56"/>
      <c r="J803" s="59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</row>
    <row r="804" spans="1:33" ht="61.5" customHeight="1" x14ac:dyDescent="0.25">
      <c r="A804" s="56"/>
      <c r="B804" s="56"/>
      <c r="C804" s="56"/>
      <c r="D804" s="56"/>
      <c r="E804" s="56"/>
      <c r="F804" s="57"/>
      <c r="G804" s="78"/>
      <c r="H804" s="56"/>
      <c r="I804" s="56"/>
      <c r="J804" s="59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</row>
    <row r="805" spans="1:33" ht="61.5" customHeight="1" x14ac:dyDescent="0.25">
      <c r="A805" s="56"/>
      <c r="B805" s="56"/>
      <c r="C805" s="56"/>
      <c r="D805" s="56"/>
      <c r="E805" s="56"/>
      <c r="F805" s="57"/>
      <c r="G805" s="78"/>
      <c r="H805" s="56"/>
      <c r="I805" s="56"/>
      <c r="J805" s="59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</row>
    <row r="806" spans="1:33" ht="61.5" customHeight="1" x14ac:dyDescent="0.25">
      <c r="A806" s="56"/>
      <c r="B806" s="56"/>
      <c r="C806" s="56"/>
      <c r="D806" s="56"/>
      <c r="E806" s="56"/>
      <c r="F806" s="57"/>
      <c r="G806" s="78"/>
      <c r="H806" s="56"/>
      <c r="I806" s="56"/>
      <c r="J806" s="59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</row>
    <row r="807" spans="1:33" ht="61.5" customHeight="1" x14ac:dyDescent="0.25">
      <c r="A807" s="56"/>
      <c r="B807" s="56"/>
      <c r="C807" s="56"/>
      <c r="D807" s="56"/>
      <c r="E807" s="56"/>
      <c r="F807" s="57"/>
      <c r="G807" s="78"/>
      <c r="H807" s="56"/>
      <c r="I807" s="56"/>
      <c r="J807" s="59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</row>
    <row r="808" spans="1:33" ht="61.5" customHeight="1" x14ac:dyDescent="0.25">
      <c r="A808" s="56"/>
      <c r="B808" s="56"/>
      <c r="C808" s="56"/>
      <c r="D808" s="56"/>
      <c r="E808" s="56"/>
      <c r="F808" s="57"/>
      <c r="G808" s="78"/>
      <c r="H808" s="56"/>
      <c r="I808" s="56"/>
      <c r="J808" s="59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</row>
    <row r="809" spans="1:33" ht="61.5" customHeight="1" x14ac:dyDescent="0.25">
      <c r="A809" s="56"/>
      <c r="B809" s="56"/>
      <c r="C809" s="56"/>
      <c r="D809" s="56"/>
      <c r="E809" s="56"/>
      <c r="F809" s="57"/>
      <c r="G809" s="78"/>
      <c r="H809" s="56"/>
      <c r="I809" s="56"/>
      <c r="J809" s="59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</row>
    <row r="810" spans="1:33" ht="61.5" customHeight="1" x14ac:dyDescent="0.25">
      <c r="A810" s="56"/>
      <c r="B810" s="56"/>
      <c r="C810" s="56"/>
      <c r="D810" s="56"/>
      <c r="E810" s="56"/>
      <c r="F810" s="57"/>
      <c r="G810" s="78"/>
      <c r="H810" s="56"/>
      <c r="I810" s="56"/>
      <c r="J810" s="59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</row>
    <row r="811" spans="1:33" ht="61.5" customHeight="1" x14ac:dyDescent="0.25">
      <c r="A811" s="56"/>
      <c r="B811" s="56"/>
      <c r="C811" s="56"/>
      <c r="D811" s="56"/>
      <c r="E811" s="56"/>
      <c r="F811" s="57"/>
      <c r="G811" s="78"/>
      <c r="H811" s="56"/>
      <c r="I811" s="56"/>
      <c r="J811" s="59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</row>
    <row r="812" spans="1:33" ht="61.5" customHeight="1" x14ac:dyDescent="0.25">
      <c r="A812" s="56"/>
      <c r="B812" s="56"/>
      <c r="C812" s="56"/>
      <c r="D812" s="56"/>
      <c r="E812" s="56"/>
      <c r="F812" s="57"/>
      <c r="G812" s="78"/>
      <c r="H812" s="56"/>
      <c r="I812" s="56"/>
      <c r="J812" s="59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</row>
    <row r="813" spans="1:33" ht="61.5" customHeight="1" x14ac:dyDescent="0.25">
      <c r="A813" s="56"/>
      <c r="B813" s="56"/>
      <c r="C813" s="56"/>
      <c r="D813" s="56"/>
      <c r="E813" s="56"/>
      <c r="F813" s="57"/>
      <c r="G813" s="78"/>
      <c r="H813" s="56"/>
      <c r="I813" s="56"/>
      <c r="J813" s="59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</row>
    <row r="814" spans="1:33" ht="61.5" customHeight="1" x14ac:dyDescent="0.25">
      <c r="A814" s="56"/>
      <c r="B814" s="56"/>
      <c r="C814" s="56"/>
      <c r="D814" s="56"/>
      <c r="E814" s="56"/>
      <c r="F814" s="57"/>
      <c r="G814" s="78"/>
      <c r="H814" s="56"/>
      <c r="I814" s="56"/>
      <c r="J814" s="59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</row>
    <row r="815" spans="1:33" ht="61.5" customHeight="1" x14ac:dyDescent="0.25">
      <c r="A815" s="56"/>
      <c r="B815" s="56"/>
      <c r="C815" s="56"/>
      <c r="D815" s="56"/>
      <c r="E815" s="56"/>
      <c r="F815" s="57"/>
      <c r="G815" s="78"/>
      <c r="H815" s="56"/>
      <c r="I815" s="56"/>
      <c r="J815" s="59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</row>
    <row r="816" spans="1:33" ht="61.5" customHeight="1" x14ac:dyDescent="0.25">
      <c r="A816" s="56"/>
      <c r="B816" s="56"/>
      <c r="C816" s="56"/>
      <c r="D816" s="56"/>
      <c r="E816" s="56"/>
      <c r="F816" s="57"/>
      <c r="G816" s="78"/>
      <c r="H816" s="56"/>
      <c r="I816" s="56"/>
      <c r="J816" s="59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</row>
    <row r="817" spans="1:33" ht="61.5" customHeight="1" x14ac:dyDescent="0.25">
      <c r="A817" s="56"/>
      <c r="B817" s="56"/>
      <c r="C817" s="56"/>
      <c r="D817" s="56"/>
      <c r="E817" s="56"/>
      <c r="F817" s="57"/>
      <c r="G817" s="78"/>
      <c r="H817" s="56"/>
      <c r="I817" s="56"/>
      <c r="J817" s="59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</row>
    <row r="818" spans="1:33" ht="61.5" customHeight="1" x14ac:dyDescent="0.25">
      <c r="A818" s="56"/>
      <c r="B818" s="56"/>
      <c r="C818" s="56"/>
      <c r="D818" s="56"/>
      <c r="E818" s="56"/>
      <c r="F818" s="57"/>
      <c r="G818" s="78"/>
      <c r="H818" s="56"/>
      <c r="I818" s="56"/>
      <c r="J818" s="59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</row>
    <row r="819" spans="1:33" ht="61.5" customHeight="1" x14ac:dyDescent="0.25">
      <c r="A819" s="56"/>
      <c r="B819" s="56"/>
      <c r="C819" s="56"/>
      <c r="D819" s="56"/>
      <c r="E819" s="56"/>
      <c r="F819" s="57"/>
      <c r="G819" s="78"/>
      <c r="H819" s="56"/>
      <c r="I819" s="56"/>
      <c r="J819" s="59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</row>
    <row r="820" spans="1:33" ht="61.5" customHeight="1" x14ac:dyDescent="0.25">
      <c r="A820" s="56"/>
      <c r="B820" s="56"/>
      <c r="C820" s="56"/>
      <c r="D820" s="56"/>
      <c r="E820" s="56"/>
      <c r="F820" s="57"/>
      <c r="G820" s="78"/>
      <c r="H820" s="56"/>
      <c r="I820" s="56"/>
      <c r="J820" s="59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</row>
    <row r="821" spans="1:33" ht="61.5" customHeight="1" x14ac:dyDescent="0.25">
      <c r="A821" s="56"/>
      <c r="B821" s="56"/>
      <c r="C821" s="56"/>
      <c r="D821" s="56"/>
      <c r="E821" s="56"/>
      <c r="F821" s="57"/>
      <c r="G821" s="78"/>
      <c r="H821" s="56"/>
      <c r="I821" s="56"/>
      <c r="J821" s="59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</row>
    <row r="822" spans="1:33" ht="61.5" customHeight="1" x14ac:dyDescent="0.25">
      <c r="A822" s="56"/>
      <c r="B822" s="56"/>
      <c r="C822" s="56"/>
      <c r="D822" s="56"/>
      <c r="E822" s="56"/>
      <c r="F822" s="57"/>
      <c r="G822" s="78"/>
      <c r="H822" s="56"/>
      <c r="I822" s="56"/>
      <c r="J822" s="59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</row>
    <row r="823" spans="1:33" ht="61.5" customHeight="1" x14ac:dyDescent="0.25">
      <c r="A823" s="56"/>
      <c r="B823" s="56"/>
      <c r="C823" s="56"/>
      <c r="D823" s="56"/>
      <c r="E823" s="56"/>
      <c r="F823" s="57"/>
      <c r="G823" s="78"/>
      <c r="H823" s="56"/>
      <c r="I823" s="56"/>
      <c r="J823" s="59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</row>
    <row r="824" spans="1:33" ht="61.5" customHeight="1" x14ac:dyDescent="0.25">
      <c r="A824" s="56"/>
      <c r="B824" s="56"/>
      <c r="C824" s="56"/>
      <c r="D824" s="56"/>
      <c r="E824" s="56"/>
      <c r="F824" s="57"/>
      <c r="G824" s="78"/>
      <c r="H824" s="56"/>
      <c r="I824" s="56"/>
      <c r="J824" s="59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</row>
    <row r="825" spans="1:33" ht="61.5" customHeight="1" x14ac:dyDescent="0.25">
      <c r="A825" s="56"/>
      <c r="B825" s="56"/>
      <c r="C825" s="56"/>
      <c r="D825" s="56"/>
      <c r="E825" s="56"/>
      <c r="F825" s="57"/>
      <c r="G825" s="78"/>
      <c r="H825" s="56"/>
      <c r="I825" s="56"/>
      <c r="J825" s="59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</row>
    <row r="826" spans="1:33" ht="61.5" customHeight="1" x14ac:dyDescent="0.25">
      <c r="A826" s="56"/>
      <c r="B826" s="56"/>
      <c r="C826" s="56"/>
      <c r="D826" s="56"/>
      <c r="E826" s="56"/>
      <c r="F826" s="57"/>
      <c r="G826" s="78"/>
      <c r="H826" s="56"/>
      <c r="I826" s="56"/>
      <c r="J826" s="59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</row>
    <row r="827" spans="1:33" ht="61.5" customHeight="1" x14ac:dyDescent="0.25">
      <c r="A827" s="56"/>
      <c r="B827" s="56"/>
      <c r="C827" s="56"/>
      <c r="D827" s="56"/>
      <c r="E827" s="56"/>
      <c r="F827" s="57"/>
      <c r="G827" s="78"/>
      <c r="H827" s="56"/>
      <c r="I827" s="56"/>
      <c r="J827" s="59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</row>
    <row r="828" spans="1:33" ht="61.5" customHeight="1" x14ac:dyDescent="0.25">
      <c r="A828" s="56"/>
      <c r="B828" s="56"/>
      <c r="C828" s="56"/>
      <c r="D828" s="56"/>
      <c r="E828" s="56"/>
      <c r="F828" s="57"/>
      <c r="G828" s="78"/>
      <c r="H828" s="56"/>
      <c r="I828" s="56"/>
      <c r="J828" s="59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</row>
    <row r="829" spans="1:33" ht="61.5" customHeight="1" x14ac:dyDescent="0.25">
      <c r="A829" s="56"/>
      <c r="B829" s="56"/>
      <c r="C829" s="56"/>
      <c r="D829" s="56"/>
      <c r="E829" s="56"/>
      <c r="F829" s="57"/>
      <c r="G829" s="78"/>
      <c r="H829" s="56"/>
      <c r="I829" s="56"/>
      <c r="J829" s="59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</row>
    <row r="830" spans="1:33" ht="61.5" customHeight="1" x14ac:dyDescent="0.25">
      <c r="A830" s="56"/>
      <c r="B830" s="56"/>
      <c r="C830" s="56"/>
      <c r="D830" s="56"/>
      <c r="E830" s="56"/>
      <c r="F830" s="57"/>
      <c r="G830" s="78"/>
      <c r="H830" s="56"/>
      <c r="I830" s="56"/>
      <c r="J830" s="59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</row>
    <row r="831" spans="1:33" ht="61.5" customHeight="1" x14ac:dyDescent="0.25">
      <c r="A831" s="56"/>
      <c r="B831" s="56"/>
      <c r="C831" s="56"/>
      <c r="D831" s="56"/>
      <c r="E831" s="56"/>
      <c r="F831" s="57"/>
      <c r="G831" s="78"/>
      <c r="H831" s="56"/>
      <c r="I831" s="56"/>
      <c r="J831" s="59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</row>
    <row r="832" spans="1:33" ht="61.5" customHeight="1" x14ac:dyDescent="0.25">
      <c r="A832" s="56"/>
      <c r="B832" s="56"/>
      <c r="C832" s="56"/>
      <c r="D832" s="56"/>
      <c r="E832" s="56"/>
      <c r="F832" s="57"/>
      <c r="G832" s="78"/>
      <c r="H832" s="56"/>
      <c r="I832" s="56"/>
      <c r="J832" s="59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</row>
    <row r="833" spans="1:33" ht="61.5" customHeight="1" x14ac:dyDescent="0.25">
      <c r="A833" s="56"/>
      <c r="B833" s="56"/>
      <c r="C833" s="56"/>
      <c r="D833" s="56"/>
      <c r="E833" s="56"/>
      <c r="F833" s="57"/>
      <c r="G833" s="78"/>
      <c r="H833" s="56"/>
      <c r="I833" s="56"/>
      <c r="J833" s="59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</row>
    <row r="834" spans="1:33" ht="61.5" customHeight="1" x14ac:dyDescent="0.25">
      <c r="A834" s="56"/>
      <c r="B834" s="56"/>
      <c r="C834" s="56"/>
      <c r="D834" s="56"/>
      <c r="E834" s="56"/>
      <c r="F834" s="57"/>
      <c r="G834" s="78"/>
      <c r="H834" s="56"/>
      <c r="I834" s="56"/>
      <c r="J834" s="59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</row>
    <row r="835" spans="1:33" ht="61.5" customHeight="1" x14ac:dyDescent="0.25">
      <c r="A835" s="56"/>
      <c r="B835" s="56"/>
      <c r="C835" s="56"/>
      <c r="D835" s="56"/>
      <c r="E835" s="56"/>
      <c r="F835" s="57"/>
      <c r="G835" s="78"/>
      <c r="H835" s="56"/>
      <c r="I835" s="56"/>
      <c r="J835" s="59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</row>
    <row r="836" spans="1:33" ht="61.5" customHeight="1" x14ac:dyDescent="0.25">
      <c r="A836" s="56"/>
      <c r="B836" s="56"/>
      <c r="C836" s="56"/>
      <c r="D836" s="56"/>
      <c r="E836" s="56"/>
      <c r="F836" s="57"/>
      <c r="G836" s="78"/>
      <c r="H836" s="56"/>
      <c r="I836" s="56"/>
      <c r="J836" s="59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</row>
    <row r="837" spans="1:33" ht="61.5" customHeight="1" x14ac:dyDescent="0.25">
      <c r="A837" s="56"/>
      <c r="B837" s="56"/>
      <c r="C837" s="56"/>
      <c r="D837" s="56"/>
      <c r="E837" s="56"/>
      <c r="F837" s="57"/>
      <c r="G837" s="78"/>
      <c r="H837" s="56"/>
      <c r="I837" s="56"/>
      <c r="J837" s="59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</row>
    <row r="838" spans="1:33" ht="61.5" customHeight="1" x14ac:dyDescent="0.25">
      <c r="A838" s="56"/>
      <c r="B838" s="56"/>
      <c r="C838" s="56"/>
      <c r="D838" s="56"/>
      <c r="E838" s="56"/>
      <c r="F838" s="57"/>
      <c r="G838" s="78"/>
      <c r="H838" s="56"/>
      <c r="I838" s="56"/>
      <c r="J838" s="59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</row>
    <row r="839" spans="1:33" ht="61.5" customHeight="1" x14ac:dyDescent="0.25">
      <c r="A839" s="56"/>
      <c r="B839" s="56"/>
      <c r="C839" s="56"/>
      <c r="D839" s="56"/>
      <c r="E839" s="56"/>
      <c r="F839" s="57"/>
      <c r="G839" s="78"/>
      <c r="H839" s="56"/>
      <c r="I839" s="56"/>
      <c r="J839" s="59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</row>
    <row r="840" spans="1:33" ht="61.5" customHeight="1" x14ac:dyDescent="0.25">
      <c r="A840" s="56"/>
      <c r="B840" s="56"/>
      <c r="C840" s="56"/>
      <c r="D840" s="56"/>
      <c r="E840" s="56"/>
      <c r="F840" s="57"/>
      <c r="G840" s="78"/>
      <c r="H840" s="56"/>
      <c r="I840" s="56"/>
      <c r="J840" s="59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</row>
    <row r="841" spans="1:33" ht="61.5" customHeight="1" x14ac:dyDescent="0.25">
      <c r="A841" s="56"/>
      <c r="B841" s="56"/>
      <c r="C841" s="56"/>
      <c r="D841" s="56"/>
      <c r="E841" s="56"/>
      <c r="F841" s="57"/>
      <c r="G841" s="78"/>
      <c r="H841" s="56"/>
      <c r="I841" s="56"/>
      <c r="J841" s="59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</row>
    <row r="842" spans="1:33" ht="61.5" customHeight="1" x14ac:dyDescent="0.25">
      <c r="A842" s="56"/>
      <c r="B842" s="56"/>
      <c r="C842" s="56"/>
      <c r="D842" s="56"/>
      <c r="E842" s="56"/>
      <c r="F842" s="57"/>
      <c r="G842" s="78"/>
      <c r="H842" s="56"/>
      <c r="I842" s="56"/>
      <c r="J842" s="59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</row>
    <row r="843" spans="1:33" ht="61.5" customHeight="1" x14ac:dyDescent="0.25">
      <c r="A843" s="56"/>
      <c r="B843" s="56"/>
      <c r="C843" s="56"/>
      <c r="D843" s="56"/>
      <c r="E843" s="56"/>
      <c r="F843" s="57"/>
      <c r="G843" s="78"/>
      <c r="H843" s="56"/>
      <c r="I843" s="56"/>
      <c r="J843" s="59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</row>
    <row r="844" spans="1:33" ht="61.5" customHeight="1" x14ac:dyDescent="0.25">
      <c r="A844" s="56"/>
      <c r="B844" s="56"/>
      <c r="C844" s="56"/>
      <c r="D844" s="56"/>
      <c r="E844" s="56"/>
      <c r="F844" s="57"/>
      <c r="G844" s="78"/>
      <c r="H844" s="56"/>
      <c r="I844" s="56"/>
      <c r="J844" s="59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</row>
    <row r="845" spans="1:33" ht="61.5" customHeight="1" x14ac:dyDescent="0.25">
      <c r="A845" s="56"/>
      <c r="B845" s="56"/>
      <c r="C845" s="56"/>
      <c r="D845" s="56"/>
      <c r="E845" s="56"/>
      <c r="F845" s="57"/>
      <c r="G845" s="78"/>
      <c r="H845" s="56"/>
      <c r="I845" s="56"/>
      <c r="J845" s="59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</row>
    <row r="846" spans="1:33" ht="61.5" customHeight="1" x14ac:dyDescent="0.25">
      <c r="A846" s="56"/>
      <c r="B846" s="56"/>
      <c r="C846" s="56"/>
      <c r="D846" s="56"/>
      <c r="E846" s="56"/>
      <c r="F846" s="57"/>
      <c r="G846" s="78"/>
      <c r="H846" s="56"/>
      <c r="I846" s="56"/>
      <c r="J846" s="59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</row>
    <row r="847" spans="1:33" ht="61.5" customHeight="1" x14ac:dyDescent="0.25">
      <c r="A847" s="56"/>
      <c r="B847" s="56"/>
      <c r="C847" s="56"/>
      <c r="D847" s="56"/>
      <c r="E847" s="56"/>
      <c r="F847" s="57"/>
      <c r="G847" s="78"/>
      <c r="H847" s="56"/>
      <c r="I847" s="56"/>
      <c r="J847" s="59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</row>
    <row r="848" spans="1:33" ht="61.5" customHeight="1" x14ac:dyDescent="0.25">
      <c r="A848" s="56"/>
      <c r="B848" s="56"/>
      <c r="C848" s="56"/>
      <c r="D848" s="56"/>
      <c r="E848" s="56"/>
      <c r="F848" s="57"/>
      <c r="G848" s="78"/>
      <c r="H848" s="56"/>
      <c r="I848" s="56"/>
      <c r="J848" s="59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</row>
    <row r="849" spans="1:33" ht="61.5" customHeight="1" x14ac:dyDescent="0.25">
      <c r="A849" s="56"/>
      <c r="B849" s="56"/>
      <c r="C849" s="56"/>
      <c r="D849" s="56"/>
      <c r="E849" s="56"/>
      <c r="F849" s="57"/>
      <c r="G849" s="78"/>
      <c r="H849" s="56"/>
      <c r="I849" s="56"/>
      <c r="J849" s="59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</row>
    <row r="850" spans="1:33" ht="61.5" customHeight="1" x14ac:dyDescent="0.25">
      <c r="A850" s="56"/>
      <c r="B850" s="56"/>
      <c r="C850" s="56"/>
      <c r="D850" s="56"/>
      <c r="E850" s="56"/>
      <c r="F850" s="57"/>
      <c r="G850" s="78"/>
      <c r="H850" s="56"/>
      <c r="I850" s="56"/>
      <c r="J850" s="59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</row>
    <row r="851" spans="1:33" ht="61.5" customHeight="1" x14ac:dyDescent="0.25">
      <c r="A851" s="56"/>
      <c r="B851" s="56"/>
      <c r="C851" s="56"/>
      <c r="D851" s="56"/>
      <c r="E851" s="56"/>
      <c r="F851" s="57"/>
      <c r="G851" s="78"/>
      <c r="H851" s="56"/>
      <c r="I851" s="56"/>
      <c r="J851" s="59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</row>
    <row r="852" spans="1:33" ht="61.5" customHeight="1" x14ac:dyDescent="0.25">
      <c r="A852" s="56"/>
      <c r="B852" s="56"/>
      <c r="C852" s="56"/>
      <c r="D852" s="56"/>
      <c r="E852" s="56"/>
      <c r="F852" s="57"/>
      <c r="G852" s="78"/>
      <c r="H852" s="56"/>
      <c r="I852" s="56"/>
      <c r="J852" s="59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</row>
    <row r="853" spans="1:33" ht="61.5" customHeight="1" x14ac:dyDescent="0.25">
      <c r="A853" s="56"/>
      <c r="B853" s="56"/>
      <c r="C853" s="56"/>
      <c r="D853" s="56"/>
      <c r="E853" s="56"/>
      <c r="F853" s="57"/>
      <c r="G853" s="78"/>
      <c r="H853" s="56"/>
      <c r="I853" s="56"/>
      <c r="J853" s="59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</row>
    <row r="854" spans="1:33" ht="61.5" customHeight="1" x14ac:dyDescent="0.25">
      <c r="A854" s="56"/>
      <c r="B854" s="56"/>
      <c r="C854" s="56"/>
      <c r="D854" s="56"/>
      <c r="E854" s="56"/>
      <c r="F854" s="57"/>
      <c r="G854" s="78"/>
      <c r="H854" s="56"/>
      <c r="I854" s="56"/>
      <c r="J854" s="59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</row>
    <row r="855" spans="1:33" ht="61.5" customHeight="1" x14ac:dyDescent="0.25">
      <c r="A855" s="56"/>
      <c r="B855" s="56"/>
      <c r="C855" s="56"/>
      <c r="D855" s="56"/>
      <c r="E855" s="56"/>
      <c r="F855" s="57"/>
      <c r="G855" s="78"/>
      <c r="H855" s="56"/>
      <c r="I855" s="56"/>
      <c r="J855" s="59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</row>
    <row r="856" spans="1:33" ht="61.5" customHeight="1" x14ac:dyDescent="0.25">
      <c r="A856" s="56"/>
      <c r="B856" s="56"/>
      <c r="C856" s="56"/>
      <c r="D856" s="56"/>
      <c r="E856" s="56"/>
      <c r="F856" s="57"/>
      <c r="G856" s="78"/>
      <c r="H856" s="56"/>
      <c r="I856" s="56"/>
      <c r="J856" s="59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</row>
    <row r="857" spans="1:33" ht="61.5" customHeight="1" x14ac:dyDescent="0.25">
      <c r="A857" s="56"/>
      <c r="B857" s="56"/>
      <c r="C857" s="56"/>
      <c r="D857" s="56"/>
      <c r="E857" s="56"/>
      <c r="F857" s="57"/>
      <c r="G857" s="78"/>
      <c r="H857" s="56"/>
      <c r="I857" s="56"/>
      <c r="J857" s="59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</row>
    <row r="858" spans="1:33" ht="61.5" customHeight="1" x14ac:dyDescent="0.25">
      <c r="A858" s="56"/>
      <c r="B858" s="56"/>
      <c r="C858" s="56"/>
      <c r="D858" s="56"/>
      <c r="E858" s="56"/>
      <c r="F858" s="57"/>
      <c r="G858" s="78"/>
      <c r="H858" s="56"/>
      <c r="I858" s="56"/>
      <c r="J858" s="59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</row>
    <row r="859" spans="1:33" ht="61.5" customHeight="1" x14ac:dyDescent="0.25">
      <c r="A859" s="56"/>
      <c r="B859" s="56"/>
      <c r="C859" s="56"/>
      <c r="D859" s="56"/>
      <c r="E859" s="56"/>
      <c r="F859" s="57"/>
      <c r="G859" s="78"/>
      <c r="H859" s="56"/>
      <c r="I859" s="56"/>
      <c r="J859" s="59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</row>
    <row r="860" spans="1:33" ht="61.5" customHeight="1" x14ac:dyDescent="0.25">
      <c r="A860" s="56"/>
      <c r="B860" s="56"/>
      <c r="C860" s="56"/>
      <c r="D860" s="56"/>
      <c r="E860" s="56"/>
      <c r="F860" s="57"/>
      <c r="G860" s="78"/>
      <c r="H860" s="56"/>
      <c r="I860" s="56"/>
      <c r="J860" s="59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</row>
    <row r="861" spans="1:33" ht="61.5" customHeight="1" x14ac:dyDescent="0.25">
      <c r="A861" s="56"/>
      <c r="B861" s="56"/>
      <c r="C861" s="56"/>
      <c r="D861" s="56"/>
      <c r="E861" s="56"/>
      <c r="F861" s="57"/>
      <c r="G861" s="78"/>
      <c r="H861" s="56"/>
      <c r="I861" s="56"/>
      <c r="J861" s="59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</row>
    <row r="862" spans="1:33" ht="61.5" customHeight="1" x14ac:dyDescent="0.25">
      <c r="A862" s="56"/>
      <c r="B862" s="56"/>
      <c r="C862" s="56"/>
      <c r="D862" s="56"/>
      <c r="E862" s="56"/>
      <c r="F862" s="57"/>
      <c r="G862" s="78"/>
      <c r="H862" s="56"/>
      <c r="I862" s="56"/>
      <c r="J862" s="59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</row>
    <row r="863" spans="1:33" ht="61.5" customHeight="1" x14ac:dyDescent="0.25">
      <c r="A863" s="56"/>
      <c r="B863" s="56"/>
      <c r="C863" s="56"/>
      <c r="D863" s="56"/>
      <c r="E863" s="56"/>
      <c r="F863" s="57"/>
      <c r="G863" s="78"/>
      <c r="H863" s="56"/>
      <c r="I863" s="56"/>
      <c r="J863" s="59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</row>
    <row r="864" spans="1:33" ht="61.5" customHeight="1" x14ac:dyDescent="0.25">
      <c r="A864" s="56"/>
      <c r="B864" s="56"/>
      <c r="C864" s="56"/>
      <c r="D864" s="56"/>
      <c r="E864" s="56"/>
      <c r="F864" s="57"/>
      <c r="G864" s="78"/>
      <c r="H864" s="56"/>
      <c r="I864" s="56"/>
      <c r="J864" s="59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</row>
    <row r="865" spans="1:33" ht="61.5" customHeight="1" x14ac:dyDescent="0.25">
      <c r="A865" s="56"/>
      <c r="B865" s="56"/>
      <c r="C865" s="56"/>
      <c r="D865" s="56"/>
      <c r="E865" s="56"/>
      <c r="F865" s="57"/>
      <c r="G865" s="78"/>
      <c r="H865" s="56"/>
      <c r="I865" s="56"/>
      <c r="J865" s="59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</row>
    <row r="866" spans="1:33" ht="61.5" customHeight="1" x14ac:dyDescent="0.25">
      <c r="A866" s="56"/>
      <c r="B866" s="56"/>
      <c r="C866" s="56"/>
      <c r="D866" s="56"/>
      <c r="E866" s="56"/>
      <c r="F866" s="57"/>
      <c r="G866" s="78"/>
      <c r="H866" s="56"/>
      <c r="I866" s="56"/>
      <c r="J866" s="59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</row>
    <row r="867" spans="1:33" ht="61.5" customHeight="1" x14ac:dyDescent="0.25">
      <c r="A867" s="56"/>
      <c r="B867" s="56"/>
      <c r="C867" s="56"/>
      <c r="D867" s="56"/>
      <c r="E867" s="56"/>
      <c r="F867" s="57"/>
      <c r="G867" s="78"/>
      <c r="H867" s="56"/>
      <c r="I867" s="56"/>
      <c r="J867" s="59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</row>
    <row r="868" spans="1:33" ht="61.5" customHeight="1" x14ac:dyDescent="0.25">
      <c r="A868" s="56"/>
      <c r="B868" s="56"/>
      <c r="C868" s="56"/>
      <c r="D868" s="56"/>
      <c r="E868" s="56"/>
      <c r="F868" s="57"/>
      <c r="G868" s="78"/>
      <c r="H868" s="56"/>
      <c r="I868" s="56"/>
      <c r="J868" s="59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</row>
    <row r="869" spans="1:33" ht="61.5" customHeight="1" x14ac:dyDescent="0.25">
      <c r="A869" s="56"/>
      <c r="B869" s="56"/>
      <c r="C869" s="56"/>
      <c r="D869" s="56"/>
      <c r="E869" s="56"/>
      <c r="F869" s="57"/>
      <c r="G869" s="78"/>
      <c r="H869" s="56"/>
      <c r="I869" s="56"/>
      <c r="J869" s="59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</row>
    <row r="870" spans="1:33" ht="61.5" customHeight="1" x14ac:dyDescent="0.25">
      <c r="A870" s="56"/>
      <c r="B870" s="56"/>
      <c r="C870" s="56"/>
      <c r="D870" s="56"/>
      <c r="E870" s="56"/>
      <c r="F870" s="57"/>
      <c r="G870" s="78"/>
      <c r="H870" s="56"/>
      <c r="I870" s="56"/>
      <c r="J870" s="59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</row>
    <row r="871" spans="1:33" ht="61.5" customHeight="1" x14ac:dyDescent="0.25">
      <c r="A871" s="56"/>
      <c r="B871" s="56"/>
      <c r="C871" s="56"/>
      <c r="D871" s="56"/>
      <c r="E871" s="56"/>
      <c r="F871" s="57"/>
      <c r="G871" s="78"/>
      <c r="H871" s="56"/>
      <c r="I871" s="56"/>
      <c r="J871" s="59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</row>
    <row r="872" spans="1:33" ht="61.5" customHeight="1" x14ac:dyDescent="0.25">
      <c r="A872" s="56"/>
      <c r="B872" s="56"/>
      <c r="C872" s="56"/>
      <c r="D872" s="56"/>
      <c r="E872" s="56"/>
      <c r="F872" s="57"/>
      <c r="G872" s="78"/>
      <c r="H872" s="56"/>
      <c r="I872" s="56"/>
      <c r="J872" s="59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</row>
    <row r="873" spans="1:33" ht="61.5" customHeight="1" x14ac:dyDescent="0.25">
      <c r="A873" s="56"/>
      <c r="B873" s="56"/>
      <c r="C873" s="56"/>
      <c r="D873" s="56"/>
      <c r="E873" s="56"/>
      <c r="F873" s="57"/>
      <c r="G873" s="78"/>
      <c r="H873" s="56"/>
      <c r="I873" s="56"/>
      <c r="J873" s="59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</row>
    <row r="874" spans="1:33" ht="61.5" customHeight="1" x14ac:dyDescent="0.25">
      <c r="A874" s="56"/>
      <c r="B874" s="56"/>
      <c r="C874" s="56"/>
      <c r="D874" s="56"/>
      <c r="E874" s="56"/>
      <c r="F874" s="57"/>
      <c r="G874" s="78"/>
      <c r="H874" s="56"/>
      <c r="I874" s="56"/>
      <c r="J874" s="59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</row>
    <row r="875" spans="1:33" ht="61.5" customHeight="1" x14ac:dyDescent="0.25">
      <c r="A875" s="56"/>
      <c r="B875" s="56"/>
      <c r="C875" s="56"/>
      <c r="D875" s="56"/>
      <c r="E875" s="56"/>
      <c r="F875" s="57"/>
      <c r="G875" s="78"/>
      <c r="H875" s="56"/>
      <c r="I875" s="56"/>
      <c r="J875" s="59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</row>
    <row r="876" spans="1:33" ht="61.5" customHeight="1" x14ac:dyDescent="0.25">
      <c r="A876" s="56"/>
      <c r="B876" s="56"/>
      <c r="C876" s="56"/>
      <c r="D876" s="56"/>
      <c r="E876" s="56"/>
      <c r="F876" s="57"/>
      <c r="G876" s="78"/>
      <c r="H876" s="56"/>
      <c r="I876" s="56"/>
      <c r="J876" s="59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</row>
    <row r="877" spans="1:33" ht="61.5" customHeight="1" x14ac:dyDescent="0.25">
      <c r="A877" s="56"/>
      <c r="B877" s="56"/>
      <c r="C877" s="56"/>
      <c r="D877" s="56"/>
      <c r="E877" s="56"/>
      <c r="F877" s="57"/>
      <c r="G877" s="78"/>
      <c r="H877" s="56"/>
      <c r="I877" s="56"/>
      <c r="J877" s="59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</row>
    <row r="878" spans="1:33" ht="61.5" customHeight="1" x14ac:dyDescent="0.25">
      <c r="A878" s="56"/>
      <c r="B878" s="56"/>
      <c r="C878" s="56"/>
      <c r="D878" s="56"/>
      <c r="E878" s="56"/>
      <c r="F878" s="57"/>
      <c r="G878" s="78"/>
      <c r="H878" s="56"/>
      <c r="I878" s="56"/>
      <c r="J878" s="59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</row>
    <row r="879" spans="1:33" ht="61.5" customHeight="1" x14ac:dyDescent="0.25">
      <c r="A879" s="56"/>
      <c r="B879" s="56"/>
      <c r="C879" s="56"/>
      <c r="D879" s="56"/>
      <c r="E879" s="56"/>
      <c r="F879" s="57"/>
      <c r="G879" s="78"/>
      <c r="H879" s="56"/>
      <c r="I879" s="56"/>
      <c r="J879" s="59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</row>
    <row r="880" spans="1:33" ht="61.5" customHeight="1" x14ac:dyDescent="0.25">
      <c r="A880" s="56"/>
      <c r="B880" s="56"/>
      <c r="C880" s="56"/>
      <c r="D880" s="56"/>
      <c r="E880" s="56"/>
      <c r="F880" s="57"/>
      <c r="G880" s="78"/>
      <c r="H880" s="56"/>
      <c r="I880" s="56"/>
      <c r="J880" s="59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</row>
    <row r="881" spans="1:33" ht="61.5" customHeight="1" x14ac:dyDescent="0.25">
      <c r="A881" s="56"/>
      <c r="B881" s="56"/>
      <c r="C881" s="56"/>
      <c r="D881" s="56"/>
      <c r="E881" s="56"/>
      <c r="F881" s="57"/>
      <c r="G881" s="78"/>
      <c r="H881" s="56"/>
      <c r="I881" s="56"/>
      <c r="J881" s="59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</row>
    <row r="882" spans="1:33" ht="61.5" customHeight="1" x14ac:dyDescent="0.25">
      <c r="A882" s="56"/>
      <c r="B882" s="56"/>
      <c r="C882" s="56"/>
      <c r="D882" s="56"/>
      <c r="E882" s="56"/>
      <c r="F882" s="57"/>
      <c r="G882" s="78"/>
      <c r="H882" s="56"/>
      <c r="I882" s="56"/>
      <c r="J882" s="59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</row>
    <row r="883" spans="1:33" ht="61.5" customHeight="1" x14ac:dyDescent="0.25">
      <c r="A883" s="56"/>
      <c r="B883" s="56"/>
      <c r="C883" s="56"/>
      <c r="D883" s="56"/>
      <c r="E883" s="56"/>
      <c r="F883" s="57"/>
      <c r="G883" s="78"/>
      <c r="H883" s="56"/>
      <c r="I883" s="56"/>
      <c r="J883" s="59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</row>
    <row r="884" spans="1:33" ht="61.5" customHeight="1" x14ac:dyDescent="0.25">
      <c r="A884" s="56"/>
      <c r="B884" s="56"/>
      <c r="C884" s="56"/>
      <c r="D884" s="56"/>
      <c r="E884" s="56"/>
      <c r="F884" s="57"/>
      <c r="G884" s="78"/>
      <c r="H884" s="56"/>
      <c r="I884" s="56"/>
      <c r="J884" s="59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</row>
    <row r="885" spans="1:33" ht="61.5" customHeight="1" x14ac:dyDescent="0.25">
      <c r="A885" s="56"/>
      <c r="B885" s="56"/>
      <c r="C885" s="56"/>
      <c r="D885" s="56"/>
      <c r="E885" s="56"/>
      <c r="F885" s="57"/>
      <c r="G885" s="78"/>
      <c r="H885" s="56"/>
      <c r="I885" s="56"/>
      <c r="J885" s="59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</row>
    <row r="886" spans="1:33" ht="61.5" customHeight="1" x14ac:dyDescent="0.25">
      <c r="A886" s="56"/>
      <c r="B886" s="56"/>
      <c r="C886" s="56"/>
      <c r="D886" s="56"/>
      <c r="E886" s="56"/>
      <c r="F886" s="57"/>
      <c r="G886" s="78"/>
      <c r="H886" s="56"/>
      <c r="I886" s="56"/>
      <c r="J886" s="59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</row>
    <row r="887" spans="1:33" ht="61.5" customHeight="1" x14ac:dyDescent="0.25">
      <c r="A887" s="56"/>
      <c r="B887" s="56"/>
      <c r="C887" s="56"/>
      <c r="D887" s="56"/>
      <c r="E887" s="56"/>
      <c r="F887" s="57"/>
      <c r="G887" s="78"/>
      <c r="H887" s="56"/>
      <c r="I887" s="56"/>
      <c r="J887" s="59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</row>
    <row r="888" spans="1:33" ht="61.5" customHeight="1" x14ac:dyDescent="0.25">
      <c r="A888" s="56"/>
      <c r="B888" s="56"/>
      <c r="C888" s="56"/>
      <c r="D888" s="56"/>
      <c r="E888" s="56"/>
      <c r="F888" s="57"/>
      <c r="G888" s="78"/>
      <c r="H888" s="56"/>
      <c r="I888" s="56"/>
      <c r="J888" s="59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</row>
    <row r="889" spans="1:33" ht="61.5" customHeight="1" x14ac:dyDescent="0.25">
      <c r="A889" s="56"/>
      <c r="B889" s="56"/>
      <c r="C889" s="56"/>
      <c r="D889" s="56"/>
      <c r="E889" s="56"/>
      <c r="F889" s="57"/>
      <c r="G889" s="78"/>
      <c r="H889" s="56"/>
      <c r="I889" s="56"/>
      <c r="J889" s="59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</row>
    <row r="890" spans="1:33" ht="61.5" customHeight="1" x14ac:dyDescent="0.25">
      <c r="A890" s="56"/>
      <c r="B890" s="56"/>
      <c r="C890" s="56"/>
      <c r="D890" s="56"/>
      <c r="E890" s="56"/>
      <c r="F890" s="57"/>
      <c r="G890" s="78"/>
      <c r="H890" s="56"/>
      <c r="I890" s="56"/>
      <c r="J890" s="59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</row>
    <row r="891" spans="1:33" ht="61.5" customHeight="1" x14ac:dyDescent="0.25">
      <c r="A891" s="56"/>
      <c r="B891" s="56"/>
      <c r="C891" s="56"/>
      <c r="D891" s="56"/>
      <c r="E891" s="56"/>
      <c r="F891" s="57"/>
      <c r="G891" s="78"/>
      <c r="H891" s="56"/>
      <c r="I891" s="56"/>
      <c r="J891" s="59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</row>
    <row r="892" spans="1:33" ht="61.5" customHeight="1" x14ac:dyDescent="0.25">
      <c r="A892" s="56"/>
      <c r="B892" s="56"/>
      <c r="C892" s="56"/>
      <c r="D892" s="56"/>
      <c r="E892" s="56"/>
      <c r="F892" s="57"/>
      <c r="G892" s="78"/>
      <c r="H892" s="56"/>
      <c r="I892" s="56"/>
      <c r="J892" s="59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</row>
    <row r="893" spans="1:33" ht="61.5" customHeight="1" x14ac:dyDescent="0.25">
      <c r="A893" s="56"/>
      <c r="B893" s="56"/>
      <c r="C893" s="56"/>
      <c r="D893" s="56"/>
      <c r="E893" s="56"/>
      <c r="F893" s="57"/>
      <c r="G893" s="78"/>
      <c r="H893" s="56"/>
      <c r="I893" s="56"/>
      <c r="J893" s="59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</row>
    <row r="894" spans="1:33" ht="61.5" customHeight="1" x14ac:dyDescent="0.25">
      <c r="A894" s="56"/>
      <c r="B894" s="56"/>
      <c r="C894" s="56"/>
      <c r="D894" s="56"/>
      <c r="E894" s="56"/>
      <c r="F894" s="57"/>
      <c r="G894" s="78"/>
      <c r="H894" s="56"/>
      <c r="I894" s="56"/>
      <c r="J894" s="59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</row>
    <row r="895" spans="1:33" ht="61.5" customHeight="1" x14ac:dyDescent="0.25">
      <c r="A895" s="56"/>
      <c r="B895" s="56"/>
      <c r="C895" s="56"/>
      <c r="D895" s="56"/>
      <c r="E895" s="56"/>
      <c r="F895" s="57"/>
      <c r="G895" s="78"/>
      <c r="H895" s="56"/>
      <c r="I895" s="56"/>
      <c r="J895" s="59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</row>
    <row r="896" spans="1:33" ht="61.5" customHeight="1" x14ac:dyDescent="0.25">
      <c r="A896" s="56"/>
      <c r="B896" s="56"/>
      <c r="C896" s="56"/>
      <c r="D896" s="56"/>
      <c r="E896" s="56"/>
      <c r="F896" s="57"/>
      <c r="G896" s="78"/>
      <c r="H896" s="56"/>
      <c r="I896" s="56"/>
      <c r="J896" s="59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</row>
    <row r="897" spans="1:33" ht="61.5" customHeight="1" x14ac:dyDescent="0.25">
      <c r="A897" s="56"/>
      <c r="B897" s="56"/>
      <c r="C897" s="56"/>
      <c r="D897" s="56"/>
      <c r="E897" s="56"/>
      <c r="F897" s="57"/>
      <c r="G897" s="78"/>
      <c r="H897" s="56"/>
      <c r="I897" s="56"/>
      <c r="J897" s="59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</row>
    <row r="898" spans="1:33" ht="61.5" customHeight="1" x14ac:dyDescent="0.25">
      <c r="A898" s="56"/>
      <c r="B898" s="56"/>
      <c r="C898" s="56"/>
      <c r="D898" s="56"/>
      <c r="E898" s="56"/>
      <c r="F898" s="57"/>
      <c r="G898" s="78"/>
      <c r="H898" s="56"/>
      <c r="I898" s="56"/>
      <c r="J898" s="59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</row>
    <row r="899" spans="1:33" ht="61.5" customHeight="1" x14ac:dyDescent="0.25">
      <c r="A899" s="56"/>
      <c r="B899" s="56"/>
      <c r="C899" s="56"/>
      <c r="D899" s="56"/>
      <c r="E899" s="56"/>
      <c r="F899" s="57"/>
      <c r="G899" s="78"/>
      <c r="H899" s="56"/>
      <c r="I899" s="56"/>
      <c r="J899" s="59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</row>
    <row r="900" spans="1:33" ht="61.5" customHeight="1" x14ac:dyDescent="0.25">
      <c r="A900" s="56"/>
      <c r="B900" s="56"/>
      <c r="C900" s="56"/>
      <c r="D900" s="56"/>
      <c r="E900" s="56"/>
      <c r="F900" s="57"/>
      <c r="G900" s="78"/>
      <c r="H900" s="56"/>
      <c r="I900" s="56"/>
      <c r="J900" s="59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</row>
    <row r="901" spans="1:33" ht="61.5" customHeight="1" x14ac:dyDescent="0.25">
      <c r="A901" s="56"/>
      <c r="B901" s="56"/>
      <c r="C901" s="56"/>
      <c r="D901" s="56"/>
      <c r="E901" s="56"/>
      <c r="F901" s="57"/>
      <c r="G901" s="78"/>
      <c r="H901" s="56"/>
      <c r="I901" s="56"/>
      <c r="J901" s="59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</row>
    <row r="902" spans="1:33" ht="61.5" customHeight="1" x14ac:dyDescent="0.25">
      <c r="A902" s="56"/>
      <c r="B902" s="56"/>
      <c r="C902" s="56"/>
      <c r="D902" s="56"/>
      <c r="E902" s="56"/>
      <c r="F902" s="57"/>
      <c r="G902" s="78"/>
      <c r="H902" s="56"/>
      <c r="I902" s="56"/>
      <c r="J902" s="59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</row>
    <row r="903" spans="1:33" ht="61.5" customHeight="1" x14ac:dyDescent="0.25">
      <c r="A903" s="56"/>
      <c r="B903" s="56"/>
      <c r="C903" s="56"/>
      <c r="D903" s="56"/>
      <c r="E903" s="56"/>
      <c r="F903" s="57"/>
      <c r="G903" s="78"/>
      <c r="H903" s="56"/>
      <c r="I903" s="56"/>
      <c r="J903" s="59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</row>
    <row r="904" spans="1:33" ht="61.5" customHeight="1" x14ac:dyDescent="0.25">
      <c r="A904" s="56"/>
      <c r="B904" s="56"/>
      <c r="C904" s="56"/>
      <c r="D904" s="56"/>
      <c r="E904" s="56"/>
      <c r="F904" s="57"/>
      <c r="G904" s="78"/>
      <c r="H904" s="56"/>
      <c r="I904" s="56"/>
      <c r="J904" s="59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</row>
    <row r="905" spans="1:33" ht="61.5" customHeight="1" x14ac:dyDescent="0.25">
      <c r="A905" s="56"/>
      <c r="B905" s="56"/>
      <c r="C905" s="56"/>
      <c r="D905" s="56"/>
      <c r="E905" s="56"/>
      <c r="F905" s="57"/>
      <c r="G905" s="78"/>
      <c r="H905" s="56"/>
      <c r="I905" s="56"/>
      <c r="J905" s="59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</row>
    <row r="906" spans="1:33" ht="61.5" customHeight="1" x14ac:dyDescent="0.25">
      <c r="A906" s="56"/>
      <c r="B906" s="56"/>
      <c r="C906" s="56"/>
      <c r="D906" s="56"/>
      <c r="E906" s="56"/>
      <c r="F906" s="57"/>
      <c r="G906" s="78"/>
      <c r="H906" s="56"/>
      <c r="I906" s="56"/>
      <c r="J906" s="59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</row>
    <row r="907" spans="1:33" ht="61.5" customHeight="1" x14ac:dyDescent="0.25">
      <c r="A907" s="56"/>
      <c r="B907" s="56"/>
      <c r="C907" s="56"/>
      <c r="D907" s="56"/>
      <c r="E907" s="56"/>
      <c r="F907" s="57"/>
      <c r="G907" s="78"/>
      <c r="H907" s="56"/>
      <c r="I907" s="56"/>
      <c r="J907" s="59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</row>
    <row r="908" spans="1:33" ht="61.5" customHeight="1" x14ac:dyDescent="0.25">
      <c r="A908" s="56"/>
      <c r="B908" s="56"/>
      <c r="C908" s="56"/>
      <c r="D908" s="56"/>
      <c r="E908" s="56"/>
      <c r="F908" s="57"/>
      <c r="G908" s="78"/>
      <c r="H908" s="56"/>
      <c r="I908" s="56"/>
      <c r="J908" s="59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</row>
    <row r="909" spans="1:33" ht="61.5" customHeight="1" x14ac:dyDescent="0.25">
      <c r="A909" s="56"/>
      <c r="B909" s="56"/>
      <c r="C909" s="56"/>
      <c r="D909" s="56"/>
      <c r="E909" s="56"/>
      <c r="F909" s="57"/>
      <c r="G909" s="78"/>
      <c r="H909" s="56"/>
      <c r="I909" s="56"/>
      <c r="J909" s="59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</row>
    <row r="910" spans="1:33" ht="61.5" customHeight="1" x14ac:dyDescent="0.25">
      <c r="A910" s="56"/>
      <c r="B910" s="56"/>
      <c r="C910" s="56"/>
      <c r="D910" s="56"/>
      <c r="E910" s="56"/>
      <c r="F910" s="57"/>
      <c r="G910" s="78"/>
      <c r="H910" s="56"/>
      <c r="I910" s="56"/>
      <c r="J910" s="59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</row>
    <row r="911" spans="1:33" ht="61.5" customHeight="1" x14ac:dyDescent="0.25">
      <c r="A911" s="56"/>
      <c r="B911" s="56"/>
      <c r="C911" s="56"/>
      <c r="D911" s="56"/>
      <c r="E911" s="56"/>
      <c r="F911" s="57"/>
      <c r="G911" s="78"/>
      <c r="H911" s="56"/>
      <c r="I911" s="56"/>
      <c r="J911" s="59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</row>
    <row r="912" spans="1:33" ht="61.5" customHeight="1" x14ac:dyDescent="0.25">
      <c r="A912" s="56"/>
      <c r="B912" s="56"/>
      <c r="C912" s="56"/>
      <c r="D912" s="56"/>
      <c r="E912" s="56"/>
      <c r="F912" s="57"/>
      <c r="G912" s="78"/>
      <c r="H912" s="56"/>
      <c r="I912" s="56"/>
      <c r="J912" s="59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</row>
    <row r="913" spans="1:33" ht="61.5" customHeight="1" x14ac:dyDescent="0.25">
      <c r="A913" s="56"/>
      <c r="B913" s="56"/>
      <c r="C913" s="56"/>
      <c r="D913" s="56"/>
      <c r="E913" s="56"/>
      <c r="F913" s="57"/>
      <c r="G913" s="78"/>
      <c r="H913" s="56"/>
      <c r="I913" s="56"/>
      <c r="J913" s="59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</row>
    <row r="914" spans="1:33" ht="61.5" customHeight="1" x14ac:dyDescent="0.25">
      <c r="A914" s="56"/>
      <c r="B914" s="56"/>
      <c r="C914" s="56"/>
      <c r="D914" s="56"/>
      <c r="E914" s="56"/>
      <c r="F914" s="57"/>
      <c r="G914" s="78"/>
      <c r="H914" s="56"/>
      <c r="I914" s="56"/>
      <c r="J914" s="59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</row>
    <row r="915" spans="1:33" ht="61.5" customHeight="1" x14ac:dyDescent="0.25">
      <c r="A915" s="56"/>
      <c r="B915" s="56"/>
      <c r="C915" s="56"/>
      <c r="D915" s="56"/>
      <c r="E915" s="56"/>
      <c r="F915" s="57"/>
      <c r="G915" s="78"/>
      <c r="H915" s="56"/>
      <c r="I915" s="56"/>
      <c r="J915" s="59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</row>
    <row r="916" spans="1:33" ht="61.5" customHeight="1" x14ac:dyDescent="0.25">
      <c r="A916" s="56"/>
      <c r="B916" s="56"/>
      <c r="C916" s="56"/>
      <c r="D916" s="56"/>
      <c r="E916" s="56"/>
      <c r="F916" s="57"/>
      <c r="G916" s="78"/>
      <c r="H916" s="56"/>
      <c r="I916" s="56"/>
      <c r="J916" s="59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</row>
    <row r="917" spans="1:33" ht="61.5" customHeight="1" x14ac:dyDescent="0.25">
      <c r="A917" s="56"/>
      <c r="B917" s="56"/>
      <c r="C917" s="56"/>
      <c r="D917" s="56"/>
      <c r="E917" s="56"/>
      <c r="F917" s="57"/>
      <c r="G917" s="78"/>
      <c r="H917" s="56"/>
      <c r="I917" s="56"/>
      <c r="J917" s="59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</row>
    <row r="918" spans="1:33" ht="61.5" customHeight="1" x14ac:dyDescent="0.25">
      <c r="A918" s="56"/>
      <c r="B918" s="56"/>
      <c r="C918" s="56"/>
      <c r="D918" s="56"/>
      <c r="E918" s="56"/>
      <c r="F918" s="57"/>
      <c r="G918" s="78"/>
      <c r="H918" s="56"/>
      <c r="I918" s="56"/>
      <c r="J918" s="59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</row>
    <row r="919" spans="1:33" ht="61.5" customHeight="1" x14ac:dyDescent="0.25">
      <c r="A919" s="56"/>
      <c r="B919" s="56"/>
      <c r="C919" s="56"/>
      <c r="D919" s="56"/>
      <c r="E919" s="56"/>
      <c r="F919" s="57"/>
      <c r="G919" s="78"/>
      <c r="H919" s="56"/>
      <c r="I919" s="56"/>
      <c r="J919" s="59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</row>
    <row r="920" spans="1:33" ht="61.5" customHeight="1" x14ac:dyDescent="0.25">
      <c r="A920" s="56"/>
      <c r="B920" s="56"/>
      <c r="C920" s="56"/>
      <c r="D920" s="56"/>
      <c r="E920" s="56"/>
      <c r="F920" s="57"/>
      <c r="G920" s="78"/>
      <c r="H920" s="56"/>
      <c r="I920" s="56"/>
      <c r="J920" s="59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</row>
    <row r="921" spans="1:33" ht="61.5" customHeight="1" x14ac:dyDescent="0.25">
      <c r="A921" s="56"/>
      <c r="B921" s="56"/>
      <c r="C921" s="56"/>
      <c r="D921" s="56"/>
      <c r="E921" s="56"/>
      <c r="F921" s="57"/>
      <c r="G921" s="78"/>
      <c r="H921" s="56"/>
      <c r="I921" s="56"/>
      <c r="J921" s="59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</row>
    <row r="922" spans="1:33" ht="61.5" customHeight="1" x14ac:dyDescent="0.25">
      <c r="A922" s="56"/>
      <c r="B922" s="56"/>
      <c r="C922" s="56"/>
      <c r="D922" s="56"/>
      <c r="E922" s="56"/>
      <c r="F922" s="57"/>
      <c r="G922" s="78"/>
      <c r="H922" s="56"/>
      <c r="I922" s="56"/>
      <c r="J922" s="59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</row>
    <row r="923" spans="1:33" ht="61.5" customHeight="1" x14ac:dyDescent="0.25">
      <c r="A923" s="56"/>
      <c r="B923" s="56"/>
      <c r="C923" s="56"/>
      <c r="D923" s="56"/>
      <c r="E923" s="56"/>
      <c r="F923" s="57"/>
      <c r="G923" s="78"/>
      <c r="H923" s="56"/>
      <c r="I923" s="56"/>
      <c r="J923" s="59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</row>
    <row r="924" spans="1:33" ht="61.5" customHeight="1" x14ac:dyDescent="0.25">
      <c r="A924" s="56"/>
      <c r="B924" s="56"/>
      <c r="C924" s="56"/>
      <c r="D924" s="56"/>
      <c r="E924" s="56"/>
      <c r="F924" s="57"/>
      <c r="G924" s="78"/>
      <c r="H924" s="56"/>
      <c r="I924" s="56"/>
      <c r="J924" s="59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</row>
    <row r="925" spans="1:33" ht="61.5" customHeight="1" x14ac:dyDescent="0.25">
      <c r="A925" s="56"/>
      <c r="B925" s="56"/>
      <c r="C925" s="56"/>
      <c r="D925" s="56"/>
      <c r="E925" s="56"/>
      <c r="F925" s="57"/>
      <c r="G925" s="78"/>
      <c r="H925" s="56"/>
      <c r="I925" s="56"/>
      <c r="J925" s="59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</row>
    <row r="926" spans="1:33" ht="61.5" customHeight="1" x14ac:dyDescent="0.25">
      <c r="A926" s="56"/>
      <c r="B926" s="56"/>
      <c r="C926" s="56"/>
      <c r="D926" s="56"/>
      <c r="E926" s="56"/>
      <c r="F926" s="57"/>
      <c r="G926" s="78"/>
      <c r="H926" s="56"/>
      <c r="I926" s="56"/>
      <c r="J926" s="59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</row>
    <row r="927" spans="1:33" ht="61.5" customHeight="1" x14ac:dyDescent="0.25">
      <c r="A927" s="56"/>
      <c r="B927" s="56"/>
      <c r="C927" s="56"/>
      <c r="D927" s="56"/>
      <c r="E927" s="56"/>
      <c r="F927" s="57"/>
      <c r="G927" s="78"/>
      <c r="H927" s="56"/>
      <c r="I927" s="56"/>
      <c r="J927" s="59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</row>
    <row r="928" spans="1:33" ht="61.5" customHeight="1" x14ac:dyDescent="0.25">
      <c r="A928" s="56"/>
      <c r="B928" s="56"/>
      <c r="C928" s="56"/>
      <c r="D928" s="56"/>
      <c r="E928" s="56"/>
      <c r="F928" s="57"/>
      <c r="G928" s="78"/>
      <c r="H928" s="56"/>
      <c r="I928" s="56"/>
      <c r="J928" s="59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</row>
    <row r="929" spans="1:33" ht="61.5" customHeight="1" x14ac:dyDescent="0.25">
      <c r="A929" s="56"/>
      <c r="B929" s="56"/>
      <c r="C929" s="56"/>
      <c r="D929" s="56"/>
      <c r="E929" s="56"/>
      <c r="F929" s="57"/>
      <c r="G929" s="78"/>
      <c r="H929" s="56"/>
      <c r="I929" s="56"/>
      <c r="J929" s="59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</row>
    <row r="930" spans="1:33" ht="61.5" customHeight="1" x14ac:dyDescent="0.25">
      <c r="A930" s="56"/>
      <c r="B930" s="56"/>
      <c r="C930" s="56"/>
      <c r="D930" s="56"/>
      <c r="E930" s="56"/>
      <c r="F930" s="57"/>
      <c r="G930" s="78"/>
      <c r="H930" s="56"/>
      <c r="I930" s="56"/>
      <c r="J930" s="59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</row>
    <row r="931" spans="1:33" ht="61.5" customHeight="1" x14ac:dyDescent="0.25">
      <c r="A931" s="56"/>
      <c r="B931" s="56"/>
      <c r="C931" s="56"/>
      <c r="D931" s="56"/>
      <c r="E931" s="56"/>
      <c r="F931" s="57"/>
      <c r="G931" s="78"/>
      <c r="H931" s="56"/>
      <c r="I931" s="56"/>
      <c r="J931" s="59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</row>
    <row r="932" spans="1:33" ht="61.5" customHeight="1" x14ac:dyDescent="0.25">
      <c r="A932" s="56"/>
      <c r="B932" s="56"/>
      <c r="C932" s="56"/>
      <c r="D932" s="56"/>
      <c r="E932" s="56"/>
      <c r="F932" s="57"/>
      <c r="G932" s="78"/>
      <c r="H932" s="56"/>
      <c r="I932" s="56"/>
      <c r="J932" s="59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</row>
    <row r="933" spans="1:33" ht="61.5" customHeight="1" x14ac:dyDescent="0.25">
      <c r="A933" s="56"/>
      <c r="B933" s="56"/>
      <c r="C933" s="56"/>
      <c r="D933" s="56"/>
      <c r="E933" s="56"/>
      <c r="F933" s="57"/>
      <c r="G933" s="78"/>
      <c r="H933" s="56"/>
      <c r="I933" s="56"/>
      <c r="J933" s="59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</row>
    <row r="934" spans="1:33" ht="61.5" customHeight="1" x14ac:dyDescent="0.25">
      <c r="A934" s="56"/>
      <c r="B934" s="56"/>
      <c r="C934" s="56"/>
      <c r="D934" s="56"/>
      <c r="E934" s="56"/>
      <c r="F934" s="57"/>
      <c r="G934" s="78"/>
      <c r="H934" s="56"/>
      <c r="I934" s="56"/>
      <c r="J934" s="59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</row>
    <row r="935" spans="1:33" ht="61.5" customHeight="1" x14ac:dyDescent="0.25">
      <c r="A935" s="56"/>
      <c r="B935" s="56"/>
      <c r="C935" s="56"/>
      <c r="D935" s="56"/>
      <c r="E935" s="56"/>
      <c r="F935" s="57"/>
      <c r="G935" s="78"/>
      <c r="H935" s="56"/>
      <c r="I935" s="56"/>
      <c r="J935" s="59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</row>
    <row r="936" spans="1:33" ht="61.5" customHeight="1" x14ac:dyDescent="0.25">
      <c r="A936" s="56"/>
      <c r="B936" s="56"/>
      <c r="C936" s="56"/>
      <c r="D936" s="56"/>
      <c r="E936" s="56"/>
      <c r="F936" s="57"/>
      <c r="G936" s="78"/>
      <c r="H936" s="56"/>
      <c r="I936" s="56"/>
      <c r="J936" s="59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</row>
    <row r="937" spans="1:33" ht="61.5" customHeight="1" x14ac:dyDescent="0.25">
      <c r="A937" s="56"/>
      <c r="B937" s="56"/>
      <c r="C937" s="56"/>
      <c r="D937" s="56"/>
      <c r="E937" s="56"/>
      <c r="F937" s="57"/>
      <c r="G937" s="78"/>
      <c r="H937" s="56"/>
      <c r="I937" s="56"/>
      <c r="J937" s="59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</row>
    <row r="938" spans="1:33" ht="61.5" customHeight="1" x14ac:dyDescent="0.25">
      <c r="A938" s="56"/>
      <c r="B938" s="56"/>
      <c r="C938" s="56"/>
      <c r="D938" s="56"/>
      <c r="E938" s="56"/>
      <c r="F938" s="57"/>
      <c r="G938" s="78"/>
      <c r="H938" s="56"/>
      <c r="I938" s="56"/>
      <c r="J938" s="59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</row>
    <row r="939" spans="1:33" ht="61.5" customHeight="1" x14ac:dyDescent="0.25">
      <c r="A939" s="56"/>
      <c r="B939" s="56"/>
      <c r="C939" s="56"/>
      <c r="D939" s="56"/>
      <c r="E939" s="56"/>
      <c r="F939" s="57"/>
      <c r="G939" s="78"/>
      <c r="H939" s="56"/>
      <c r="I939" s="56"/>
      <c r="J939" s="59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</row>
    <row r="940" spans="1:33" ht="61.5" customHeight="1" x14ac:dyDescent="0.25">
      <c r="A940" s="56"/>
      <c r="B940" s="56"/>
      <c r="C940" s="56"/>
      <c r="D940" s="56"/>
      <c r="E940" s="56"/>
      <c r="F940" s="57"/>
      <c r="G940" s="78"/>
      <c r="H940" s="56"/>
      <c r="I940" s="56"/>
      <c r="J940" s="59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</row>
    <row r="941" spans="1:33" ht="61.5" customHeight="1" x14ac:dyDescent="0.25">
      <c r="A941" s="56"/>
      <c r="B941" s="56"/>
      <c r="C941" s="56"/>
      <c r="D941" s="56"/>
      <c r="E941" s="56"/>
      <c r="F941" s="57"/>
      <c r="G941" s="78"/>
      <c r="H941" s="56"/>
      <c r="I941" s="56"/>
      <c r="J941" s="59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</row>
    <row r="942" spans="1:33" ht="61.5" customHeight="1" x14ac:dyDescent="0.25">
      <c r="A942" s="56"/>
      <c r="B942" s="56"/>
      <c r="C942" s="56"/>
      <c r="D942" s="56"/>
      <c r="E942" s="56"/>
      <c r="F942" s="57"/>
      <c r="G942" s="78"/>
      <c r="H942" s="56"/>
      <c r="I942" s="56"/>
      <c r="J942" s="59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</row>
    <row r="943" spans="1:33" ht="61.5" customHeight="1" x14ac:dyDescent="0.25">
      <c r="A943" s="56"/>
      <c r="B943" s="56"/>
      <c r="C943" s="56"/>
      <c r="D943" s="56"/>
      <c r="E943" s="56"/>
      <c r="F943" s="57"/>
      <c r="G943" s="78"/>
      <c r="H943" s="56"/>
      <c r="I943" s="56"/>
      <c r="J943" s="59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</row>
    <row r="944" spans="1:33" ht="61.5" customHeight="1" x14ac:dyDescent="0.25">
      <c r="A944" s="56"/>
      <c r="B944" s="56"/>
      <c r="C944" s="56"/>
      <c r="D944" s="56"/>
      <c r="E944" s="56"/>
      <c r="F944" s="57"/>
      <c r="G944" s="78"/>
      <c r="H944" s="56"/>
      <c r="I944" s="56"/>
      <c r="J944" s="59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</row>
    <row r="945" spans="1:33" ht="61.5" customHeight="1" x14ac:dyDescent="0.25">
      <c r="A945" s="56"/>
      <c r="B945" s="56"/>
      <c r="C945" s="56"/>
      <c r="D945" s="56"/>
      <c r="E945" s="56"/>
      <c r="F945" s="57"/>
      <c r="G945" s="78"/>
      <c r="H945" s="56"/>
      <c r="I945" s="56"/>
      <c r="J945" s="59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</row>
    <row r="946" spans="1:33" ht="61.5" customHeight="1" x14ac:dyDescent="0.25">
      <c r="A946" s="56"/>
      <c r="B946" s="56"/>
      <c r="C946" s="56"/>
      <c r="D946" s="56"/>
      <c r="E946" s="56"/>
      <c r="F946" s="57"/>
      <c r="G946" s="78"/>
      <c r="H946" s="56"/>
      <c r="I946" s="56"/>
      <c r="J946" s="59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</row>
    <row r="947" spans="1:33" ht="61.5" customHeight="1" x14ac:dyDescent="0.25">
      <c r="A947" s="56"/>
      <c r="B947" s="56"/>
      <c r="C947" s="56"/>
      <c r="D947" s="56"/>
      <c r="E947" s="56"/>
      <c r="F947" s="57"/>
      <c r="G947" s="78"/>
      <c r="H947" s="56"/>
      <c r="I947" s="56"/>
      <c r="J947" s="59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</row>
    <row r="948" spans="1:33" ht="61.5" customHeight="1" x14ac:dyDescent="0.25">
      <c r="A948" s="56"/>
      <c r="B948" s="56"/>
      <c r="C948" s="56"/>
      <c r="D948" s="56"/>
      <c r="E948" s="56"/>
      <c r="F948" s="57"/>
      <c r="G948" s="78"/>
      <c r="H948" s="56"/>
      <c r="I948" s="56"/>
      <c r="J948" s="59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</row>
    <row r="949" spans="1:33" ht="61.5" customHeight="1" x14ac:dyDescent="0.25">
      <c r="A949" s="56"/>
      <c r="B949" s="56"/>
      <c r="C949" s="56"/>
      <c r="D949" s="56"/>
      <c r="E949" s="56"/>
      <c r="F949" s="57"/>
      <c r="G949" s="78"/>
      <c r="H949" s="56"/>
      <c r="I949" s="56"/>
      <c r="J949" s="59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</row>
    <row r="950" spans="1:33" ht="61.5" customHeight="1" x14ac:dyDescent="0.25">
      <c r="A950" s="56"/>
      <c r="B950" s="56"/>
      <c r="C950" s="56"/>
      <c r="D950" s="56"/>
      <c r="E950" s="56"/>
      <c r="F950" s="57"/>
      <c r="G950" s="78"/>
      <c r="H950" s="56"/>
      <c r="I950" s="56"/>
      <c r="J950" s="59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</row>
    <row r="951" spans="1:33" ht="61.5" customHeight="1" x14ac:dyDescent="0.25">
      <c r="A951" s="56"/>
      <c r="B951" s="56"/>
      <c r="C951" s="56"/>
      <c r="D951" s="56"/>
      <c r="E951" s="56"/>
      <c r="F951" s="57"/>
      <c r="G951" s="78"/>
      <c r="H951" s="56"/>
      <c r="I951" s="56"/>
      <c r="J951" s="59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</row>
    <row r="952" spans="1:33" ht="61.5" customHeight="1" x14ac:dyDescent="0.25">
      <c r="A952" s="56"/>
      <c r="B952" s="56"/>
      <c r="C952" s="56"/>
      <c r="D952" s="56"/>
      <c r="E952" s="56"/>
      <c r="F952" s="57"/>
      <c r="G952" s="78"/>
      <c r="H952" s="56"/>
      <c r="I952" s="56"/>
      <c r="J952" s="59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</row>
    <row r="953" spans="1:33" ht="61.5" customHeight="1" x14ac:dyDescent="0.25">
      <c r="A953" s="56"/>
      <c r="B953" s="56"/>
      <c r="C953" s="56"/>
      <c r="D953" s="56"/>
      <c r="E953" s="56"/>
      <c r="F953" s="57"/>
      <c r="G953" s="78"/>
      <c r="H953" s="56"/>
      <c r="I953" s="56"/>
      <c r="J953" s="59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</row>
    <row r="954" spans="1:33" ht="61.5" customHeight="1" x14ac:dyDescent="0.25">
      <c r="A954" s="56"/>
      <c r="B954" s="56"/>
      <c r="C954" s="56"/>
      <c r="D954" s="56"/>
      <c r="E954" s="56"/>
      <c r="F954" s="57"/>
      <c r="G954" s="78"/>
      <c r="H954" s="56"/>
      <c r="I954" s="56"/>
      <c r="J954" s="59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</row>
    <row r="955" spans="1:33" ht="61.5" customHeight="1" x14ac:dyDescent="0.25">
      <c r="A955" s="56"/>
      <c r="B955" s="56"/>
      <c r="C955" s="56"/>
      <c r="D955" s="56"/>
      <c r="E955" s="56"/>
      <c r="F955" s="57"/>
      <c r="G955" s="78"/>
      <c r="H955" s="56"/>
      <c r="I955" s="56"/>
      <c r="J955" s="59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</row>
    <row r="956" spans="1:33" ht="61.5" customHeight="1" x14ac:dyDescent="0.25">
      <c r="A956" s="56"/>
      <c r="B956" s="56"/>
      <c r="C956" s="56"/>
      <c r="D956" s="56"/>
      <c r="E956" s="56"/>
      <c r="F956" s="57"/>
      <c r="G956" s="78"/>
      <c r="H956" s="56"/>
      <c r="I956" s="56"/>
      <c r="J956" s="59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</row>
    <row r="957" spans="1:33" ht="61.5" customHeight="1" x14ac:dyDescent="0.25">
      <c r="A957" s="56"/>
      <c r="B957" s="56"/>
      <c r="C957" s="56"/>
      <c r="D957" s="56"/>
      <c r="E957" s="56"/>
      <c r="F957" s="57"/>
      <c r="G957" s="78"/>
      <c r="H957" s="56"/>
      <c r="I957" s="56"/>
      <c r="J957" s="59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</row>
    <row r="958" spans="1:33" ht="61.5" customHeight="1" x14ac:dyDescent="0.25">
      <c r="A958" s="56"/>
      <c r="B958" s="56"/>
      <c r="C958" s="56"/>
      <c r="D958" s="56"/>
      <c r="E958" s="56"/>
      <c r="F958" s="57"/>
      <c r="G958" s="78"/>
      <c r="H958" s="56"/>
      <c r="I958" s="56"/>
      <c r="J958" s="59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</row>
    <row r="959" spans="1:33" ht="61.5" customHeight="1" x14ac:dyDescent="0.25">
      <c r="A959" s="56"/>
      <c r="B959" s="56"/>
      <c r="C959" s="56"/>
      <c r="D959" s="56"/>
      <c r="E959" s="56"/>
      <c r="F959" s="57"/>
      <c r="G959" s="78"/>
      <c r="H959" s="56"/>
      <c r="I959" s="56"/>
      <c r="J959" s="59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</row>
    <row r="960" spans="1:33" ht="61.5" customHeight="1" x14ac:dyDescent="0.25">
      <c r="A960" s="56"/>
      <c r="B960" s="56"/>
      <c r="C960" s="56"/>
      <c r="D960" s="56"/>
      <c r="E960" s="56"/>
      <c r="F960" s="57"/>
      <c r="G960" s="78"/>
      <c r="H960" s="56"/>
      <c r="I960" s="56"/>
      <c r="J960" s="59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</row>
    <row r="961" spans="1:33" ht="61.5" customHeight="1" x14ac:dyDescent="0.25">
      <c r="A961" s="56"/>
      <c r="B961" s="56"/>
      <c r="C961" s="56"/>
      <c r="D961" s="56"/>
      <c r="E961" s="56"/>
      <c r="F961" s="57"/>
      <c r="G961" s="78"/>
      <c r="H961" s="56"/>
      <c r="I961" s="56"/>
      <c r="J961" s="59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</row>
    <row r="962" spans="1:33" ht="61.5" customHeight="1" x14ac:dyDescent="0.25">
      <c r="A962" s="56"/>
      <c r="B962" s="56"/>
      <c r="C962" s="56"/>
      <c r="D962" s="56"/>
      <c r="E962" s="56"/>
      <c r="F962" s="57"/>
      <c r="G962" s="78"/>
      <c r="H962" s="56"/>
      <c r="I962" s="56"/>
      <c r="J962" s="59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</row>
    <row r="963" spans="1:33" ht="61.5" customHeight="1" x14ac:dyDescent="0.25">
      <c r="A963" s="56"/>
      <c r="B963" s="56"/>
      <c r="C963" s="56"/>
      <c r="D963" s="56"/>
      <c r="E963" s="56"/>
      <c r="F963" s="57"/>
      <c r="G963" s="78"/>
      <c r="H963" s="56"/>
      <c r="I963" s="56"/>
      <c r="J963" s="59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</row>
    <row r="964" spans="1:33" ht="61.5" customHeight="1" x14ac:dyDescent="0.25">
      <c r="A964" s="56"/>
      <c r="B964" s="56"/>
      <c r="C964" s="56"/>
      <c r="D964" s="56"/>
      <c r="E964" s="56"/>
      <c r="F964" s="57"/>
      <c r="G964" s="78"/>
      <c r="H964" s="56"/>
      <c r="I964" s="56"/>
      <c r="J964" s="59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</row>
    <row r="965" spans="1:33" ht="61.5" customHeight="1" x14ac:dyDescent="0.25">
      <c r="A965" s="56"/>
      <c r="B965" s="56"/>
      <c r="C965" s="56"/>
      <c r="D965" s="56"/>
      <c r="E965" s="56"/>
      <c r="F965" s="57"/>
      <c r="G965" s="78"/>
      <c r="H965" s="56"/>
      <c r="I965" s="56"/>
      <c r="J965" s="59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</row>
    <row r="966" spans="1:33" ht="61.5" customHeight="1" x14ac:dyDescent="0.25">
      <c r="A966" s="56"/>
      <c r="B966" s="56"/>
      <c r="C966" s="56"/>
      <c r="D966" s="56"/>
      <c r="E966" s="56"/>
      <c r="F966" s="57"/>
      <c r="G966" s="78"/>
      <c r="H966" s="56"/>
      <c r="I966" s="56"/>
      <c r="J966" s="59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</row>
    <row r="967" spans="1:33" ht="61.5" customHeight="1" x14ac:dyDescent="0.25">
      <c r="A967" s="56"/>
      <c r="B967" s="56"/>
      <c r="C967" s="56"/>
      <c r="D967" s="56"/>
      <c r="E967" s="56"/>
      <c r="F967" s="57"/>
      <c r="G967" s="78"/>
      <c r="H967" s="56"/>
      <c r="I967" s="56"/>
      <c r="J967" s="59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</row>
    <row r="968" spans="1:33" ht="61.5" customHeight="1" x14ac:dyDescent="0.25">
      <c r="A968" s="56"/>
      <c r="B968" s="56"/>
      <c r="C968" s="56"/>
      <c r="D968" s="56"/>
      <c r="E968" s="56"/>
      <c r="F968" s="57"/>
      <c r="G968" s="78"/>
      <c r="H968" s="56"/>
      <c r="I968" s="56"/>
      <c r="J968" s="59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</row>
    <row r="969" spans="1:33" ht="61.5" customHeight="1" x14ac:dyDescent="0.25">
      <c r="A969" s="56"/>
      <c r="B969" s="56"/>
      <c r="C969" s="56"/>
      <c r="D969" s="56"/>
      <c r="E969" s="56"/>
      <c r="F969" s="57"/>
      <c r="G969" s="78"/>
      <c r="H969" s="56"/>
      <c r="I969" s="56"/>
      <c r="J969" s="59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</row>
    <row r="970" spans="1:33" ht="61.5" customHeight="1" x14ac:dyDescent="0.25">
      <c r="A970" s="56"/>
      <c r="B970" s="56"/>
      <c r="C970" s="56"/>
      <c r="D970" s="56"/>
      <c r="E970" s="56"/>
      <c r="F970" s="57"/>
      <c r="G970" s="78"/>
      <c r="H970" s="56"/>
      <c r="I970" s="56"/>
      <c r="J970" s="59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</row>
    <row r="971" spans="1:33" ht="61.5" customHeight="1" x14ac:dyDescent="0.25">
      <c r="A971" s="56"/>
      <c r="B971" s="56"/>
      <c r="C971" s="56"/>
      <c r="D971" s="56"/>
      <c r="E971" s="56"/>
      <c r="F971" s="57"/>
      <c r="G971" s="78"/>
      <c r="H971" s="56"/>
      <c r="I971" s="56"/>
      <c r="J971" s="59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</row>
    <row r="972" spans="1:33" ht="61.5" customHeight="1" x14ac:dyDescent="0.25">
      <c r="A972" s="56"/>
      <c r="B972" s="56"/>
      <c r="C972" s="56"/>
      <c r="D972" s="56"/>
      <c r="E972" s="56"/>
      <c r="F972" s="57"/>
      <c r="G972" s="78"/>
      <c r="H972" s="56"/>
      <c r="I972" s="56"/>
      <c r="J972" s="59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</row>
    <row r="973" spans="1:33" ht="61.5" customHeight="1" x14ac:dyDescent="0.25">
      <c r="A973" s="56"/>
      <c r="B973" s="56"/>
      <c r="C973" s="56"/>
      <c r="D973" s="56"/>
      <c r="E973" s="56"/>
      <c r="F973" s="57"/>
      <c r="G973" s="78"/>
      <c r="H973" s="56"/>
      <c r="I973" s="56"/>
      <c r="J973" s="59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</row>
    <row r="974" spans="1:33" ht="61.5" customHeight="1" x14ac:dyDescent="0.25">
      <c r="A974" s="56"/>
      <c r="B974" s="56"/>
      <c r="C974" s="56"/>
      <c r="D974" s="56"/>
      <c r="E974" s="56"/>
      <c r="F974" s="57"/>
      <c r="G974" s="78"/>
      <c r="H974" s="56"/>
      <c r="I974" s="56"/>
      <c r="J974" s="59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</row>
    <row r="975" spans="1:33" ht="61.5" customHeight="1" x14ac:dyDescent="0.25">
      <c r="A975" s="56"/>
      <c r="B975" s="56"/>
      <c r="C975" s="56"/>
      <c r="D975" s="56"/>
      <c r="E975" s="56"/>
      <c r="F975" s="57"/>
      <c r="G975" s="78"/>
      <c r="H975" s="56"/>
      <c r="I975" s="56"/>
      <c r="J975" s="59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</row>
    <row r="976" spans="1:33" ht="61.5" customHeight="1" x14ac:dyDescent="0.25">
      <c r="A976" s="56"/>
      <c r="B976" s="56"/>
      <c r="C976" s="56"/>
      <c r="D976" s="56"/>
      <c r="E976" s="56"/>
      <c r="F976" s="57"/>
      <c r="G976" s="78"/>
      <c r="H976" s="56"/>
      <c r="I976" s="56"/>
      <c r="J976" s="59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</row>
    <row r="977" spans="1:33" ht="61.5" customHeight="1" x14ac:dyDescent="0.25">
      <c r="A977" s="56"/>
      <c r="B977" s="56"/>
      <c r="C977" s="56"/>
      <c r="D977" s="56"/>
      <c r="E977" s="56"/>
      <c r="F977" s="57"/>
      <c r="G977" s="78"/>
      <c r="H977" s="56"/>
      <c r="I977" s="56"/>
      <c r="J977" s="59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</row>
    <row r="978" spans="1:33" ht="61.5" customHeight="1" x14ac:dyDescent="0.25">
      <c r="A978" s="56"/>
      <c r="B978" s="56"/>
      <c r="C978" s="56"/>
      <c r="D978" s="56"/>
      <c r="E978" s="56"/>
      <c r="F978" s="57"/>
      <c r="G978" s="78"/>
      <c r="H978" s="56"/>
      <c r="I978" s="56"/>
      <c r="J978" s="59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</row>
    <row r="979" spans="1:33" ht="61.5" customHeight="1" x14ac:dyDescent="0.25">
      <c r="A979" s="56"/>
      <c r="B979" s="56"/>
      <c r="C979" s="56"/>
      <c r="D979" s="56"/>
      <c r="E979" s="56"/>
      <c r="F979" s="57"/>
      <c r="G979" s="78"/>
      <c r="H979" s="56"/>
      <c r="I979" s="56"/>
      <c r="J979" s="59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</row>
    <row r="980" spans="1:33" ht="61.5" customHeight="1" x14ac:dyDescent="0.25">
      <c r="A980" s="56"/>
      <c r="B980" s="56"/>
      <c r="C980" s="56"/>
      <c r="D980" s="56"/>
      <c r="E980" s="56"/>
      <c r="F980" s="57"/>
      <c r="G980" s="78"/>
      <c r="H980" s="56"/>
      <c r="I980" s="56"/>
      <c r="J980" s="59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</row>
    <row r="981" spans="1:33" ht="61.5" customHeight="1" x14ac:dyDescent="0.25">
      <c r="A981" s="56"/>
      <c r="B981" s="56"/>
      <c r="C981" s="56"/>
      <c r="D981" s="56"/>
      <c r="E981" s="56"/>
      <c r="F981" s="57"/>
      <c r="G981" s="78"/>
      <c r="H981" s="56"/>
      <c r="I981" s="56"/>
      <c r="J981" s="59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</row>
    <row r="982" spans="1:33" ht="61.5" customHeight="1" x14ac:dyDescent="0.25">
      <c r="A982" s="56"/>
      <c r="B982" s="56"/>
      <c r="C982" s="56"/>
      <c r="D982" s="56"/>
      <c r="E982" s="56"/>
      <c r="F982" s="57"/>
      <c r="G982" s="78"/>
      <c r="H982" s="56"/>
      <c r="I982" s="56"/>
      <c r="J982" s="59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</row>
    <row r="983" spans="1:33" ht="61.5" customHeight="1" x14ac:dyDescent="0.25">
      <c r="A983" s="56"/>
      <c r="B983" s="56"/>
      <c r="C983" s="56"/>
      <c r="D983" s="56"/>
      <c r="E983" s="56"/>
      <c r="F983" s="57"/>
      <c r="G983" s="78"/>
      <c r="H983" s="56"/>
      <c r="I983" s="56"/>
      <c r="J983" s="59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</row>
    <row r="984" spans="1:33" ht="61.5" customHeight="1" x14ac:dyDescent="0.25">
      <c r="A984" s="56"/>
      <c r="B984" s="56"/>
      <c r="C984" s="56"/>
      <c r="D984" s="56"/>
      <c r="E984" s="56"/>
      <c r="F984" s="57"/>
      <c r="G984" s="78"/>
      <c r="H984" s="56"/>
      <c r="I984" s="56"/>
      <c r="J984" s="59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</row>
    <row r="985" spans="1:33" ht="61.5" customHeight="1" x14ac:dyDescent="0.25">
      <c r="A985" s="56"/>
      <c r="B985" s="56"/>
      <c r="C985" s="56"/>
      <c r="D985" s="56"/>
      <c r="E985" s="56"/>
      <c r="F985" s="57"/>
      <c r="G985" s="78"/>
      <c r="H985" s="56"/>
      <c r="I985" s="56"/>
      <c r="J985" s="59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</row>
    <row r="986" spans="1:33" ht="61.5" customHeight="1" x14ac:dyDescent="0.25">
      <c r="A986" s="56"/>
      <c r="B986" s="56"/>
      <c r="C986" s="56"/>
      <c r="D986" s="56"/>
      <c r="E986" s="56"/>
      <c r="F986" s="57"/>
      <c r="G986" s="78"/>
      <c r="H986" s="56"/>
      <c r="I986" s="56"/>
      <c r="J986" s="59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</row>
    <row r="987" spans="1:33" ht="61.5" customHeight="1" x14ac:dyDescent="0.25">
      <c r="A987" s="56"/>
      <c r="B987" s="56"/>
      <c r="C987" s="56"/>
      <c r="D987" s="56"/>
      <c r="E987" s="56"/>
      <c r="F987" s="57"/>
      <c r="G987" s="78"/>
      <c r="H987" s="56"/>
      <c r="I987" s="56"/>
      <c r="J987" s="59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</row>
    <row r="988" spans="1:33" ht="61.5" customHeight="1" x14ac:dyDescent="0.25">
      <c r="A988" s="56"/>
      <c r="B988" s="56"/>
      <c r="C988" s="56"/>
      <c r="D988" s="56"/>
      <c r="E988" s="56"/>
      <c r="F988" s="57"/>
      <c r="G988" s="78"/>
      <c r="H988" s="56"/>
      <c r="I988" s="56"/>
      <c r="J988" s="59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</row>
    <row r="989" spans="1:33" ht="61.5" customHeight="1" x14ac:dyDescent="0.25">
      <c r="A989" s="56"/>
      <c r="B989" s="56"/>
      <c r="C989" s="56"/>
      <c r="D989" s="56"/>
      <c r="E989" s="56"/>
      <c r="F989" s="57"/>
      <c r="G989" s="78"/>
      <c r="H989" s="56"/>
      <c r="I989" s="56"/>
      <c r="J989" s="59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</row>
    <row r="990" spans="1:33" ht="61.5" customHeight="1" x14ac:dyDescent="0.25">
      <c r="A990" s="56"/>
      <c r="B990" s="56"/>
      <c r="C990" s="56"/>
      <c r="D990" s="56"/>
      <c r="E990" s="56"/>
      <c r="F990" s="57"/>
      <c r="G990" s="78"/>
      <c r="H990" s="56"/>
      <c r="I990" s="56"/>
      <c r="J990" s="59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</row>
    <row r="991" spans="1:33" ht="61.5" customHeight="1" x14ac:dyDescent="0.25">
      <c r="A991" s="56"/>
      <c r="B991" s="56"/>
      <c r="C991" s="56"/>
      <c r="D991" s="56"/>
      <c r="E991" s="56"/>
      <c r="F991" s="57"/>
      <c r="G991" s="78"/>
      <c r="H991" s="56"/>
      <c r="I991" s="56"/>
      <c r="J991" s="59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</row>
    <row r="992" spans="1:33" ht="61.5" customHeight="1" x14ac:dyDescent="0.25">
      <c r="A992" s="56"/>
      <c r="B992" s="56"/>
      <c r="C992" s="56"/>
      <c r="D992" s="56"/>
      <c r="E992" s="56"/>
      <c r="F992" s="57"/>
      <c r="G992" s="78"/>
      <c r="H992" s="56"/>
      <c r="I992" s="56"/>
      <c r="J992" s="59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</row>
    <row r="993" spans="1:33" ht="61.5" customHeight="1" x14ac:dyDescent="0.25">
      <c r="A993" s="56"/>
      <c r="B993" s="56"/>
      <c r="C993" s="56"/>
      <c r="D993" s="56"/>
      <c r="E993" s="56"/>
      <c r="F993" s="57"/>
      <c r="G993" s="78"/>
      <c r="H993" s="56"/>
      <c r="I993" s="56"/>
      <c r="J993" s="59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</row>
    <row r="994" spans="1:33" ht="61.5" customHeight="1" x14ac:dyDescent="0.25">
      <c r="A994" s="56"/>
      <c r="B994" s="56"/>
      <c r="C994" s="56"/>
      <c r="D994" s="56"/>
      <c r="E994" s="56"/>
      <c r="F994" s="57"/>
      <c r="G994" s="78"/>
      <c r="H994" s="56"/>
      <c r="I994" s="56"/>
      <c r="J994" s="59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</row>
    <row r="995" spans="1:33" ht="61.5" customHeight="1" x14ac:dyDescent="0.25">
      <c r="A995" s="56"/>
      <c r="B995" s="56"/>
      <c r="C995" s="56"/>
      <c r="D995" s="56"/>
      <c r="E995" s="56"/>
      <c r="F995" s="57"/>
      <c r="G995" s="78"/>
      <c r="H995" s="56"/>
      <c r="I995" s="56"/>
      <c r="J995" s="59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</row>
    <row r="996" spans="1:33" ht="61.5" customHeight="1" x14ac:dyDescent="0.25">
      <c r="A996" s="56"/>
      <c r="B996" s="56"/>
      <c r="C996" s="56"/>
      <c r="D996" s="56"/>
      <c r="E996" s="56"/>
      <c r="F996" s="57"/>
      <c r="G996" s="78"/>
      <c r="H996" s="56"/>
      <c r="I996" s="56"/>
      <c r="J996" s="59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</row>
    <row r="997" spans="1:33" ht="61.5" customHeight="1" x14ac:dyDescent="0.25">
      <c r="A997" s="56"/>
      <c r="B997" s="56"/>
      <c r="C997" s="56"/>
      <c r="D997" s="56"/>
      <c r="E997" s="56"/>
      <c r="F997" s="57"/>
      <c r="G997" s="78"/>
      <c r="H997" s="56"/>
      <c r="I997" s="56"/>
      <c r="J997" s="59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</row>
    <row r="998" spans="1:33" ht="61.5" customHeight="1" x14ac:dyDescent="0.25">
      <c r="A998" s="56"/>
      <c r="B998" s="56"/>
      <c r="C998" s="56"/>
      <c r="D998" s="56"/>
      <c r="E998" s="56"/>
      <c r="F998" s="57"/>
      <c r="G998" s="78"/>
      <c r="H998" s="56"/>
      <c r="I998" s="56"/>
      <c r="J998" s="59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</row>
    <row r="999" spans="1:33" ht="61.5" customHeight="1" x14ac:dyDescent="0.25">
      <c r="A999" s="56"/>
      <c r="B999" s="56"/>
      <c r="C999" s="56"/>
      <c r="D999" s="56"/>
      <c r="E999" s="56"/>
      <c r="F999" s="57"/>
      <c r="G999" s="78"/>
      <c r="H999" s="56"/>
      <c r="I999" s="56"/>
      <c r="J999" s="59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</row>
    <row r="1000" spans="1:33" ht="61.5" customHeight="1" x14ac:dyDescent="0.25">
      <c r="A1000" s="56"/>
      <c r="B1000" s="56"/>
      <c r="C1000" s="56"/>
      <c r="D1000" s="56"/>
      <c r="E1000" s="56"/>
      <c r="F1000" s="57"/>
      <c r="G1000" s="78"/>
      <c r="H1000" s="56"/>
      <c r="I1000" s="56"/>
      <c r="J1000" s="59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</row>
  </sheetData>
  <mergeCells count="222">
    <mergeCell ref="M19:M20"/>
    <mergeCell ref="P19:P20"/>
    <mergeCell ref="S19:S20"/>
    <mergeCell ref="T19:T20"/>
    <mergeCell ref="U19:U20"/>
    <mergeCell ref="AE19:AE20"/>
    <mergeCell ref="AF19:AF20"/>
    <mergeCell ref="AG19:AG20"/>
    <mergeCell ref="V17:V18"/>
    <mergeCell ref="W17:W18"/>
    <mergeCell ref="X17:X18"/>
    <mergeCell ref="Y17:Y18"/>
    <mergeCell ref="Z17:Z18"/>
    <mergeCell ref="AA17:AA18"/>
    <mergeCell ref="AB17:AB18"/>
    <mergeCell ref="AG15:AG16"/>
    <mergeCell ref="V15:V16"/>
    <mergeCell ref="W15:W16"/>
    <mergeCell ref="X15:X16"/>
    <mergeCell ref="Y15:Y16"/>
    <mergeCell ref="Z15:Z16"/>
    <mergeCell ref="AA15:AA16"/>
    <mergeCell ref="AB15:AB16"/>
    <mergeCell ref="E17:E18"/>
    <mergeCell ref="F17:F18"/>
    <mergeCell ref="M17:M18"/>
    <mergeCell ref="P17:P18"/>
    <mergeCell ref="S17:S18"/>
    <mergeCell ref="T17:T18"/>
    <mergeCell ref="U17:U18"/>
    <mergeCell ref="AC17:AC18"/>
    <mergeCell ref="AD17:AD18"/>
    <mergeCell ref="AE17:AE18"/>
    <mergeCell ref="AF17:AF18"/>
    <mergeCell ref="AG17:AG18"/>
    <mergeCell ref="M15:M16"/>
    <mergeCell ref="P15:P16"/>
    <mergeCell ref="S15:S16"/>
    <mergeCell ref="T15:T16"/>
    <mergeCell ref="U15:U16"/>
    <mergeCell ref="AC15:AC16"/>
    <mergeCell ref="AD15:AD16"/>
    <mergeCell ref="AE15:AE16"/>
    <mergeCell ref="AF15:AF16"/>
    <mergeCell ref="C23:C24"/>
    <mergeCell ref="D23:D24"/>
    <mergeCell ref="E23:E24"/>
    <mergeCell ref="F23:F24"/>
    <mergeCell ref="C15:C16"/>
    <mergeCell ref="D15:D16"/>
    <mergeCell ref="AC21:AC22"/>
    <mergeCell ref="AD21:AD22"/>
    <mergeCell ref="AC19:AC20"/>
    <mergeCell ref="AD19:AD20"/>
    <mergeCell ref="V19:V20"/>
    <mergeCell ref="W19:W20"/>
    <mergeCell ref="X19:X20"/>
    <mergeCell ref="Y19:Y20"/>
    <mergeCell ref="Z19:Z20"/>
    <mergeCell ref="AA19:AA20"/>
    <mergeCell ref="AB19:AB20"/>
    <mergeCell ref="U23:U24"/>
    <mergeCell ref="V23:V24"/>
    <mergeCell ref="B17:B24"/>
    <mergeCell ref="C17:C18"/>
    <mergeCell ref="D17:D18"/>
    <mergeCell ref="C19:C20"/>
    <mergeCell ref="D19:D20"/>
    <mergeCell ref="E15:E16"/>
    <mergeCell ref="F15:F16"/>
    <mergeCell ref="E19:E20"/>
    <mergeCell ref="F19:F20"/>
    <mergeCell ref="B10:B16"/>
    <mergeCell ref="C10:C11"/>
    <mergeCell ref="D10:D11"/>
    <mergeCell ref="E10:E11"/>
    <mergeCell ref="F10:F11"/>
    <mergeCell ref="C12:C13"/>
    <mergeCell ref="D12:D13"/>
    <mergeCell ref="C21:C22"/>
    <mergeCell ref="D21:D22"/>
    <mergeCell ref="E21:E22"/>
    <mergeCell ref="F21:F22"/>
    <mergeCell ref="G14:T14"/>
    <mergeCell ref="AD12:AD13"/>
    <mergeCell ref="AC14:AD14"/>
    <mergeCell ref="AF14:AG14"/>
    <mergeCell ref="X12:X13"/>
    <mergeCell ref="Y12:Y13"/>
    <mergeCell ref="AB12:AB13"/>
    <mergeCell ref="AC12:AC13"/>
    <mergeCell ref="AE12:AE13"/>
    <mergeCell ref="AF12:AF13"/>
    <mergeCell ref="AG12:AG13"/>
    <mergeCell ref="AB10:AB11"/>
    <mergeCell ref="AC10:AC11"/>
    <mergeCell ref="AD10:AD11"/>
    <mergeCell ref="AE10:AE11"/>
    <mergeCell ref="AF10:AF11"/>
    <mergeCell ref="AG10:AG11"/>
    <mergeCell ref="E12:E13"/>
    <mergeCell ref="F12:F13"/>
    <mergeCell ref="M12:M13"/>
    <mergeCell ref="P10:P11"/>
    <mergeCell ref="P12:P13"/>
    <mergeCell ref="S12:S13"/>
    <mergeCell ref="T12:T13"/>
    <mergeCell ref="U12:U13"/>
    <mergeCell ref="V12:V13"/>
    <mergeCell ref="W12:W13"/>
    <mergeCell ref="Z12:Z13"/>
    <mergeCell ref="AA12:AA13"/>
    <mergeCell ref="E8:E9"/>
    <mergeCell ref="F8:F9"/>
    <mergeCell ref="M8:M9"/>
    <mergeCell ref="S8:S9"/>
    <mergeCell ref="T8:T9"/>
    <mergeCell ref="U8:U9"/>
    <mergeCell ref="M10:M11"/>
    <mergeCell ref="S10:S11"/>
    <mergeCell ref="T10:T11"/>
    <mergeCell ref="V8:V9"/>
    <mergeCell ref="W8:W9"/>
    <mergeCell ref="U10:U11"/>
    <mergeCell ref="V10:V11"/>
    <mergeCell ref="W10:W11"/>
    <mergeCell ref="X10:X11"/>
    <mergeCell ref="Y10:Y11"/>
    <mergeCell ref="Z10:Z11"/>
    <mergeCell ref="AA10:AA11"/>
    <mergeCell ref="AG6:AG7"/>
    <mergeCell ref="AG8:AG9"/>
    <mergeCell ref="B4:B9"/>
    <mergeCell ref="C6:C7"/>
    <mergeCell ref="D6:D7"/>
    <mergeCell ref="E6:E7"/>
    <mergeCell ref="F6:F7"/>
    <mergeCell ref="C8:C9"/>
    <mergeCell ref="D8:D9"/>
    <mergeCell ref="V6:V7"/>
    <mergeCell ref="W6:W7"/>
    <mergeCell ref="X6:X7"/>
    <mergeCell ref="Y6:Y7"/>
    <mergeCell ref="Z6:Z7"/>
    <mergeCell ref="AA6:AA7"/>
    <mergeCell ref="AB6:AB7"/>
    <mergeCell ref="P8:P9"/>
    <mergeCell ref="M6:M7"/>
    <mergeCell ref="P6:P7"/>
    <mergeCell ref="S6:S7"/>
    <mergeCell ref="T6:T7"/>
    <mergeCell ref="U6:U7"/>
    <mergeCell ref="AC6:AC7"/>
    <mergeCell ref="AD6:AD7"/>
    <mergeCell ref="AE6:AE7"/>
    <mergeCell ref="AF6:AF7"/>
    <mergeCell ref="B1:B2"/>
    <mergeCell ref="C1:AG1"/>
    <mergeCell ref="C2:M2"/>
    <mergeCell ref="N2:T2"/>
    <mergeCell ref="U2:AB2"/>
    <mergeCell ref="AC2:AG2"/>
    <mergeCell ref="AG4:AG5"/>
    <mergeCell ref="M4:M5"/>
    <mergeCell ref="P4:P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C4:C5"/>
    <mergeCell ref="D4:D5"/>
    <mergeCell ref="E4:E5"/>
    <mergeCell ref="F4:F5"/>
    <mergeCell ref="AE8:AE9"/>
    <mergeCell ref="AF8:AF9"/>
    <mergeCell ref="X8:X9"/>
    <mergeCell ref="Y8:Y9"/>
    <mergeCell ref="Z8:Z9"/>
    <mergeCell ref="AA8:AA9"/>
    <mergeCell ref="AB8:AB9"/>
    <mergeCell ref="AC8:AC9"/>
    <mergeCell ref="AD8:AD9"/>
    <mergeCell ref="S4:S5"/>
    <mergeCell ref="T4:T5"/>
    <mergeCell ref="U4:U5"/>
    <mergeCell ref="V4:V5"/>
    <mergeCell ref="W4:W5"/>
    <mergeCell ref="AD23:AD24"/>
    <mergeCell ref="AE23:AE24"/>
    <mergeCell ref="AF23:AF24"/>
    <mergeCell ref="AG23:AG24"/>
    <mergeCell ref="W23:W24"/>
    <mergeCell ref="X23:X24"/>
    <mergeCell ref="Y23:Y24"/>
    <mergeCell ref="Z23:Z24"/>
    <mergeCell ref="AA23:AA24"/>
    <mergeCell ref="AB23:AB24"/>
    <mergeCell ref="AC23:AC24"/>
    <mergeCell ref="AE21:AE22"/>
    <mergeCell ref="AF21:AF22"/>
    <mergeCell ref="AG21:AG22"/>
    <mergeCell ref="X21:X22"/>
    <mergeCell ref="Y21:Y22"/>
    <mergeCell ref="Z21:Z22"/>
    <mergeCell ref="AA21:AA22"/>
    <mergeCell ref="AB21:AB22"/>
    <mergeCell ref="M21:M22"/>
    <mergeCell ref="S21:S22"/>
    <mergeCell ref="T21:T22"/>
    <mergeCell ref="U21:U22"/>
    <mergeCell ref="V21:V22"/>
    <mergeCell ref="W21:W22"/>
    <mergeCell ref="M23:M24"/>
    <mergeCell ref="P21:P22"/>
    <mergeCell ref="P23:P24"/>
    <mergeCell ref="S23:S24"/>
    <mergeCell ref="T23:T24"/>
  </mergeCells>
  <dataValidations count="1">
    <dataValidation type="list" allowBlank="1" showErrorMessage="1" sqref="S4 S6 S8 S10 S12 S15 S17 S19 S21 S23" xr:uid="{00000000-0002-0000-0400-000000000000}">
      <formula1>$B$200:$B$201</formula1>
    </dataValidation>
  </dataValidations>
  <pageMargins left="0.7" right="0.7" top="0.75" bottom="0.75" header="0" footer="0"/>
  <pageSetup orientation="landscape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tabSelected="1" zoomScale="70" zoomScaleNormal="7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D6" sqref="D6:D7"/>
    </sheetView>
  </sheetViews>
  <sheetFormatPr baseColWidth="10" defaultColWidth="14.42578125" defaultRowHeight="15" customHeight="1" x14ac:dyDescent="0.25"/>
  <cols>
    <col min="1" max="1" width="25.85546875" customWidth="1"/>
    <col min="2" max="2" width="23.42578125" customWidth="1"/>
    <col min="3" max="3" width="51" customWidth="1"/>
    <col min="4" max="4" width="76.7109375" customWidth="1"/>
    <col min="5" max="5" width="23" customWidth="1"/>
    <col min="6" max="6" width="79.85546875" customWidth="1"/>
    <col min="7" max="7" width="72.28515625" customWidth="1"/>
    <col min="8" max="8" width="18.85546875" customWidth="1"/>
    <col min="9" max="9" width="11.28515625" customWidth="1"/>
    <col min="10" max="10" width="27.140625" customWidth="1"/>
    <col min="11" max="11" width="20.42578125" customWidth="1"/>
    <col min="12" max="12" width="34.42578125" customWidth="1"/>
    <col min="13" max="13" width="22.7109375" customWidth="1"/>
    <col min="14" max="14" width="38.140625" customWidth="1"/>
    <col min="15" max="15" width="39.140625" customWidth="1"/>
    <col min="16" max="16" width="88" customWidth="1"/>
    <col min="17" max="17" width="90.140625" customWidth="1"/>
    <col min="18" max="18" width="57.28515625" customWidth="1"/>
    <col min="19" max="19" width="62" customWidth="1"/>
    <col min="20" max="20" width="63.42578125" customWidth="1"/>
    <col min="21" max="21" width="25.5703125" customWidth="1"/>
    <col min="22" max="22" width="29.7109375" customWidth="1"/>
    <col min="23" max="23" width="23.42578125" customWidth="1"/>
    <col min="24" max="24" width="16.5703125" customWidth="1"/>
    <col min="25" max="28" width="25.5703125" customWidth="1"/>
    <col min="29" max="29" width="29.85546875" customWidth="1"/>
    <col min="30" max="30" width="25.5703125" customWidth="1"/>
    <col min="31" max="31" width="34.5703125" customWidth="1"/>
    <col min="32" max="32" width="63.28515625" customWidth="1"/>
  </cols>
  <sheetData>
    <row r="1" spans="1:32" ht="58.5" customHeight="1" x14ac:dyDescent="0.25">
      <c r="A1" s="86"/>
      <c r="B1" s="93" t="s">
        <v>0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5"/>
    </row>
    <row r="2" spans="1:32" ht="89.25" customHeight="1" x14ac:dyDescent="0.5">
      <c r="A2" s="87"/>
      <c r="B2" s="96" t="s">
        <v>753</v>
      </c>
      <c r="C2" s="97"/>
      <c r="D2" s="97"/>
      <c r="E2" s="97"/>
      <c r="F2" s="97"/>
      <c r="G2" s="97"/>
      <c r="H2" s="97"/>
      <c r="I2" s="97"/>
      <c r="J2" s="97"/>
      <c r="K2" s="97"/>
      <c r="L2" s="98"/>
      <c r="M2" s="99" t="s">
        <v>754</v>
      </c>
      <c r="N2" s="97"/>
      <c r="O2" s="97"/>
      <c r="P2" s="97"/>
      <c r="Q2" s="97"/>
      <c r="R2" s="97"/>
      <c r="S2" s="98"/>
      <c r="T2" s="100" t="s">
        <v>656</v>
      </c>
      <c r="U2" s="97"/>
      <c r="V2" s="97"/>
      <c r="W2" s="97"/>
      <c r="X2" s="97"/>
      <c r="Y2" s="97"/>
      <c r="Z2" s="97"/>
      <c r="AA2" s="98"/>
      <c r="AB2" s="101" t="s">
        <v>4</v>
      </c>
      <c r="AC2" s="97"/>
      <c r="AD2" s="97"/>
      <c r="AE2" s="97"/>
      <c r="AF2" s="98"/>
    </row>
    <row r="3" spans="1:32" ht="147" customHeight="1" x14ac:dyDescent="0.25">
      <c r="A3" s="3" t="s">
        <v>5</v>
      </c>
      <c r="B3" s="3" t="s">
        <v>6</v>
      </c>
      <c r="C3" s="3" t="s">
        <v>7</v>
      </c>
      <c r="D3" s="3" t="s">
        <v>8</v>
      </c>
      <c r="E3" s="4" t="s">
        <v>9</v>
      </c>
      <c r="F3" s="3" t="s">
        <v>10</v>
      </c>
      <c r="G3" s="3" t="s">
        <v>11</v>
      </c>
      <c r="H3" s="3" t="s">
        <v>12</v>
      </c>
      <c r="I3" s="5" t="s">
        <v>13</v>
      </c>
      <c r="J3" s="3" t="s">
        <v>14</v>
      </c>
      <c r="K3" s="3" t="s">
        <v>15</v>
      </c>
      <c r="L3" s="3" t="s">
        <v>16</v>
      </c>
      <c r="M3" s="6" t="s">
        <v>17</v>
      </c>
      <c r="N3" s="7" t="s">
        <v>18</v>
      </c>
      <c r="O3" s="7" t="s">
        <v>19</v>
      </c>
      <c r="P3" s="3" t="s">
        <v>20</v>
      </c>
      <c r="Q3" s="3" t="s">
        <v>21</v>
      </c>
      <c r="R3" s="8" t="s">
        <v>22</v>
      </c>
      <c r="S3" s="8" t="s">
        <v>23</v>
      </c>
      <c r="T3" s="3" t="s">
        <v>7</v>
      </c>
      <c r="U3" s="3" t="s">
        <v>24</v>
      </c>
      <c r="V3" s="3" t="s">
        <v>25</v>
      </c>
      <c r="W3" s="3" t="s">
        <v>14</v>
      </c>
      <c r="X3" s="3" t="s">
        <v>15</v>
      </c>
      <c r="Y3" s="3" t="s">
        <v>26</v>
      </c>
      <c r="Z3" s="3" t="s">
        <v>27</v>
      </c>
      <c r="AA3" s="3" t="s">
        <v>13</v>
      </c>
      <c r="AB3" s="9" t="s">
        <v>28</v>
      </c>
      <c r="AC3" s="3" t="s">
        <v>29</v>
      </c>
      <c r="AD3" s="4" t="s">
        <v>30</v>
      </c>
      <c r="AE3" s="3" t="s">
        <v>31</v>
      </c>
      <c r="AF3" s="3" t="s">
        <v>32</v>
      </c>
    </row>
    <row r="4" spans="1:32" ht="51.75" customHeight="1" x14ac:dyDescent="0.25">
      <c r="A4" s="81" t="s">
        <v>755</v>
      </c>
      <c r="B4" s="88" t="s">
        <v>756</v>
      </c>
      <c r="C4" s="81" t="s">
        <v>757</v>
      </c>
      <c r="D4" s="91" t="s">
        <v>758</v>
      </c>
      <c r="E4" s="102">
        <v>3623700559</v>
      </c>
      <c r="F4" s="11" t="s">
        <v>759</v>
      </c>
      <c r="G4" s="12" t="s">
        <v>760</v>
      </c>
      <c r="H4" s="12">
        <v>0</v>
      </c>
      <c r="I4" s="13">
        <v>1</v>
      </c>
      <c r="J4" s="50" t="s">
        <v>39</v>
      </c>
      <c r="K4" s="50" t="s">
        <v>40</v>
      </c>
      <c r="L4" s="81" t="s">
        <v>761</v>
      </c>
      <c r="M4" s="64">
        <v>0</v>
      </c>
      <c r="N4" s="15">
        <f t="shared" ref="N4:N66" si="0">IF((M4/I4)&gt;1,1,M4/I4)</f>
        <v>0</v>
      </c>
      <c r="O4" s="83">
        <f>AVERAGE(N4:N5)</f>
        <v>0</v>
      </c>
      <c r="P4" s="12"/>
      <c r="Q4" s="12">
        <f t="shared" ref="Q4:Q66" si="1">0+0</f>
        <v>0</v>
      </c>
      <c r="R4" s="81"/>
      <c r="S4" s="81"/>
      <c r="T4" s="81" t="s">
        <v>762</v>
      </c>
      <c r="U4" s="81">
        <v>400300800</v>
      </c>
      <c r="V4" s="81" t="s">
        <v>763</v>
      </c>
      <c r="W4" s="81" t="s">
        <v>39</v>
      </c>
      <c r="X4" s="81" t="s">
        <v>40</v>
      </c>
      <c r="Y4" s="81">
        <v>0</v>
      </c>
      <c r="Z4" s="81">
        <v>2</v>
      </c>
      <c r="AA4" s="81">
        <v>0.5</v>
      </c>
      <c r="AB4" s="84">
        <v>0</v>
      </c>
      <c r="AC4" s="83">
        <f>IF((AB4/Z4)&gt;1,1,AB4/Z4)</f>
        <v>0</v>
      </c>
      <c r="AD4" s="85">
        <f>E4</f>
        <v>3623700559</v>
      </c>
      <c r="AE4" s="81">
        <f>SUM(Q4:Q5)</f>
        <v>0</v>
      </c>
      <c r="AF4" s="83">
        <f>IF((AE4/AD4)&gt;1,1,AE4/AD4)</f>
        <v>0</v>
      </c>
    </row>
    <row r="5" spans="1:32" ht="51.75" customHeight="1" x14ac:dyDescent="0.25">
      <c r="A5" s="104"/>
      <c r="B5" s="105"/>
      <c r="C5" s="82"/>
      <c r="D5" s="87"/>
      <c r="E5" s="82"/>
      <c r="F5" s="11" t="s">
        <v>764</v>
      </c>
      <c r="G5" s="12" t="s">
        <v>765</v>
      </c>
      <c r="H5" s="12">
        <v>0</v>
      </c>
      <c r="I5" s="13">
        <v>1</v>
      </c>
      <c r="J5" s="50" t="s">
        <v>39</v>
      </c>
      <c r="K5" s="50" t="s">
        <v>40</v>
      </c>
      <c r="L5" s="82"/>
      <c r="M5" s="64">
        <v>0</v>
      </c>
      <c r="N5" s="15">
        <f t="shared" si="0"/>
        <v>0</v>
      </c>
      <c r="O5" s="82"/>
      <c r="P5" s="12"/>
      <c r="Q5" s="12">
        <f t="shared" si="1"/>
        <v>0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</row>
    <row r="6" spans="1:32" ht="51.75" customHeight="1" x14ac:dyDescent="0.25">
      <c r="A6" s="104"/>
      <c r="B6" s="88" t="s">
        <v>766</v>
      </c>
      <c r="C6" s="81" t="s">
        <v>767</v>
      </c>
      <c r="D6" s="91" t="s">
        <v>768</v>
      </c>
      <c r="E6" s="102">
        <v>878000000</v>
      </c>
      <c r="F6" s="11" t="s">
        <v>769</v>
      </c>
      <c r="G6" s="12" t="s">
        <v>765</v>
      </c>
      <c r="H6" s="12">
        <v>0</v>
      </c>
      <c r="I6" s="54">
        <v>1</v>
      </c>
      <c r="J6" s="50" t="s">
        <v>39</v>
      </c>
      <c r="K6" s="50" t="s">
        <v>40</v>
      </c>
      <c r="L6" s="81" t="s">
        <v>761</v>
      </c>
      <c r="M6" s="64">
        <v>0</v>
      </c>
      <c r="N6" s="15">
        <f t="shared" si="0"/>
        <v>0</v>
      </c>
      <c r="O6" s="83">
        <f>AVERAGE(N6:N7)</f>
        <v>0</v>
      </c>
      <c r="P6" s="12"/>
      <c r="Q6" s="12">
        <f t="shared" si="1"/>
        <v>0</v>
      </c>
      <c r="R6" s="81"/>
      <c r="S6" s="81"/>
      <c r="T6" s="81" t="s">
        <v>770</v>
      </c>
      <c r="U6" s="81">
        <v>400300800</v>
      </c>
      <c r="V6" s="81" t="s">
        <v>763</v>
      </c>
      <c r="W6" s="81" t="s">
        <v>39</v>
      </c>
      <c r="X6" s="81" t="s">
        <v>40</v>
      </c>
      <c r="Y6" s="81">
        <v>0</v>
      </c>
      <c r="Z6" s="81">
        <v>1</v>
      </c>
      <c r="AA6" s="81">
        <v>0</v>
      </c>
      <c r="AB6" s="84">
        <v>0</v>
      </c>
      <c r="AC6" s="83">
        <f>IF((AB6/Z6)&gt;1,1,AB6/Z6)</f>
        <v>0</v>
      </c>
      <c r="AD6" s="85">
        <f>E6</f>
        <v>878000000</v>
      </c>
      <c r="AE6" s="81">
        <f>SUM(Q6:Q7)</f>
        <v>0</v>
      </c>
      <c r="AF6" s="83">
        <f>IF((AE6/AD6)&gt;1,1,AE6/AD6)</f>
        <v>0</v>
      </c>
    </row>
    <row r="7" spans="1:32" ht="51.75" customHeight="1" x14ac:dyDescent="0.25">
      <c r="A7" s="104"/>
      <c r="B7" s="89"/>
      <c r="C7" s="90"/>
      <c r="D7" s="92"/>
      <c r="E7" s="82"/>
      <c r="F7" s="11" t="s">
        <v>771</v>
      </c>
      <c r="G7" s="12" t="s">
        <v>765</v>
      </c>
      <c r="H7" s="12">
        <v>0</v>
      </c>
      <c r="I7" s="54">
        <v>1</v>
      </c>
      <c r="J7" s="50" t="s">
        <v>39</v>
      </c>
      <c r="K7" s="50" t="s">
        <v>40</v>
      </c>
      <c r="L7" s="82"/>
      <c r="M7" s="64">
        <v>0</v>
      </c>
      <c r="N7" s="15">
        <f t="shared" si="0"/>
        <v>0</v>
      </c>
      <c r="O7" s="82"/>
      <c r="P7" s="12"/>
      <c r="Q7" s="12">
        <f t="shared" si="1"/>
        <v>0</v>
      </c>
      <c r="R7" s="82"/>
      <c r="S7" s="82"/>
      <c r="T7" s="90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</row>
    <row r="8" spans="1:32" ht="51.75" customHeight="1" x14ac:dyDescent="0.25">
      <c r="A8" s="104"/>
      <c r="B8" s="88" t="s">
        <v>772</v>
      </c>
      <c r="C8" s="81" t="s">
        <v>773</v>
      </c>
      <c r="D8" s="91" t="s">
        <v>774</v>
      </c>
      <c r="E8" s="102">
        <v>200000000</v>
      </c>
      <c r="F8" s="11" t="s">
        <v>775</v>
      </c>
      <c r="G8" s="12" t="s">
        <v>776</v>
      </c>
      <c r="H8" s="12">
        <v>0</v>
      </c>
      <c r="I8" s="13">
        <v>1</v>
      </c>
      <c r="J8" s="12" t="s">
        <v>39</v>
      </c>
      <c r="K8" s="12" t="s">
        <v>40</v>
      </c>
      <c r="L8" s="81" t="s">
        <v>761</v>
      </c>
      <c r="M8" s="64">
        <v>0</v>
      </c>
      <c r="N8" s="15">
        <f t="shared" si="0"/>
        <v>0</v>
      </c>
      <c r="O8" s="83">
        <f>AVERAGE(N8:N9)</f>
        <v>0</v>
      </c>
      <c r="P8" s="12"/>
      <c r="Q8" s="12">
        <f t="shared" si="1"/>
        <v>0</v>
      </c>
      <c r="R8" s="81"/>
      <c r="S8" s="81"/>
      <c r="T8" s="81" t="s">
        <v>777</v>
      </c>
      <c r="U8" s="81">
        <v>320305000</v>
      </c>
      <c r="V8" s="81" t="s">
        <v>778</v>
      </c>
      <c r="W8" s="81" t="s">
        <v>39</v>
      </c>
      <c r="X8" s="81" t="s">
        <v>779</v>
      </c>
      <c r="Y8" s="81">
        <v>0</v>
      </c>
      <c r="Z8" s="81">
        <v>4</v>
      </c>
      <c r="AA8" s="81">
        <v>2</v>
      </c>
      <c r="AB8" s="84">
        <v>0</v>
      </c>
      <c r="AC8" s="83">
        <f>IF((AB8/Z8)&gt;1,1,AB8/Z8)</f>
        <v>0</v>
      </c>
      <c r="AD8" s="85">
        <f>E8</f>
        <v>200000000</v>
      </c>
      <c r="AE8" s="81">
        <f>SUM(Q8:Q9)</f>
        <v>0</v>
      </c>
      <c r="AF8" s="83">
        <f>IF((AE8/AD8)&gt;1,1,AE8/AD8)</f>
        <v>0</v>
      </c>
    </row>
    <row r="9" spans="1:32" ht="51.75" customHeight="1" x14ac:dyDescent="0.25">
      <c r="A9" s="104"/>
      <c r="B9" s="89"/>
      <c r="C9" s="90"/>
      <c r="D9" s="92"/>
      <c r="E9" s="82"/>
      <c r="F9" s="11" t="s">
        <v>780</v>
      </c>
      <c r="G9" s="12" t="s">
        <v>781</v>
      </c>
      <c r="H9" s="12">
        <v>0</v>
      </c>
      <c r="I9" s="13">
        <v>2</v>
      </c>
      <c r="J9" s="12" t="s">
        <v>782</v>
      </c>
      <c r="K9" s="12" t="s">
        <v>40</v>
      </c>
      <c r="L9" s="82"/>
      <c r="M9" s="64">
        <v>0</v>
      </c>
      <c r="N9" s="15">
        <f t="shared" si="0"/>
        <v>0</v>
      </c>
      <c r="O9" s="82"/>
      <c r="P9" s="12"/>
      <c r="Q9" s="12">
        <f t="shared" si="1"/>
        <v>0</v>
      </c>
      <c r="R9" s="82"/>
      <c r="S9" s="82"/>
      <c r="T9" s="90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</row>
    <row r="10" spans="1:32" ht="51.75" customHeight="1" x14ac:dyDescent="0.25">
      <c r="A10" s="104"/>
      <c r="B10" s="108" t="s">
        <v>783</v>
      </c>
      <c r="C10" s="81" t="s">
        <v>784</v>
      </c>
      <c r="D10" s="91" t="s">
        <v>785</v>
      </c>
      <c r="E10" s="102">
        <v>50000000</v>
      </c>
      <c r="F10" s="11" t="s">
        <v>786</v>
      </c>
      <c r="G10" s="12" t="s">
        <v>787</v>
      </c>
      <c r="H10" s="12">
        <v>0</v>
      </c>
      <c r="I10" s="13">
        <v>1</v>
      </c>
      <c r="J10" s="12" t="s">
        <v>39</v>
      </c>
      <c r="K10" s="12" t="s">
        <v>40</v>
      </c>
      <c r="L10" s="81" t="s">
        <v>788</v>
      </c>
      <c r="M10" s="64">
        <v>0</v>
      </c>
      <c r="N10" s="15">
        <f t="shared" si="0"/>
        <v>0</v>
      </c>
      <c r="O10" s="83">
        <f>AVERAGE(N10:N11)</f>
        <v>0</v>
      </c>
      <c r="P10" s="12"/>
      <c r="Q10" s="12">
        <f t="shared" si="1"/>
        <v>0</v>
      </c>
      <c r="R10" s="81"/>
      <c r="S10" s="81"/>
      <c r="T10" s="81" t="s">
        <v>789</v>
      </c>
      <c r="U10" s="81">
        <v>400301200</v>
      </c>
      <c r="V10" s="81" t="s">
        <v>790</v>
      </c>
      <c r="W10" s="81" t="s">
        <v>39</v>
      </c>
      <c r="X10" s="81" t="s">
        <v>40</v>
      </c>
      <c r="Y10" s="81">
        <v>0</v>
      </c>
      <c r="Z10" s="81">
        <v>1</v>
      </c>
      <c r="AA10" s="81">
        <v>0.25</v>
      </c>
      <c r="AB10" s="84">
        <v>0</v>
      </c>
      <c r="AC10" s="83">
        <f>IF((AB10/Z10)&gt;1,1,AB10/Z10)</f>
        <v>0</v>
      </c>
      <c r="AD10" s="85">
        <f>E10</f>
        <v>50000000</v>
      </c>
      <c r="AE10" s="81">
        <f>SUM(Q10:Q11)</f>
        <v>0</v>
      </c>
      <c r="AF10" s="83">
        <f>IF((AE10/AD10)&gt;1,1,AE10/AD10)</f>
        <v>0</v>
      </c>
    </row>
    <row r="11" spans="1:32" ht="51.75" customHeight="1" x14ac:dyDescent="0.25">
      <c r="A11" s="104"/>
      <c r="B11" s="107"/>
      <c r="C11" s="82"/>
      <c r="D11" s="87"/>
      <c r="E11" s="82"/>
      <c r="F11" s="11" t="s">
        <v>791</v>
      </c>
      <c r="G11" s="12" t="s">
        <v>792</v>
      </c>
      <c r="H11" s="12">
        <v>0</v>
      </c>
      <c r="I11" s="13">
        <v>1</v>
      </c>
      <c r="J11" s="12" t="s">
        <v>39</v>
      </c>
      <c r="K11" s="12" t="s">
        <v>40</v>
      </c>
      <c r="L11" s="82"/>
      <c r="M11" s="64">
        <v>0</v>
      </c>
      <c r="N11" s="15">
        <f t="shared" si="0"/>
        <v>0</v>
      </c>
      <c r="O11" s="82"/>
      <c r="P11" s="12"/>
      <c r="Q11" s="12">
        <f t="shared" si="1"/>
        <v>0</v>
      </c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</row>
    <row r="12" spans="1:32" ht="51.75" customHeight="1" x14ac:dyDescent="0.25">
      <c r="A12" s="104"/>
      <c r="B12" s="108" t="s">
        <v>793</v>
      </c>
      <c r="C12" s="81" t="s">
        <v>794</v>
      </c>
      <c r="D12" s="91" t="s">
        <v>795</v>
      </c>
      <c r="E12" s="102">
        <v>30000000</v>
      </c>
      <c r="F12" s="11" t="s">
        <v>796</v>
      </c>
      <c r="G12" s="12" t="s">
        <v>797</v>
      </c>
      <c r="H12" s="12">
        <v>0</v>
      </c>
      <c r="I12" s="13">
        <v>1</v>
      </c>
      <c r="J12" s="12" t="s">
        <v>39</v>
      </c>
      <c r="K12" s="12" t="s">
        <v>40</v>
      </c>
      <c r="L12" s="81" t="s">
        <v>761</v>
      </c>
      <c r="M12" s="64">
        <v>0</v>
      </c>
      <c r="N12" s="15">
        <f t="shared" si="0"/>
        <v>0</v>
      </c>
      <c r="O12" s="83">
        <f>AVERAGE(N12:N14)</f>
        <v>0</v>
      </c>
      <c r="P12" s="12"/>
      <c r="Q12" s="12">
        <f t="shared" si="1"/>
        <v>0</v>
      </c>
      <c r="R12" s="81"/>
      <c r="S12" s="81"/>
      <c r="T12" s="81" t="s">
        <v>798</v>
      </c>
      <c r="U12" s="81">
        <v>400301200</v>
      </c>
      <c r="V12" s="81" t="s">
        <v>790</v>
      </c>
      <c r="W12" s="81" t="s">
        <v>39</v>
      </c>
      <c r="X12" s="81" t="s">
        <v>40</v>
      </c>
      <c r="Y12" s="81">
        <v>0</v>
      </c>
      <c r="Z12" s="81">
        <v>1</v>
      </c>
      <c r="AA12" s="81">
        <v>0.25</v>
      </c>
      <c r="AB12" s="84">
        <v>0</v>
      </c>
      <c r="AC12" s="83">
        <f>IF((AB12/Z12)&gt;1,1,AB12/Z12)</f>
        <v>0</v>
      </c>
      <c r="AD12" s="102">
        <f>E12</f>
        <v>30000000</v>
      </c>
      <c r="AE12" s="81">
        <f>SUM(Q12:Q14)</f>
        <v>0</v>
      </c>
      <c r="AF12" s="83">
        <f>IF((AE12/AD12)&gt;1,1,AE12/AD12)</f>
        <v>0</v>
      </c>
    </row>
    <row r="13" spans="1:32" ht="51.75" customHeight="1" x14ac:dyDescent="0.25">
      <c r="A13" s="104"/>
      <c r="B13" s="109"/>
      <c r="C13" s="104"/>
      <c r="D13" s="110"/>
      <c r="E13" s="104"/>
      <c r="F13" s="11" t="s">
        <v>799</v>
      </c>
      <c r="G13" s="12" t="s">
        <v>800</v>
      </c>
      <c r="H13" s="12">
        <v>0</v>
      </c>
      <c r="I13" s="13">
        <v>1</v>
      </c>
      <c r="J13" s="12" t="s">
        <v>39</v>
      </c>
      <c r="K13" s="12" t="s">
        <v>40</v>
      </c>
      <c r="L13" s="104"/>
      <c r="M13" s="64">
        <v>0</v>
      </c>
      <c r="N13" s="15">
        <f t="shared" si="0"/>
        <v>0</v>
      </c>
      <c r="O13" s="104"/>
      <c r="P13" s="12"/>
      <c r="Q13" s="12">
        <f t="shared" si="1"/>
        <v>0</v>
      </c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</row>
    <row r="14" spans="1:32" ht="51.75" customHeight="1" x14ac:dyDescent="0.25">
      <c r="A14" s="104"/>
      <c r="B14" s="107"/>
      <c r="C14" s="82"/>
      <c r="D14" s="87"/>
      <c r="E14" s="82"/>
      <c r="F14" s="11" t="s">
        <v>801</v>
      </c>
      <c r="G14" s="12" t="s">
        <v>802</v>
      </c>
      <c r="H14" s="12">
        <v>0</v>
      </c>
      <c r="I14" s="13">
        <v>1</v>
      </c>
      <c r="J14" s="12" t="s">
        <v>39</v>
      </c>
      <c r="K14" s="12" t="s">
        <v>40</v>
      </c>
      <c r="L14" s="82"/>
      <c r="M14" s="64">
        <v>0</v>
      </c>
      <c r="N14" s="15">
        <f t="shared" si="0"/>
        <v>0</v>
      </c>
      <c r="O14" s="82"/>
      <c r="P14" s="12"/>
      <c r="Q14" s="12">
        <f t="shared" si="1"/>
        <v>0</v>
      </c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</row>
    <row r="15" spans="1:32" ht="51.75" customHeight="1" x14ac:dyDescent="0.25">
      <c r="A15" s="104"/>
      <c r="B15" s="88" t="s">
        <v>803</v>
      </c>
      <c r="C15" s="81" t="s">
        <v>804</v>
      </c>
      <c r="D15" s="91" t="s">
        <v>805</v>
      </c>
      <c r="E15" s="102">
        <v>105279138</v>
      </c>
      <c r="F15" s="11" t="s">
        <v>806</v>
      </c>
      <c r="G15" s="12" t="s">
        <v>807</v>
      </c>
      <c r="H15" s="12">
        <v>5</v>
      </c>
      <c r="I15" s="13">
        <v>5</v>
      </c>
      <c r="J15" s="12" t="s">
        <v>62</v>
      </c>
      <c r="K15" s="12" t="s">
        <v>40</v>
      </c>
      <c r="L15" s="81" t="s">
        <v>761</v>
      </c>
      <c r="M15" s="64">
        <v>5</v>
      </c>
      <c r="N15" s="15">
        <f t="shared" si="0"/>
        <v>1</v>
      </c>
      <c r="O15" s="83">
        <f>AVERAGE(N15:N16)</f>
        <v>1</v>
      </c>
      <c r="P15" s="12"/>
      <c r="Q15" s="12">
        <f t="shared" si="1"/>
        <v>0</v>
      </c>
      <c r="R15" s="81"/>
      <c r="S15" s="81"/>
      <c r="T15" s="81" t="s">
        <v>808</v>
      </c>
      <c r="U15" s="81">
        <v>400305201</v>
      </c>
      <c r="V15" s="81" t="s">
        <v>809</v>
      </c>
      <c r="W15" s="103" t="s">
        <v>62</v>
      </c>
      <c r="X15" s="81" t="s">
        <v>40</v>
      </c>
      <c r="Y15" s="81">
        <v>6</v>
      </c>
      <c r="Z15" s="81">
        <v>6</v>
      </c>
      <c r="AA15" s="81">
        <v>6</v>
      </c>
      <c r="AB15" s="84">
        <v>6</v>
      </c>
      <c r="AC15" s="83">
        <f>IF((AB15/Z15)&gt;1,1,AB15/Z15)</f>
        <v>1</v>
      </c>
      <c r="AD15" s="102">
        <f>E15</f>
        <v>105279138</v>
      </c>
      <c r="AE15" s="81">
        <f>SUM(Q15:Q16)</f>
        <v>0</v>
      </c>
      <c r="AF15" s="83">
        <f>IF((AE15/AD15)&gt;1,1,AE15/AD15)</f>
        <v>0</v>
      </c>
    </row>
    <row r="16" spans="1:32" ht="51.75" customHeight="1" x14ac:dyDescent="0.25">
      <c r="A16" s="104"/>
      <c r="B16" s="105"/>
      <c r="C16" s="82"/>
      <c r="D16" s="87"/>
      <c r="E16" s="82"/>
      <c r="F16" s="11" t="s">
        <v>810</v>
      </c>
      <c r="G16" s="12" t="s">
        <v>811</v>
      </c>
      <c r="H16" s="12">
        <v>3</v>
      </c>
      <c r="I16" s="13">
        <v>3</v>
      </c>
      <c r="J16" s="12" t="s">
        <v>62</v>
      </c>
      <c r="K16" s="12" t="s">
        <v>40</v>
      </c>
      <c r="L16" s="82"/>
      <c r="M16" s="64">
        <v>3</v>
      </c>
      <c r="N16" s="15">
        <f t="shared" si="0"/>
        <v>1</v>
      </c>
      <c r="O16" s="82"/>
      <c r="P16" s="12"/>
      <c r="Q16" s="12">
        <f t="shared" si="1"/>
        <v>0</v>
      </c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</row>
    <row r="17" spans="1:32" ht="51.75" customHeight="1" x14ac:dyDescent="0.25">
      <c r="A17" s="104"/>
      <c r="B17" s="88" t="s">
        <v>812</v>
      </c>
      <c r="C17" s="106" t="s">
        <v>813</v>
      </c>
      <c r="D17" s="91" t="s">
        <v>814</v>
      </c>
      <c r="E17" s="102">
        <v>100000000</v>
      </c>
      <c r="F17" s="11" t="s">
        <v>815</v>
      </c>
      <c r="G17" s="12" t="s">
        <v>792</v>
      </c>
      <c r="H17" s="12">
        <v>0</v>
      </c>
      <c r="I17" s="13">
        <v>1</v>
      </c>
      <c r="J17" s="12" t="s">
        <v>39</v>
      </c>
      <c r="K17" s="12" t="s">
        <v>40</v>
      </c>
      <c r="L17" s="81" t="s">
        <v>761</v>
      </c>
      <c r="M17" s="64">
        <v>0</v>
      </c>
      <c r="N17" s="15">
        <f t="shared" si="0"/>
        <v>0</v>
      </c>
      <c r="O17" s="83">
        <f>AVERAGE(N17:N18)</f>
        <v>0</v>
      </c>
      <c r="P17" s="12"/>
      <c r="Q17" s="12">
        <f t="shared" si="1"/>
        <v>0</v>
      </c>
      <c r="R17" s="81"/>
      <c r="S17" s="81"/>
      <c r="T17" s="81" t="s">
        <v>816</v>
      </c>
      <c r="U17" s="81">
        <v>400301503</v>
      </c>
      <c r="V17" s="81" t="s">
        <v>817</v>
      </c>
      <c r="W17" s="81" t="s">
        <v>39</v>
      </c>
      <c r="X17" s="81" t="s">
        <v>40</v>
      </c>
      <c r="Y17" s="81">
        <v>0</v>
      </c>
      <c r="Z17" s="81">
        <v>1</v>
      </c>
      <c r="AA17" s="81">
        <v>0.5</v>
      </c>
      <c r="AB17" s="84">
        <v>0</v>
      </c>
      <c r="AC17" s="83">
        <f>IF((AB17/Z17)&gt;1,1,AB17/Z17)</f>
        <v>0</v>
      </c>
      <c r="AD17" s="102">
        <f>E17</f>
        <v>100000000</v>
      </c>
      <c r="AE17" s="81">
        <f>SUM(Q17:Q18)</f>
        <v>0</v>
      </c>
      <c r="AF17" s="83">
        <f>IF((AE17/AD17)&gt;1,1,AE17/AD17)</f>
        <v>0</v>
      </c>
    </row>
    <row r="18" spans="1:32" ht="51.75" customHeight="1" x14ac:dyDescent="0.25">
      <c r="A18" s="104"/>
      <c r="B18" s="105"/>
      <c r="C18" s="107"/>
      <c r="D18" s="87"/>
      <c r="E18" s="82"/>
      <c r="F18" s="11" t="s">
        <v>818</v>
      </c>
      <c r="G18" s="12" t="s">
        <v>787</v>
      </c>
      <c r="H18" s="12">
        <v>0</v>
      </c>
      <c r="I18" s="13">
        <v>1</v>
      </c>
      <c r="J18" s="12" t="s">
        <v>39</v>
      </c>
      <c r="K18" s="12" t="s">
        <v>40</v>
      </c>
      <c r="L18" s="82"/>
      <c r="M18" s="64">
        <v>0</v>
      </c>
      <c r="N18" s="15">
        <f t="shared" si="0"/>
        <v>0</v>
      </c>
      <c r="O18" s="82"/>
      <c r="P18" s="12"/>
      <c r="Q18" s="12">
        <f t="shared" si="1"/>
        <v>0</v>
      </c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</row>
    <row r="19" spans="1:32" ht="51.75" customHeight="1" x14ac:dyDescent="0.25">
      <c r="A19" s="104"/>
      <c r="B19" s="88" t="s">
        <v>819</v>
      </c>
      <c r="C19" s="81" t="s">
        <v>820</v>
      </c>
      <c r="D19" s="91" t="s">
        <v>821</v>
      </c>
      <c r="E19" s="102">
        <v>10000000</v>
      </c>
      <c r="F19" s="11" t="s">
        <v>822</v>
      </c>
      <c r="G19" s="12" t="s">
        <v>765</v>
      </c>
      <c r="H19" s="12">
        <v>0</v>
      </c>
      <c r="I19" s="13">
        <v>1</v>
      </c>
      <c r="J19" s="12" t="s">
        <v>39</v>
      </c>
      <c r="K19" s="12" t="s">
        <v>40</v>
      </c>
      <c r="L19" s="81" t="s">
        <v>761</v>
      </c>
      <c r="M19" s="64">
        <v>0</v>
      </c>
      <c r="N19" s="15">
        <f t="shared" si="0"/>
        <v>0</v>
      </c>
      <c r="O19" s="83">
        <f>AVERAGE(N19:N20)</f>
        <v>0</v>
      </c>
      <c r="P19" s="12"/>
      <c r="Q19" s="12">
        <f t="shared" si="1"/>
        <v>0</v>
      </c>
      <c r="R19" s="81"/>
      <c r="S19" s="81"/>
      <c r="T19" s="81" t="s">
        <v>823</v>
      </c>
      <c r="U19" s="81">
        <v>400300801</v>
      </c>
      <c r="V19" s="81" t="s">
        <v>824</v>
      </c>
      <c r="W19" s="81" t="s">
        <v>39</v>
      </c>
      <c r="X19" s="81" t="s">
        <v>40</v>
      </c>
      <c r="Y19" s="81">
        <v>0</v>
      </c>
      <c r="Z19" s="81">
        <v>1</v>
      </c>
      <c r="AA19" s="81">
        <v>0</v>
      </c>
      <c r="AB19" s="84">
        <v>0</v>
      </c>
      <c r="AC19" s="83">
        <f>IF((AB19/Z19)&gt;1,1,AB19/Z19)</f>
        <v>0</v>
      </c>
      <c r="AD19" s="102">
        <f>E19</f>
        <v>10000000</v>
      </c>
      <c r="AE19" s="81">
        <f>SUM(Q19:Q20)</f>
        <v>0</v>
      </c>
      <c r="AF19" s="83">
        <f>IF((AE19/AD19)&gt;1,1,AE19/AD19)</f>
        <v>0</v>
      </c>
    </row>
    <row r="20" spans="1:32" ht="51.75" customHeight="1" x14ac:dyDescent="0.25">
      <c r="A20" s="82"/>
      <c r="B20" s="89"/>
      <c r="C20" s="90"/>
      <c r="D20" s="92"/>
      <c r="E20" s="82"/>
      <c r="F20" s="11" t="s">
        <v>825</v>
      </c>
      <c r="G20" s="12" t="s">
        <v>787</v>
      </c>
      <c r="H20" s="12">
        <v>0</v>
      </c>
      <c r="I20" s="13">
        <v>1</v>
      </c>
      <c r="J20" s="12" t="s">
        <v>39</v>
      </c>
      <c r="K20" s="12" t="s">
        <v>40</v>
      </c>
      <c r="L20" s="82"/>
      <c r="M20" s="64">
        <v>0</v>
      </c>
      <c r="N20" s="15">
        <f t="shared" si="0"/>
        <v>0</v>
      </c>
      <c r="O20" s="82"/>
      <c r="P20" s="12"/>
      <c r="Q20" s="12">
        <f t="shared" si="1"/>
        <v>0</v>
      </c>
      <c r="R20" s="82"/>
      <c r="S20" s="82"/>
      <c r="T20" s="90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</row>
    <row r="21" spans="1:32" ht="51.75" customHeight="1" x14ac:dyDescent="0.25">
      <c r="A21" s="81" t="s">
        <v>826</v>
      </c>
      <c r="B21" s="113" t="s">
        <v>827</v>
      </c>
      <c r="C21" s="81" t="s">
        <v>828</v>
      </c>
      <c r="D21" s="91" t="s">
        <v>829</v>
      </c>
      <c r="E21" s="102">
        <v>30000000</v>
      </c>
      <c r="F21" s="11" t="s">
        <v>830</v>
      </c>
      <c r="G21" s="12" t="s">
        <v>337</v>
      </c>
      <c r="H21" s="12">
        <v>20</v>
      </c>
      <c r="I21" s="13">
        <v>20</v>
      </c>
      <c r="J21" s="12" t="s">
        <v>62</v>
      </c>
      <c r="K21" s="12" t="s">
        <v>40</v>
      </c>
      <c r="L21" s="81" t="s">
        <v>761</v>
      </c>
      <c r="M21" s="64">
        <v>0</v>
      </c>
      <c r="N21" s="15">
        <f t="shared" si="0"/>
        <v>0</v>
      </c>
      <c r="O21" s="83">
        <f>AVERAGE(N21:N22)</f>
        <v>0</v>
      </c>
      <c r="P21" s="12"/>
      <c r="Q21" s="12">
        <f t="shared" si="1"/>
        <v>0</v>
      </c>
      <c r="R21" s="81"/>
      <c r="S21" s="81"/>
      <c r="T21" s="81" t="s">
        <v>831</v>
      </c>
      <c r="U21" s="81">
        <v>320305000</v>
      </c>
      <c r="V21" s="81" t="s">
        <v>778</v>
      </c>
      <c r="W21" s="81" t="s">
        <v>39</v>
      </c>
      <c r="X21" s="81" t="s">
        <v>779</v>
      </c>
      <c r="Y21" s="81">
        <v>180</v>
      </c>
      <c r="Z21" s="81">
        <v>184</v>
      </c>
      <c r="AA21" s="81">
        <v>1.5</v>
      </c>
      <c r="AB21" s="84">
        <v>0</v>
      </c>
      <c r="AC21" s="83">
        <f>IF((AB21/Z21)&gt;1,1,AB21/Z21)</f>
        <v>0</v>
      </c>
      <c r="AD21" s="102">
        <f>E21</f>
        <v>30000000</v>
      </c>
      <c r="AE21" s="81">
        <f>SUM(Q21:Q22)</f>
        <v>0</v>
      </c>
      <c r="AF21" s="83">
        <f>IF((AE21/AD21)&gt;1,1,AE21/AD21)</f>
        <v>0</v>
      </c>
    </row>
    <row r="22" spans="1:32" ht="51.75" customHeight="1" x14ac:dyDescent="0.25">
      <c r="A22" s="104"/>
      <c r="B22" s="90"/>
      <c r="C22" s="90"/>
      <c r="D22" s="92"/>
      <c r="E22" s="82"/>
      <c r="F22" s="11" t="s">
        <v>832</v>
      </c>
      <c r="G22" s="12" t="s">
        <v>833</v>
      </c>
      <c r="H22" s="12">
        <v>0</v>
      </c>
      <c r="I22" s="13">
        <v>1</v>
      </c>
      <c r="J22" s="12" t="s">
        <v>39</v>
      </c>
      <c r="K22" s="12" t="s">
        <v>834</v>
      </c>
      <c r="L22" s="82"/>
      <c r="M22" s="64">
        <v>0</v>
      </c>
      <c r="N22" s="15">
        <f t="shared" si="0"/>
        <v>0</v>
      </c>
      <c r="O22" s="82"/>
      <c r="P22" s="12"/>
      <c r="Q22" s="12">
        <f t="shared" si="1"/>
        <v>0</v>
      </c>
      <c r="R22" s="82"/>
      <c r="S22" s="82"/>
      <c r="T22" s="90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</row>
    <row r="23" spans="1:32" ht="51.75" customHeight="1" x14ac:dyDescent="0.25">
      <c r="A23" s="104"/>
      <c r="B23" s="88" t="s">
        <v>835</v>
      </c>
      <c r="C23" s="81" t="s">
        <v>836</v>
      </c>
      <c r="D23" s="91" t="s">
        <v>837</v>
      </c>
      <c r="E23" s="102">
        <v>165000000</v>
      </c>
      <c r="F23" s="11" t="s">
        <v>838</v>
      </c>
      <c r="G23" s="12" t="s">
        <v>839</v>
      </c>
      <c r="H23" s="12">
        <v>0</v>
      </c>
      <c r="I23" s="13">
        <v>1</v>
      </c>
      <c r="J23" s="12" t="s">
        <v>39</v>
      </c>
      <c r="K23" s="12" t="s">
        <v>40</v>
      </c>
      <c r="L23" s="81" t="s">
        <v>761</v>
      </c>
      <c r="M23" s="64">
        <v>0</v>
      </c>
      <c r="N23" s="15">
        <f t="shared" si="0"/>
        <v>0</v>
      </c>
      <c r="O23" s="83">
        <f>AVERAGE(N23:N36)</f>
        <v>0</v>
      </c>
      <c r="P23" s="12"/>
      <c r="Q23" s="12">
        <f t="shared" si="1"/>
        <v>0</v>
      </c>
      <c r="R23" s="81"/>
      <c r="S23" s="81"/>
      <c r="T23" s="81" t="s">
        <v>840</v>
      </c>
      <c r="U23" s="81">
        <v>400201600</v>
      </c>
      <c r="V23" s="81" t="s">
        <v>238</v>
      </c>
      <c r="W23" s="81" t="s">
        <v>39</v>
      </c>
      <c r="X23" s="81" t="s">
        <v>40</v>
      </c>
      <c r="Y23" s="81">
        <v>0</v>
      </c>
      <c r="Z23" s="81">
        <v>1</v>
      </c>
      <c r="AA23" s="81">
        <v>0.25</v>
      </c>
      <c r="AB23" s="84">
        <v>0</v>
      </c>
      <c r="AC23" s="114">
        <f>IF((AB23/Z23)&gt;1,1,AB23/Z23)</f>
        <v>0</v>
      </c>
      <c r="AD23" s="102">
        <f>E23</f>
        <v>165000000</v>
      </c>
      <c r="AE23" s="81">
        <f>SUM(Q23:Q36)</f>
        <v>0</v>
      </c>
      <c r="AF23" s="83">
        <f>IF((AE23/AD23)&gt;1,1,AE23/AD23)</f>
        <v>0</v>
      </c>
    </row>
    <row r="24" spans="1:32" ht="51.75" customHeight="1" x14ac:dyDescent="0.25">
      <c r="A24" s="104"/>
      <c r="B24" s="112"/>
      <c r="C24" s="104"/>
      <c r="D24" s="110"/>
      <c r="E24" s="104"/>
      <c r="F24" s="111" t="s">
        <v>841</v>
      </c>
      <c r="G24" s="12" t="s">
        <v>842</v>
      </c>
      <c r="H24" s="12">
        <v>0</v>
      </c>
      <c r="I24" s="13">
        <v>250</v>
      </c>
      <c r="J24" s="12" t="s">
        <v>39</v>
      </c>
      <c r="K24" s="12" t="s">
        <v>40</v>
      </c>
      <c r="L24" s="104"/>
      <c r="M24" s="64">
        <v>0</v>
      </c>
      <c r="N24" s="15">
        <f t="shared" si="0"/>
        <v>0</v>
      </c>
      <c r="O24" s="104"/>
      <c r="P24" s="12"/>
      <c r="Q24" s="12">
        <f t="shared" si="1"/>
        <v>0</v>
      </c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</row>
    <row r="25" spans="1:32" ht="51.75" customHeight="1" x14ac:dyDescent="0.25">
      <c r="A25" s="104"/>
      <c r="B25" s="112"/>
      <c r="C25" s="104"/>
      <c r="D25" s="110"/>
      <c r="E25" s="104"/>
      <c r="F25" s="104"/>
      <c r="G25" s="12" t="s">
        <v>843</v>
      </c>
      <c r="H25" s="12">
        <v>0</v>
      </c>
      <c r="I25" s="13">
        <v>12</v>
      </c>
      <c r="J25" s="12" t="s">
        <v>39</v>
      </c>
      <c r="K25" s="12" t="s">
        <v>40</v>
      </c>
      <c r="L25" s="104"/>
      <c r="M25" s="64">
        <v>0</v>
      </c>
      <c r="N25" s="15">
        <f t="shared" si="0"/>
        <v>0</v>
      </c>
      <c r="O25" s="104"/>
      <c r="P25" s="12"/>
      <c r="Q25" s="12">
        <f t="shared" si="1"/>
        <v>0</v>
      </c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</row>
    <row r="26" spans="1:32" ht="51.75" customHeight="1" x14ac:dyDescent="0.25">
      <c r="A26" s="104"/>
      <c r="B26" s="112"/>
      <c r="C26" s="104"/>
      <c r="D26" s="110"/>
      <c r="E26" s="104"/>
      <c r="F26" s="104"/>
      <c r="G26" s="12" t="s">
        <v>844</v>
      </c>
      <c r="H26" s="12">
        <v>0</v>
      </c>
      <c r="I26" s="13">
        <v>1</v>
      </c>
      <c r="J26" s="12" t="s">
        <v>39</v>
      </c>
      <c r="K26" s="12" t="s">
        <v>48</v>
      </c>
      <c r="L26" s="104"/>
      <c r="M26" s="64">
        <v>0</v>
      </c>
      <c r="N26" s="15">
        <f t="shared" si="0"/>
        <v>0</v>
      </c>
      <c r="O26" s="104"/>
      <c r="P26" s="12"/>
      <c r="Q26" s="12">
        <f t="shared" si="1"/>
        <v>0</v>
      </c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</row>
    <row r="27" spans="1:32" ht="51.75" customHeight="1" x14ac:dyDescent="0.25">
      <c r="A27" s="104"/>
      <c r="B27" s="112"/>
      <c r="C27" s="104"/>
      <c r="D27" s="110"/>
      <c r="E27" s="104"/>
      <c r="F27" s="82"/>
      <c r="G27" s="12" t="s">
        <v>845</v>
      </c>
      <c r="H27" s="12">
        <v>0</v>
      </c>
      <c r="I27" s="13">
        <v>12</v>
      </c>
      <c r="J27" s="12" t="s">
        <v>39</v>
      </c>
      <c r="K27" s="12" t="s">
        <v>40</v>
      </c>
      <c r="L27" s="104"/>
      <c r="M27" s="64">
        <v>0</v>
      </c>
      <c r="N27" s="15">
        <f t="shared" si="0"/>
        <v>0</v>
      </c>
      <c r="O27" s="104"/>
      <c r="P27" s="12"/>
      <c r="Q27" s="12">
        <f t="shared" si="1"/>
        <v>0</v>
      </c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</row>
    <row r="28" spans="1:32" ht="51.75" customHeight="1" x14ac:dyDescent="0.25">
      <c r="A28" s="104"/>
      <c r="B28" s="112"/>
      <c r="C28" s="104"/>
      <c r="D28" s="110"/>
      <c r="E28" s="104"/>
      <c r="F28" s="111" t="s">
        <v>846</v>
      </c>
      <c r="G28" s="12" t="s">
        <v>847</v>
      </c>
      <c r="H28" s="12">
        <v>0</v>
      </c>
      <c r="I28" s="13">
        <v>2</v>
      </c>
      <c r="J28" s="12" t="s">
        <v>39</v>
      </c>
      <c r="K28" s="12" t="s">
        <v>40</v>
      </c>
      <c r="L28" s="104"/>
      <c r="M28" s="64">
        <v>0</v>
      </c>
      <c r="N28" s="15">
        <f t="shared" si="0"/>
        <v>0</v>
      </c>
      <c r="O28" s="104"/>
      <c r="P28" s="12"/>
      <c r="Q28" s="12">
        <f t="shared" si="1"/>
        <v>0</v>
      </c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</row>
    <row r="29" spans="1:32" ht="51.75" customHeight="1" x14ac:dyDescent="0.25">
      <c r="A29" s="104"/>
      <c r="B29" s="112"/>
      <c r="C29" s="104"/>
      <c r="D29" s="110"/>
      <c r="E29" s="104"/>
      <c r="F29" s="82"/>
      <c r="G29" s="12" t="s">
        <v>848</v>
      </c>
      <c r="H29" s="12">
        <v>0</v>
      </c>
      <c r="I29" s="13">
        <v>1</v>
      </c>
      <c r="J29" s="12" t="s">
        <v>39</v>
      </c>
      <c r="K29" s="12" t="s">
        <v>40</v>
      </c>
      <c r="L29" s="104"/>
      <c r="M29" s="64">
        <v>0</v>
      </c>
      <c r="N29" s="15">
        <f t="shared" si="0"/>
        <v>0</v>
      </c>
      <c r="O29" s="104"/>
      <c r="P29" s="12"/>
      <c r="Q29" s="12">
        <f t="shared" si="1"/>
        <v>0</v>
      </c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</row>
    <row r="30" spans="1:32" ht="51.75" customHeight="1" x14ac:dyDescent="0.25">
      <c r="A30" s="104"/>
      <c r="B30" s="112"/>
      <c r="C30" s="104"/>
      <c r="D30" s="110"/>
      <c r="E30" s="104"/>
      <c r="F30" s="11" t="s">
        <v>849</v>
      </c>
      <c r="G30" s="12" t="s">
        <v>850</v>
      </c>
      <c r="H30" s="12">
        <v>0</v>
      </c>
      <c r="I30" s="13">
        <v>1</v>
      </c>
      <c r="J30" s="12" t="s">
        <v>39</v>
      </c>
      <c r="K30" s="12" t="s">
        <v>40</v>
      </c>
      <c r="L30" s="104"/>
      <c r="M30" s="64">
        <v>0</v>
      </c>
      <c r="N30" s="15">
        <f t="shared" si="0"/>
        <v>0</v>
      </c>
      <c r="O30" s="104"/>
      <c r="P30" s="12"/>
      <c r="Q30" s="12">
        <f t="shared" si="1"/>
        <v>0</v>
      </c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</row>
    <row r="31" spans="1:32" ht="51.75" customHeight="1" x14ac:dyDescent="0.25">
      <c r="A31" s="104"/>
      <c r="B31" s="112"/>
      <c r="C31" s="104"/>
      <c r="D31" s="110"/>
      <c r="E31" s="104"/>
      <c r="F31" s="111" t="s">
        <v>851</v>
      </c>
      <c r="G31" s="12" t="s">
        <v>852</v>
      </c>
      <c r="H31" s="12">
        <v>0</v>
      </c>
      <c r="I31" s="13">
        <v>1</v>
      </c>
      <c r="J31" s="12" t="s">
        <v>39</v>
      </c>
      <c r="K31" s="12" t="s">
        <v>40</v>
      </c>
      <c r="L31" s="104"/>
      <c r="M31" s="64">
        <v>0</v>
      </c>
      <c r="N31" s="15">
        <f t="shared" si="0"/>
        <v>0</v>
      </c>
      <c r="O31" s="104"/>
      <c r="P31" s="12"/>
      <c r="Q31" s="12">
        <f t="shared" si="1"/>
        <v>0</v>
      </c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</row>
    <row r="32" spans="1:32" ht="51.75" customHeight="1" x14ac:dyDescent="0.25">
      <c r="A32" s="104"/>
      <c r="B32" s="112"/>
      <c r="C32" s="104"/>
      <c r="D32" s="110"/>
      <c r="E32" s="104"/>
      <c r="F32" s="82"/>
      <c r="G32" s="12" t="s">
        <v>853</v>
      </c>
      <c r="H32" s="12">
        <v>0</v>
      </c>
      <c r="I32" s="13">
        <v>1</v>
      </c>
      <c r="J32" s="12" t="s">
        <v>39</v>
      </c>
      <c r="K32" s="12" t="s">
        <v>40</v>
      </c>
      <c r="L32" s="104"/>
      <c r="M32" s="64">
        <v>0</v>
      </c>
      <c r="N32" s="15">
        <f t="shared" si="0"/>
        <v>0</v>
      </c>
      <c r="O32" s="104"/>
      <c r="P32" s="12"/>
      <c r="Q32" s="12">
        <f t="shared" si="1"/>
        <v>0</v>
      </c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</row>
    <row r="33" spans="1:32" ht="51.75" customHeight="1" x14ac:dyDescent="0.25">
      <c r="A33" s="104"/>
      <c r="B33" s="112"/>
      <c r="C33" s="104"/>
      <c r="D33" s="110"/>
      <c r="E33" s="104"/>
      <c r="F33" s="11" t="s">
        <v>854</v>
      </c>
      <c r="G33" s="12" t="s">
        <v>853</v>
      </c>
      <c r="H33" s="12">
        <v>0</v>
      </c>
      <c r="I33" s="13">
        <v>1</v>
      </c>
      <c r="J33" s="12" t="s">
        <v>39</v>
      </c>
      <c r="K33" s="12" t="s">
        <v>40</v>
      </c>
      <c r="L33" s="104"/>
      <c r="M33" s="64">
        <v>0</v>
      </c>
      <c r="N33" s="15">
        <f t="shared" si="0"/>
        <v>0</v>
      </c>
      <c r="O33" s="104"/>
      <c r="P33" s="12"/>
      <c r="Q33" s="12">
        <f t="shared" si="1"/>
        <v>0</v>
      </c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</row>
    <row r="34" spans="1:32" ht="51.75" customHeight="1" x14ac:dyDescent="0.25">
      <c r="A34" s="104"/>
      <c r="B34" s="112"/>
      <c r="C34" s="104"/>
      <c r="D34" s="110"/>
      <c r="E34" s="104"/>
      <c r="F34" s="11" t="s">
        <v>855</v>
      </c>
      <c r="G34" s="12" t="s">
        <v>856</v>
      </c>
      <c r="H34" s="12">
        <v>0</v>
      </c>
      <c r="I34" s="13">
        <v>1</v>
      </c>
      <c r="J34" s="12" t="s">
        <v>39</v>
      </c>
      <c r="K34" s="12" t="s">
        <v>40</v>
      </c>
      <c r="L34" s="104"/>
      <c r="M34" s="64">
        <v>0</v>
      </c>
      <c r="N34" s="15">
        <f t="shared" si="0"/>
        <v>0</v>
      </c>
      <c r="O34" s="104"/>
      <c r="P34" s="12"/>
      <c r="Q34" s="12">
        <f t="shared" si="1"/>
        <v>0</v>
      </c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</row>
    <row r="35" spans="1:32" ht="51.75" customHeight="1" x14ac:dyDescent="0.25">
      <c r="A35" s="104"/>
      <c r="B35" s="112"/>
      <c r="C35" s="104"/>
      <c r="D35" s="110"/>
      <c r="E35" s="104"/>
      <c r="F35" s="11" t="s">
        <v>857</v>
      </c>
      <c r="G35" s="12" t="s">
        <v>858</v>
      </c>
      <c r="H35" s="12">
        <v>0</v>
      </c>
      <c r="I35" s="13">
        <v>4</v>
      </c>
      <c r="J35" s="12" t="s">
        <v>39</v>
      </c>
      <c r="K35" s="12" t="s">
        <v>40</v>
      </c>
      <c r="L35" s="104"/>
      <c r="M35" s="64">
        <v>0</v>
      </c>
      <c r="N35" s="15">
        <f t="shared" si="0"/>
        <v>0</v>
      </c>
      <c r="O35" s="104"/>
      <c r="P35" s="12"/>
      <c r="Q35" s="12">
        <f t="shared" si="1"/>
        <v>0</v>
      </c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</row>
    <row r="36" spans="1:32" ht="51.75" customHeight="1" x14ac:dyDescent="0.25">
      <c r="A36" s="104"/>
      <c r="B36" s="89"/>
      <c r="C36" s="82"/>
      <c r="D36" s="87"/>
      <c r="E36" s="82"/>
      <c r="F36" s="11" t="s">
        <v>859</v>
      </c>
      <c r="G36" s="12" t="s">
        <v>856</v>
      </c>
      <c r="H36" s="12">
        <v>0</v>
      </c>
      <c r="I36" s="13">
        <v>1</v>
      </c>
      <c r="J36" s="12" t="s">
        <v>39</v>
      </c>
      <c r="K36" s="12" t="s">
        <v>40</v>
      </c>
      <c r="L36" s="82"/>
      <c r="M36" s="64">
        <v>0</v>
      </c>
      <c r="N36" s="15">
        <f t="shared" si="0"/>
        <v>0</v>
      </c>
      <c r="O36" s="82"/>
      <c r="P36" s="12"/>
      <c r="Q36" s="12">
        <f t="shared" si="1"/>
        <v>0</v>
      </c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90"/>
      <c r="AE36" s="82"/>
      <c r="AF36" s="82"/>
    </row>
    <row r="37" spans="1:32" ht="51.75" customHeight="1" x14ac:dyDescent="0.25">
      <c r="A37" s="104"/>
      <c r="B37" s="88" t="s">
        <v>860</v>
      </c>
      <c r="C37" s="81" t="s">
        <v>861</v>
      </c>
      <c r="D37" s="91" t="s">
        <v>862</v>
      </c>
      <c r="E37" s="102">
        <v>300000000</v>
      </c>
      <c r="F37" s="11" t="s">
        <v>863</v>
      </c>
      <c r="G37" s="12" t="s">
        <v>864</v>
      </c>
      <c r="H37" s="12">
        <v>16</v>
      </c>
      <c r="I37" s="13">
        <v>16</v>
      </c>
      <c r="J37" s="12" t="s">
        <v>62</v>
      </c>
      <c r="K37" s="12" t="s">
        <v>40</v>
      </c>
      <c r="L37" s="81" t="s">
        <v>761</v>
      </c>
      <c r="M37" s="64">
        <v>0</v>
      </c>
      <c r="N37" s="15">
        <f t="shared" si="0"/>
        <v>0</v>
      </c>
      <c r="O37" s="83">
        <f>AVERAGE(N37:N42)</f>
        <v>0</v>
      </c>
      <c r="P37" s="12"/>
      <c r="Q37" s="12">
        <f t="shared" si="1"/>
        <v>0</v>
      </c>
      <c r="R37" s="81"/>
      <c r="S37" s="81"/>
      <c r="T37" s="81" t="s">
        <v>865</v>
      </c>
      <c r="U37" s="81">
        <v>400300602</v>
      </c>
      <c r="V37" s="81" t="s">
        <v>866</v>
      </c>
      <c r="W37" s="81" t="s">
        <v>39</v>
      </c>
      <c r="X37" s="81" t="s">
        <v>40</v>
      </c>
      <c r="Y37" s="81">
        <v>0</v>
      </c>
      <c r="Z37" s="81">
        <v>1</v>
      </c>
      <c r="AA37" s="81">
        <v>0</v>
      </c>
      <c r="AB37" s="84">
        <v>0</v>
      </c>
      <c r="AC37" s="83">
        <f>IF((AB37/Z37)&gt;1,1,AB37/Z37)</f>
        <v>0</v>
      </c>
      <c r="AD37" s="102">
        <f>E37</f>
        <v>300000000</v>
      </c>
      <c r="AE37" s="81">
        <f>SUM(Q37:Q42)</f>
        <v>0</v>
      </c>
      <c r="AF37" s="83">
        <f>IF((AE37/AD37)&gt;1,1,AE37/AD37)</f>
        <v>0</v>
      </c>
    </row>
    <row r="38" spans="1:32" ht="51.75" customHeight="1" x14ac:dyDescent="0.25">
      <c r="A38" s="104"/>
      <c r="B38" s="112"/>
      <c r="C38" s="104"/>
      <c r="D38" s="110"/>
      <c r="E38" s="104"/>
      <c r="F38" s="111" t="s">
        <v>867</v>
      </c>
      <c r="G38" s="12" t="s">
        <v>868</v>
      </c>
      <c r="H38" s="12">
        <v>0</v>
      </c>
      <c r="I38" s="13">
        <v>1400</v>
      </c>
      <c r="J38" s="12" t="s">
        <v>39</v>
      </c>
      <c r="K38" s="12" t="s">
        <v>40</v>
      </c>
      <c r="L38" s="104"/>
      <c r="M38" s="64">
        <v>0</v>
      </c>
      <c r="N38" s="15">
        <f t="shared" si="0"/>
        <v>0</v>
      </c>
      <c r="O38" s="104"/>
      <c r="P38" s="12"/>
      <c r="Q38" s="12">
        <f t="shared" si="1"/>
        <v>0</v>
      </c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</row>
    <row r="39" spans="1:32" ht="51.75" customHeight="1" x14ac:dyDescent="0.25">
      <c r="A39" s="104"/>
      <c r="B39" s="112"/>
      <c r="C39" s="104"/>
      <c r="D39" s="110"/>
      <c r="E39" s="104"/>
      <c r="F39" s="82"/>
      <c r="G39" s="12" t="s">
        <v>869</v>
      </c>
      <c r="H39" s="12">
        <v>0</v>
      </c>
      <c r="I39" s="13">
        <v>350</v>
      </c>
      <c r="J39" s="12" t="s">
        <v>39</v>
      </c>
      <c r="K39" s="12" t="s">
        <v>40</v>
      </c>
      <c r="L39" s="104"/>
      <c r="M39" s="64">
        <v>0</v>
      </c>
      <c r="N39" s="15">
        <f t="shared" si="0"/>
        <v>0</v>
      </c>
      <c r="O39" s="104"/>
      <c r="P39" s="12"/>
      <c r="Q39" s="12">
        <f t="shared" si="1"/>
        <v>0</v>
      </c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</row>
    <row r="40" spans="1:32" ht="51.75" customHeight="1" x14ac:dyDescent="0.25">
      <c r="A40" s="104"/>
      <c r="B40" s="112"/>
      <c r="C40" s="104"/>
      <c r="D40" s="110"/>
      <c r="E40" s="104"/>
      <c r="F40" s="11" t="s">
        <v>870</v>
      </c>
      <c r="G40" s="12" t="s">
        <v>871</v>
      </c>
      <c r="H40" s="12">
        <v>0</v>
      </c>
      <c r="I40" s="13">
        <v>6</v>
      </c>
      <c r="J40" s="12" t="s">
        <v>39</v>
      </c>
      <c r="K40" s="12" t="s">
        <v>40</v>
      </c>
      <c r="L40" s="104"/>
      <c r="M40" s="64">
        <v>0</v>
      </c>
      <c r="N40" s="15">
        <f t="shared" si="0"/>
        <v>0</v>
      </c>
      <c r="O40" s="104"/>
      <c r="P40" s="12"/>
      <c r="Q40" s="12">
        <f t="shared" si="1"/>
        <v>0</v>
      </c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</row>
    <row r="41" spans="1:32" ht="51.75" customHeight="1" x14ac:dyDescent="0.25">
      <c r="A41" s="104"/>
      <c r="B41" s="112"/>
      <c r="C41" s="104"/>
      <c r="D41" s="110"/>
      <c r="E41" s="104"/>
      <c r="F41" s="11" t="s">
        <v>872</v>
      </c>
      <c r="G41" s="12" t="s">
        <v>873</v>
      </c>
      <c r="H41" s="12">
        <v>0</v>
      </c>
      <c r="I41" s="13">
        <v>155000</v>
      </c>
      <c r="J41" s="12" t="s">
        <v>39</v>
      </c>
      <c r="K41" s="12" t="s">
        <v>40</v>
      </c>
      <c r="L41" s="104"/>
      <c r="M41" s="64">
        <v>0</v>
      </c>
      <c r="N41" s="15">
        <f t="shared" si="0"/>
        <v>0</v>
      </c>
      <c r="O41" s="104"/>
      <c r="P41" s="12"/>
      <c r="Q41" s="12">
        <f t="shared" si="1"/>
        <v>0</v>
      </c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</row>
    <row r="42" spans="1:32" ht="51.75" customHeight="1" x14ac:dyDescent="0.25">
      <c r="A42" s="104"/>
      <c r="B42" s="89"/>
      <c r="C42" s="90"/>
      <c r="D42" s="92"/>
      <c r="E42" s="82"/>
      <c r="F42" s="11" t="s">
        <v>874</v>
      </c>
      <c r="G42" s="12" t="s">
        <v>875</v>
      </c>
      <c r="H42" s="12">
        <v>0</v>
      </c>
      <c r="I42" s="13">
        <v>4000</v>
      </c>
      <c r="J42" s="12" t="s">
        <v>39</v>
      </c>
      <c r="K42" s="12" t="s">
        <v>40</v>
      </c>
      <c r="L42" s="82"/>
      <c r="M42" s="64">
        <v>0</v>
      </c>
      <c r="N42" s="15">
        <f t="shared" si="0"/>
        <v>0</v>
      </c>
      <c r="O42" s="82"/>
      <c r="P42" s="12"/>
      <c r="Q42" s="12">
        <f t="shared" si="1"/>
        <v>0</v>
      </c>
      <c r="R42" s="82"/>
      <c r="S42" s="82"/>
      <c r="T42" s="90"/>
      <c r="U42" s="82"/>
      <c r="V42" s="82"/>
      <c r="W42" s="82"/>
      <c r="X42" s="82"/>
      <c r="Y42" s="82"/>
      <c r="Z42" s="82"/>
      <c r="AA42" s="82"/>
      <c r="AB42" s="82"/>
      <c r="AC42" s="82"/>
      <c r="AD42" s="90"/>
      <c r="AE42" s="82"/>
      <c r="AF42" s="82"/>
    </row>
    <row r="43" spans="1:32" ht="51.75" customHeight="1" x14ac:dyDescent="0.25">
      <c r="A43" s="104"/>
      <c r="B43" s="88" t="s">
        <v>876</v>
      </c>
      <c r="C43" s="81" t="s">
        <v>877</v>
      </c>
      <c r="D43" s="91" t="s">
        <v>878</v>
      </c>
      <c r="E43" s="102">
        <v>155000000</v>
      </c>
      <c r="F43" s="11" t="s">
        <v>879</v>
      </c>
      <c r="G43" s="12" t="s">
        <v>880</v>
      </c>
      <c r="H43" s="12">
        <v>0</v>
      </c>
      <c r="I43" s="13">
        <v>4</v>
      </c>
      <c r="J43" s="12" t="s">
        <v>39</v>
      </c>
      <c r="K43" s="12" t="s">
        <v>40</v>
      </c>
      <c r="L43" s="81" t="s">
        <v>761</v>
      </c>
      <c r="M43" s="64">
        <v>0</v>
      </c>
      <c r="N43" s="15">
        <f t="shared" si="0"/>
        <v>0</v>
      </c>
      <c r="O43" s="83">
        <f>AVERAGE(N43:N49)</f>
        <v>0</v>
      </c>
      <c r="P43" s="12"/>
      <c r="Q43" s="12">
        <f t="shared" si="1"/>
        <v>0</v>
      </c>
      <c r="R43" s="81"/>
      <c r="S43" s="81"/>
      <c r="T43" s="81" t="s">
        <v>881</v>
      </c>
      <c r="U43" s="81">
        <v>320402500</v>
      </c>
      <c r="V43" s="81" t="s">
        <v>882</v>
      </c>
      <c r="W43" s="81" t="s">
        <v>39</v>
      </c>
      <c r="X43" s="81" t="s">
        <v>40</v>
      </c>
      <c r="Y43" s="81">
        <v>0</v>
      </c>
      <c r="Z43" s="81">
        <v>4000</v>
      </c>
      <c r="AA43" s="81">
        <v>1000</v>
      </c>
      <c r="AB43" s="84">
        <v>0</v>
      </c>
      <c r="AC43" s="83">
        <f>IF((AB43/Z43)&gt;1,1,AB43/Z43)</f>
        <v>0</v>
      </c>
      <c r="AD43" s="102">
        <f>E43</f>
        <v>155000000</v>
      </c>
      <c r="AE43" s="81">
        <f>SUM(Q43:Q49)</f>
        <v>0</v>
      </c>
      <c r="AF43" s="83">
        <f>IF((AE43/AD43)&gt;1,1,AE43/AD43)</f>
        <v>0</v>
      </c>
    </row>
    <row r="44" spans="1:32" ht="51.75" customHeight="1" x14ac:dyDescent="0.25">
      <c r="A44" s="104"/>
      <c r="B44" s="112"/>
      <c r="C44" s="104"/>
      <c r="D44" s="110"/>
      <c r="E44" s="104"/>
      <c r="F44" s="11" t="s">
        <v>883</v>
      </c>
      <c r="G44" s="12" t="s">
        <v>884</v>
      </c>
      <c r="H44" s="12">
        <v>0</v>
      </c>
      <c r="I44" s="13">
        <v>1</v>
      </c>
      <c r="J44" s="12" t="s">
        <v>39</v>
      </c>
      <c r="K44" s="12" t="s">
        <v>40</v>
      </c>
      <c r="L44" s="104"/>
      <c r="M44" s="64">
        <v>0</v>
      </c>
      <c r="N44" s="15">
        <f t="shared" si="0"/>
        <v>0</v>
      </c>
      <c r="O44" s="104"/>
      <c r="P44" s="12"/>
      <c r="Q44" s="12">
        <f t="shared" si="1"/>
        <v>0</v>
      </c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</row>
    <row r="45" spans="1:32" ht="51.75" customHeight="1" x14ac:dyDescent="0.25">
      <c r="A45" s="104"/>
      <c r="B45" s="112"/>
      <c r="C45" s="104"/>
      <c r="D45" s="110"/>
      <c r="E45" s="104"/>
      <c r="F45" s="11" t="s">
        <v>885</v>
      </c>
      <c r="G45" s="12" t="s">
        <v>886</v>
      </c>
      <c r="H45" s="12">
        <v>0</v>
      </c>
      <c r="I45" s="13">
        <v>1</v>
      </c>
      <c r="J45" s="12" t="s">
        <v>39</v>
      </c>
      <c r="K45" s="12" t="s">
        <v>40</v>
      </c>
      <c r="L45" s="104"/>
      <c r="M45" s="64">
        <v>0</v>
      </c>
      <c r="N45" s="15">
        <f t="shared" si="0"/>
        <v>0</v>
      </c>
      <c r="O45" s="104"/>
      <c r="P45" s="12"/>
      <c r="Q45" s="12">
        <f t="shared" si="1"/>
        <v>0</v>
      </c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</row>
    <row r="46" spans="1:32" ht="51.75" customHeight="1" x14ac:dyDescent="0.25">
      <c r="A46" s="104"/>
      <c r="B46" s="112"/>
      <c r="C46" s="104"/>
      <c r="D46" s="110"/>
      <c r="E46" s="104"/>
      <c r="F46" s="11" t="s">
        <v>887</v>
      </c>
      <c r="G46" s="12" t="s">
        <v>886</v>
      </c>
      <c r="H46" s="12">
        <v>0</v>
      </c>
      <c r="I46" s="13">
        <v>1</v>
      </c>
      <c r="J46" s="12" t="s">
        <v>39</v>
      </c>
      <c r="K46" s="12" t="s">
        <v>40</v>
      </c>
      <c r="L46" s="104"/>
      <c r="M46" s="64">
        <v>0</v>
      </c>
      <c r="N46" s="15">
        <f t="shared" si="0"/>
        <v>0</v>
      </c>
      <c r="O46" s="104"/>
      <c r="P46" s="12"/>
      <c r="Q46" s="12">
        <f t="shared" si="1"/>
        <v>0</v>
      </c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</row>
    <row r="47" spans="1:32" ht="51.75" customHeight="1" x14ac:dyDescent="0.25">
      <c r="A47" s="104"/>
      <c r="B47" s="112"/>
      <c r="C47" s="104"/>
      <c r="D47" s="110"/>
      <c r="E47" s="104"/>
      <c r="F47" s="111" t="s">
        <v>888</v>
      </c>
      <c r="G47" s="12" t="s">
        <v>875</v>
      </c>
      <c r="H47" s="12">
        <v>0</v>
      </c>
      <c r="I47" s="13">
        <v>1000</v>
      </c>
      <c r="J47" s="12" t="s">
        <v>39</v>
      </c>
      <c r="K47" s="12" t="s">
        <v>40</v>
      </c>
      <c r="L47" s="104"/>
      <c r="M47" s="64">
        <v>0</v>
      </c>
      <c r="N47" s="15">
        <f t="shared" si="0"/>
        <v>0</v>
      </c>
      <c r="O47" s="104"/>
      <c r="P47" s="12"/>
      <c r="Q47" s="12">
        <f t="shared" si="1"/>
        <v>0</v>
      </c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</row>
    <row r="48" spans="1:32" ht="51.75" customHeight="1" x14ac:dyDescent="0.25">
      <c r="A48" s="104"/>
      <c r="B48" s="112"/>
      <c r="C48" s="104"/>
      <c r="D48" s="110"/>
      <c r="E48" s="104"/>
      <c r="F48" s="82"/>
      <c r="G48" s="12" t="s">
        <v>889</v>
      </c>
      <c r="H48" s="12">
        <v>0</v>
      </c>
      <c r="I48" s="13">
        <v>30</v>
      </c>
      <c r="J48" s="12" t="s">
        <v>39</v>
      </c>
      <c r="K48" s="12" t="s">
        <v>40</v>
      </c>
      <c r="L48" s="104"/>
      <c r="M48" s="64">
        <v>0</v>
      </c>
      <c r="N48" s="15">
        <f t="shared" si="0"/>
        <v>0</v>
      </c>
      <c r="O48" s="104"/>
      <c r="P48" s="12"/>
      <c r="Q48" s="12">
        <f t="shared" si="1"/>
        <v>0</v>
      </c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</row>
    <row r="49" spans="1:32" ht="51.75" customHeight="1" x14ac:dyDescent="0.25">
      <c r="A49" s="82"/>
      <c r="B49" s="89"/>
      <c r="C49" s="90"/>
      <c r="D49" s="92"/>
      <c r="E49" s="82"/>
      <c r="F49" s="11" t="s">
        <v>890</v>
      </c>
      <c r="G49" s="12" t="s">
        <v>891</v>
      </c>
      <c r="H49" s="12">
        <v>0</v>
      </c>
      <c r="I49" s="13">
        <v>4</v>
      </c>
      <c r="J49" s="12" t="s">
        <v>39</v>
      </c>
      <c r="K49" s="12" t="s">
        <v>40</v>
      </c>
      <c r="L49" s="82"/>
      <c r="M49" s="64">
        <v>0</v>
      </c>
      <c r="N49" s="15">
        <f t="shared" si="0"/>
        <v>0</v>
      </c>
      <c r="O49" s="82"/>
      <c r="P49" s="12"/>
      <c r="Q49" s="12">
        <f t="shared" si="1"/>
        <v>0</v>
      </c>
      <c r="R49" s="82"/>
      <c r="S49" s="82"/>
      <c r="T49" s="90"/>
      <c r="U49" s="82"/>
      <c r="V49" s="82"/>
      <c r="W49" s="82"/>
      <c r="X49" s="82"/>
      <c r="Y49" s="82"/>
      <c r="Z49" s="82"/>
      <c r="AA49" s="82"/>
      <c r="AB49" s="82"/>
      <c r="AC49" s="82"/>
      <c r="AD49" s="90"/>
      <c r="AE49" s="82"/>
      <c r="AF49" s="82"/>
    </row>
    <row r="50" spans="1:32" ht="51.75" customHeight="1" x14ac:dyDescent="0.25">
      <c r="A50" s="81" t="s">
        <v>892</v>
      </c>
      <c r="B50" s="113" t="s">
        <v>893</v>
      </c>
      <c r="C50" s="81" t="s">
        <v>894</v>
      </c>
      <c r="D50" s="91" t="s">
        <v>895</v>
      </c>
      <c r="E50" s="102">
        <v>117310836</v>
      </c>
      <c r="F50" s="11" t="s">
        <v>896</v>
      </c>
      <c r="G50" s="12" t="s">
        <v>776</v>
      </c>
      <c r="H50" s="12">
        <v>0</v>
      </c>
      <c r="I50" s="13">
        <v>1</v>
      </c>
      <c r="J50" s="12" t="s">
        <v>39</v>
      </c>
      <c r="K50" s="12" t="s">
        <v>40</v>
      </c>
      <c r="L50" s="81" t="s">
        <v>897</v>
      </c>
      <c r="M50" s="64">
        <v>0</v>
      </c>
      <c r="N50" s="15">
        <f t="shared" si="0"/>
        <v>0</v>
      </c>
      <c r="O50" s="83">
        <f>AVERAGE(M50:N51)</f>
        <v>0</v>
      </c>
      <c r="P50" s="12"/>
      <c r="Q50" s="12">
        <f t="shared" si="1"/>
        <v>0</v>
      </c>
      <c r="R50" s="81"/>
      <c r="S50" s="81"/>
      <c r="T50" s="81" t="s">
        <v>898</v>
      </c>
      <c r="U50" s="81">
        <v>400300800</v>
      </c>
      <c r="V50" s="81" t="s">
        <v>899</v>
      </c>
      <c r="W50" s="81" t="s">
        <v>39</v>
      </c>
      <c r="X50" s="81" t="s">
        <v>40</v>
      </c>
      <c r="Y50" s="81">
        <v>0</v>
      </c>
      <c r="Z50" s="81">
        <v>1</v>
      </c>
      <c r="AA50" s="81">
        <v>0.25</v>
      </c>
      <c r="AB50" s="84">
        <v>0</v>
      </c>
      <c r="AC50" s="83">
        <f>IF((AB50/Z50)&gt;1,1,AB50/Z50)</f>
        <v>0</v>
      </c>
      <c r="AD50" s="102">
        <f>E50</f>
        <v>117310836</v>
      </c>
      <c r="AE50" s="81">
        <f>SUM(Q50:Q51)</f>
        <v>0</v>
      </c>
      <c r="AF50" s="83">
        <f>IF((AE50/AD50)&gt;1,1,AE50/AD50)</f>
        <v>0</v>
      </c>
    </row>
    <row r="51" spans="1:32" ht="51.75" customHeight="1" x14ac:dyDescent="0.25">
      <c r="A51" s="104"/>
      <c r="B51" s="82"/>
      <c r="C51" s="82"/>
      <c r="D51" s="87"/>
      <c r="E51" s="82"/>
      <c r="F51" s="11" t="s">
        <v>900</v>
      </c>
      <c r="G51" s="12" t="s">
        <v>901</v>
      </c>
      <c r="H51" s="12">
        <v>0</v>
      </c>
      <c r="I51" s="13">
        <v>1</v>
      </c>
      <c r="J51" s="12" t="s">
        <v>39</v>
      </c>
      <c r="K51" s="12" t="s">
        <v>40</v>
      </c>
      <c r="L51" s="82"/>
      <c r="M51" s="64">
        <v>0</v>
      </c>
      <c r="N51" s="15">
        <f t="shared" si="0"/>
        <v>0</v>
      </c>
      <c r="O51" s="82"/>
      <c r="P51" s="12"/>
      <c r="Q51" s="12">
        <f t="shared" si="1"/>
        <v>0</v>
      </c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90"/>
      <c r="AE51" s="82"/>
      <c r="AF51" s="82"/>
    </row>
    <row r="52" spans="1:32" ht="51.75" customHeight="1" x14ac:dyDescent="0.25">
      <c r="A52" s="104"/>
      <c r="B52" s="113" t="s">
        <v>902</v>
      </c>
      <c r="C52" s="81" t="s">
        <v>903</v>
      </c>
      <c r="D52" s="91" t="s">
        <v>904</v>
      </c>
      <c r="E52" s="102">
        <v>240000000</v>
      </c>
      <c r="F52" s="11" t="s">
        <v>905</v>
      </c>
      <c r="G52" s="12" t="s">
        <v>906</v>
      </c>
      <c r="H52" s="12">
        <v>1</v>
      </c>
      <c r="I52" s="13">
        <v>1</v>
      </c>
      <c r="J52" s="12" t="s">
        <v>62</v>
      </c>
      <c r="K52" s="12" t="s">
        <v>40</v>
      </c>
      <c r="L52" s="81" t="s">
        <v>897</v>
      </c>
      <c r="M52" s="64">
        <v>0</v>
      </c>
      <c r="N52" s="15">
        <f t="shared" si="0"/>
        <v>0</v>
      </c>
      <c r="O52" s="83">
        <f>AVERAGE(N52:N55)</f>
        <v>0</v>
      </c>
      <c r="P52" s="12"/>
      <c r="Q52" s="12">
        <f t="shared" si="1"/>
        <v>0</v>
      </c>
      <c r="R52" s="81"/>
      <c r="S52" s="81"/>
      <c r="T52" s="81" t="s">
        <v>907</v>
      </c>
      <c r="U52" s="81">
        <v>400300800</v>
      </c>
      <c r="V52" s="81" t="s">
        <v>908</v>
      </c>
      <c r="W52" s="81" t="s">
        <v>39</v>
      </c>
      <c r="X52" s="81" t="s">
        <v>40</v>
      </c>
      <c r="Y52" s="81">
        <v>0</v>
      </c>
      <c r="Z52" s="81">
        <v>3</v>
      </c>
      <c r="AA52" s="81">
        <v>1</v>
      </c>
      <c r="AB52" s="84">
        <v>0</v>
      </c>
      <c r="AC52" s="83">
        <f>IF((AB52/Z52)&gt;1,1,AB52/Z52)</f>
        <v>0</v>
      </c>
      <c r="AD52" s="102">
        <f>E52</f>
        <v>240000000</v>
      </c>
      <c r="AE52" s="81">
        <f>SUM(Q52:Q55)</f>
        <v>0</v>
      </c>
      <c r="AF52" s="83">
        <f>IF((AE52/AD52)&gt;1,1,AE52/AD52)</f>
        <v>0</v>
      </c>
    </row>
    <row r="53" spans="1:32" ht="51.75" customHeight="1" x14ac:dyDescent="0.25">
      <c r="A53" s="104"/>
      <c r="B53" s="104"/>
      <c r="C53" s="104"/>
      <c r="D53" s="110"/>
      <c r="E53" s="104"/>
      <c r="F53" s="11" t="s">
        <v>909</v>
      </c>
      <c r="G53" s="12" t="s">
        <v>901</v>
      </c>
      <c r="H53" s="12">
        <v>0</v>
      </c>
      <c r="I53" s="13">
        <v>1</v>
      </c>
      <c r="J53" s="12" t="s">
        <v>39</v>
      </c>
      <c r="K53" s="12" t="s">
        <v>40</v>
      </c>
      <c r="L53" s="104"/>
      <c r="M53" s="64">
        <v>0</v>
      </c>
      <c r="N53" s="15">
        <f t="shared" si="0"/>
        <v>0</v>
      </c>
      <c r="O53" s="104"/>
      <c r="P53" s="12"/>
      <c r="Q53" s="12">
        <f t="shared" si="1"/>
        <v>0</v>
      </c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</row>
    <row r="54" spans="1:32" ht="51.75" customHeight="1" x14ac:dyDescent="0.25">
      <c r="A54" s="104"/>
      <c r="B54" s="104"/>
      <c r="C54" s="104"/>
      <c r="D54" s="110"/>
      <c r="E54" s="104"/>
      <c r="F54" s="11" t="s">
        <v>910</v>
      </c>
      <c r="G54" s="12" t="s">
        <v>911</v>
      </c>
      <c r="H54" s="12">
        <v>0</v>
      </c>
      <c r="I54" s="13">
        <v>2</v>
      </c>
      <c r="J54" s="12" t="s">
        <v>39</v>
      </c>
      <c r="K54" s="12" t="s">
        <v>40</v>
      </c>
      <c r="L54" s="104"/>
      <c r="M54" s="64">
        <v>0</v>
      </c>
      <c r="N54" s="15">
        <f t="shared" si="0"/>
        <v>0</v>
      </c>
      <c r="O54" s="104"/>
      <c r="P54" s="12"/>
      <c r="Q54" s="12">
        <f t="shared" si="1"/>
        <v>0</v>
      </c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</row>
    <row r="55" spans="1:32" ht="51.75" customHeight="1" x14ac:dyDescent="0.25">
      <c r="A55" s="104"/>
      <c r="B55" s="82"/>
      <c r="C55" s="82"/>
      <c r="D55" s="87"/>
      <c r="E55" s="82"/>
      <c r="F55" s="11" t="s">
        <v>912</v>
      </c>
      <c r="G55" s="12" t="s">
        <v>875</v>
      </c>
      <c r="H55" s="12">
        <v>0</v>
      </c>
      <c r="I55" s="13">
        <v>300</v>
      </c>
      <c r="J55" s="12" t="s">
        <v>39</v>
      </c>
      <c r="K55" s="12" t="s">
        <v>40</v>
      </c>
      <c r="L55" s="82"/>
      <c r="M55" s="64">
        <v>0</v>
      </c>
      <c r="N55" s="15">
        <f t="shared" si="0"/>
        <v>0</v>
      </c>
      <c r="O55" s="82"/>
      <c r="P55" s="12"/>
      <c r="Q55" s="12">
        <f t="shared" si="1"/>
        <v>0</v>
      </c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90"/>
      <c r="AE55" s="82"/>
      <c r="AF55" s="82"/>
    </row>
    <row r="56" spans="1:32" ht="51.75" customHeight="1" x14ac:dyDescent="0.25">
      <c r="A56" s="104"/>
      <c r="B56" s="113" t="s">
        <v>913</v>
      </c>
      <c r="C56" s="81" t="s">
        <v>914</v>
      </c>
      <c r="D56" s="91" t="s">
        <v>915</v>
      </c>
      <c r="E56" s="102">
        <v>150000000</v>
      </c>
      <c r="F56" s="11" t="s">
        <v>916</v>
      </c>
      <c r="G56" s="12" t="s">
        <v>917</v>
      </c>
      <c r="H56" s="12">
        <v>0</v>
      </c>
      <c r="I56" s="13">
        <v>1</v>
      </c>
      <c r="J56" s="12" t="s">
        <v>39</v>
      </c>
      <c r="K56" s="12" t="s">
        <v>40</v>
      </c>
      <c r="L56" s="81" t="s">
        <v>897</v>
      </c>
      <c r="M56" s="64">
        <v>0</v>
      </c>
      <c r="N56" s="15">
        <f t="shared" si="0"/>
        <v>0</v>
      </c>
      <c r="O56" s="83">
        <f>AVERAGE(N56:N57)</f>
        <v>0</v>
      </c>
      <c r="P56" s="12"/>
      <c r="Q56" s="12">
        <f t="shared" si="1"/>
        <v>0</v>
      </c>
      <c r="R56" s="81"/>
      <c r="S56" s="81"/>
      <c r="T56" s="81" t="s">
        <v>918</v>
      </c>
      <c r="U56" s="81">
        <v>320305000</v>
      </c>
      <c r="V56" s="81" t="s">
        <v>919</v>
      </c>
      <c r="W56" s="81" t="s">
        <v>39</v>
      </c>
      <c r="X56" s="81" t="s">
        <v>40</v>
      </c>
      <c r="Y56" s="81">
        <v>0</v>
      </c>
      <c r="Z56" s="81">
        <v>4</v>
      </c>
      <c r="AA56" s="81">
        <v>1</v>
      </c>
      <c r="AB56" s="84">
        <v>0</v>
      </c>
      <c r="AC56" s="83">
        <f>IF((AB56/Z56)&gt;1,1,AB56/Z56)</f>
        <v>0</v>
      </c>
      <c r="AD56" s="102">
        <f>E56</f>
        <v>150000000</v>
      </c>
      <c r="AE56" s="81">
        <f>SUM(Q56:Q57)</f>
        <v>0</v>
      </c>
      <c r="AF56" s="83">
        <f>IF((AE56/AD56)&gt;1,1,AE56/AD56)</f>
        <v>0</v>
      </c>
    </row>
    <row r="57" spans="1:32" ht="51.75" customHeight="1" x14ac:dyDescent="0.25">
      <c r="A57" s="82"/>
      <c r="B57" s="90"/>
      <c r="C57" s="90"/>
      <c r="D57" s="92"/>
      <c r="E57" s="82"/>
      <c r="F57" s="11" t="s">
        <v>920</v>
      </c>
      <c r="G57" s="12" t="s">
        <v>917</v>
      </c>
      <c r="H57" s="12">
        <v>0</v>
      </c>
      <c r="I57" s="13">
        <v>2</v>
      </c>
      <c r="J57" s="12" t="s">
        <v>39</v>
      </c>
      <c r="K57" s="12" t="s">
        <v>40</v>
      </c>
      <c r="L57" s="82"/>
      <c r="M57" s="64">
        <v>0</v>
      </c>
      <c r="N57" s="15">
        <f t="shared" si="0"/>
        <v>0</v>
      </c>
      <c r="O57" s="82"/>
      <c r="P57" s="12"/>
      <c r="Q57" s="12">
        <f t="shared" si="1"/>
        <v>0</v>
      </c>
      <c r="R57" s="82"/>
      <c r="S57" s="82"/>
      <c r="T57" s="90"/>
      <c r="U57" s="82"/>
      <c r="V57" s="82"/>
      <c r="W57" s="82"/>
      <c r="X57" s="82"/>
      <c r="Y57" s="82"/>
      <c r="Z57" s="82"/>
      <c r="AA57" s="82"/>
      <c r="AB57" s="82"/>
      <c r="AC57" s="82"/>
      <c r="AD57" s="90"/>
      <c r="AE57" s="82"/>
      <c r="AF57" s="82"/>
    </row>
    <row r="58" spans="1:32" ht="51.75" customHeight="1" x14ac:dyDescent="0.25">
      <c r="A58" s="81" t="s">
        <v>921</v>
      </c>
      <c r="B58" s="113" t="s">
        <v>922</v>
      </c>
      <c r="C58" s="81" t="s">
        <v>923</v>
      </c>
      <c r="D58" s="91" t="s">
        <v>924</v>
      </c>
      <c r="E58" s="102">
        <v>50000000</v>
      </c>
      <c r="F58" s="11" t="s">
        <v>925</v>
      </c>
      <c r="G58" s="12" t="s">
        <v>926</v>
      </c>
      <c r="H58" s="12">
        <v>0</v>
      </c>
      <c r="I58" s="13">
        <v>20</v>
      </c>
      <c r="J58" s="12" t="s">
        <v>39</v>
      </c>
      <c r="K58" s="12" t="s">
        <v>40</v>
      </c>
      <c r="L58" s="81" t="s">
        <v>761</v>
      </c>
      <c r="M58" s="64">
        <v>0</v>
      </c>
      <c r="N58" s="15">
        <f t="shared" si="0"/>
        <v>0</v>
      </c>
      <c r="O58" s="83">
        <f>AVERAGE(N58:N59)</f>
        <v>0</v>
      </c>
      <c r="P58" s="12"/>
      <c r="Q58" s="12">
        <f t="shared" si="1"/>
        <v>0</v>
      </c>
      <c r="R58" s="81"/>
      <c r="S58" s="81"/>
      <c r="T58" s="81" t="s">
        <v>927</v>
      </c>
      <c r="U58" s="81">
        <v>170805300</v>
      </c>
      <c r="V58" s="81" t="s">
        <v>928</v>
      </c>
      <c r="W58" s="81" t="s">
        <v>39</v>
      </c>
      <c r="X58" s="81" t="s">
        <v>40</v>
      </c>
      <c r="Y58" s="81">
        <v>0</v>
      </c>
      <c r="Z58" s="81">
        <v>10</v>
      </c>
      <c r="AA58" s="81">
        <v>3</v>
      </c>
      <c r="AB58" s="84">
        <v>0</v>
      </c>
      <c r="AC58" s="83">
        <f>IF((AB58/Z58)&gt;1,1,AB58/Z58)</f>
        <v>0</v>
      </c>
      <c r="AD58" s="102">
        <f>E58</f>
        <v>50000000</v>
      </c>
      <c r="AE58" s="81">
        <f>SUM(Q58:Q59)</f>
        <v>0</v>
      </c>
      <c r="AF58" s="83">
        <f>IF((AE58/AD58)&gt;1,1,AE58/AD58)</f>
        <v>0</v>
      </c>
    </row>
    <row r="59" spans="1:32" ht="51.75" customHeight="1" x14ac:dyDescent="0.25">
      <c r="A59" s="104"/>
      <c r="B59" s="82"/>
      <c r="C59" s="82"/>
      <c r="D59" s="87"/>
      <c r="E59" s="82"/>
      <c r="F59" s="11" t="s">
        <v>929</v>
      </c>
      <c r="G59" s="12" t="s">
        <v>930</v>
      </c>
      <c r="H59" s="12">
        <v>0</v>
      </c>
      <c r="I59" s="13">
        <v>28</v>
      </c>
      <c r="J59" s="12" t="s">
        <v>39</v>
      </c>
      <c r="K59" s="12" t="s">
        <v>40</v>
      </c>
      <c r="L59" s="82"/>
      <c r="M59" s="64">
        <v>0</v>
      </c>
      <c r="N59" s="15">
        <f t="shared" si="0"/>
        <v>0</v>
      </c>
      <c r="O59" s="82"/>
      <c r="P59" s="12"/>
      <c r="Q59" s="12">
        <f t="shared" si="1"/>
        <v>0</v>
      </c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90"/>
      <c r="AE59" s="82"/>
      <c r="AF59" s="82"/>
    </row>
    <row r="60" spans="1:32" ht="51.75" customHeight="1" x14ac:dyDescent="0.25">
      <c r="A60" s="104"/>
      <c r="B60" s="88" t="s">
        <v>931</v>
      </c>
      <c r="C60" s="81" t="s">
        <v>932</v>
      </c>
      <c r="D60" s="91" t="s">
        <v>933</v>
      </c>
      <c r="E60" s="102">
        <v>100000000</v>
      </c>
      <c r="F60" s="11" t="s">
        <v>934</v>
      </c>
      <c r="G60" s="12" t="s">
        <v>935</v>
      </c>
      <c r="H60" s="12">
        <v>0</v>
      </c>
      <c r="I60" s="13">
        <v>700</v>
      </c>
      <c r="J60" s="12" t="s">
        <v>39</v>
      </c>
      <c r="K60" s="12" t="s">
        <v>40</v>
      </c>
      <c r="L60" s="81" t="s">
        <v>761</v>
      </c>
      <c r="M60" s="64">
        <v>0</v>
      </c>
      <c r="N60" s="15">
        <f t="shared" si="0"/>
        <v>0</v>
      </c>
      <c r="O60" s="83">
        <f>AVERAGE(N60:N61)</f>
        <v>0</v>
      </c>
      <c r="P60" s="12"/>
      <c r="Q60" s="12">
        <f t="shared" si="1"/>
        <v>0</v>
      </c>
      <c r="R60" s="81"/>
      <c r="S60" s="81"/>
      <c r="T60" s="81" t="s">
        <v>936</v>
      </c>
      <c r="U60" s="81">
        <v>170201000</v>
      </c>
      <c r="V60" s="81" t="s">
        <v>937</v>
      </c>
      <c r="W60" s="103" t="s">
        <v>62</v>
      </c>
      <c r="X60" s="81" t="s">
        <v>40</v>
      </c>
      <c r="Y60" s="81">
        <v>60</v>
      </c>
      <c r="Z60" s="81">
        <v>60</v>
      </c>
      <c r="AA60" s="81">
        <v>60</v>
      </c>
      <c r="AB60" s="84">
        <v>0</v>
      </c>
      <c r="AC60" s="83">
        <f>IF((AB60/Z60)&gt;1,1,AB60/Z60)</f>
        <v>0</v>
      </c>
      <c r="AD60" s="102">
        <f>E60</f>
        <v>100000000</v>
      </c>
      <c r="AE60" s="81">
        <f>SUM(Q60:Q61)</f>
        <v>0</v>
      </c>
      <c r="AF60" s="83">
        <f>IF((AE60/AD60)&gt;1,1,AE60/AD60)</f>
        <v>0</v>
      </c>
    </row>
    <row r="61" spans="1:32" ht="51.75" customHeight="1" x14ac:dyDescent="0.25">
      <c r="A61" s="104"/>
      <c r="B61" s="105"/>
      <c r="C61" s="82"/>
      <c r="D61" s="87"/>
      <c r="E61" s="82"/>
      <c r="F61" s="11" t="s">
        <v>938</v>
      </c>
      <c r="G61" s="12" t="s">
        <v>939</v>
      </c>
      <c r="H61" s="12">
        <v>0</v>
      </c>
      <c r="I61" s="13">
        <v>60</v>
      </c>
      <c r="J61" s="12" t="s">
        <v>39</v>
      </c>
      <c r="K61" s="12" t="s">
        <v>40</v>
      </c>
      <c r="L61" s="82"/>
      <c r="M61" s="64">
        <v>0</v>
      </c>
      <c r="N61" s="15">
        <f t="shared" si="0"/>
        <v>0</v>
      </c>
      <c r="O61" s="82"/>
      <c r="P61" s="12"/>
      <c r="Q61" s="12">
        <f t="shared" si="1"/>
        <v>0</v>
      </c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90"/>
      <c r="AE61" s="82"/>
      <c r="AF61" s="82"/>
    </row>
    <row r="62" spans="1:32" ht="51.75" customHeight="1" x14ac:dyDescent="0.25">
      <c r="A62" s="104"/>
      <c r="B62" s="113" t="s">
        <v>940</v>
      </c>
      <c r="C62" s="81" t="s">
        <v>941</v>
      </c>
      <c r="D62" s="91" t="s">
        <v>942</v>
      </c>
      <c r="E62" s="102">
        <v>10000000</v>
      </c>
      <c r="F62" s="79" t="s">
        <v>943</v>
      </c>
      <c r="G62" s="12" t="s">
        <v>944</v>
      </c>
      <c r="H62" s="12">
        <v>0</v>
      </c>
      <c r="I62" s="13">
        <v>60</v>
      </c>
      <c r="J62" s="12" t="s">
        <v>39</v>
      </c>
      <c r="K62" s="12" t="s">
        <v>40</v>
      </c>
      <c r="L62" s="81" t="s">
        <v>761</v>
      </c>
      <c r="M62" s="64">
        <v>0</v>
      </c>
      <c r="N62" s="15">
        <f t="shared" si="0"/>
        <v>0</v>
      </c>
      <c r="O62" s="83">
        <f>AVERAGE(N62:N63)</f>
        <v>0</v>
      </c>
      <c r="P62" s="12"/>
      <c r="Q62" s="12">
        <f t="shared" si="1"/>
        <v>0</v>
      </c>
      <c r="R62" s="81"/>
      <c r="S62" s="81"/>
      <c r="T62" s="81" t="s">
        <v>945</v>
      </c>
      <c r="U62" s="81">
        <v>170804100</v>
      </c>
      <c r="V62" s="81" t="s">
        <v>946</v>
      </c>
      <c r="W62" s="103" t="s">
        <v>62</v>
      </c>
      <c r="X62" s="81" t="s">
        <v>40</v>
      </c>
      <c r="Y62" s="81">
        <v>60</v>
      </c>
      <c r="Z62" s="81">
        <v>60</v>
      </c>
      <c r="AA62" s="81">
        <v>60</v>
      </c>
      <c r="AB62" s="84">
        <v>0</v>
      </c>
      <c r="AC62" s="83">
        <f>IF((AB62/Z62)&gt;1,1,AB62/Z62)</f>
        <v>0</v>
      </c>
      <c r="AD62" s="102">
        <f>E62</f>
        <v>10000000</v>
      </c>
      <c r="AE62" s="81">
        <f>SUM(Q62:Q63)</f>
        <v>0</v>
      </c>
      <c r="AF62" s="83">
        <f>IF((AE62/AD62)&gt;1,1,AE62/AD62)</f>
        <v>0</v>
      </c>
    </row>
    <row r="63" spans="1:32" ht="51.75" customHeight="1" x14ac:dyDescent="0.25">
      <c r="A63" s="104"/>
      <c r="B63" s="82"/>
      <c r="C63" s="82"/>
      <c r="D63" s="87"/>
      <c r="E63" s="82"/>
      <c r="F63" s="79" t="s">
        <v>947</v>
      </c>
      <c r="G63" s="12" t="s">
        <v>884</v>
      </c>
      <c r="H63" s="12">
        <v>0</v>
      </c>
      <c r="I63" s="13">
        <v>4</v>
      </c>
      <c r="J63" s="12" t="s">
        <v>39</v>
      </c>
      <c r="K63" s="12" t="s">
        <v>40</v>
      </c>
      <c r="L63" s="82"/>
      <c r="M63" s="64">
        <v>0</v>
      </c>
      <c r="N63" s="15">
        <f t="shared" si="0"/>
        <v>0</v>
      </c>
      <c r="O63" s="82"/>
      <c r="P63" s="12"/>
      <c r="Q63" s="12">
        <f t="shared" si="1"/>
        <v>0</v>
      </c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90"/>
      <c r="AE63" s="82"/>
      <c r="AF63" s="82"/>
    </row>
    <row r="64" spans="1:32" ht="51.75" customHeight="1" x14ac:dyDescent="0.25">
      <c r="A64" s="104"/>
      <c r="B64" s="113" t="s">
        <v>948</v>
      </c>
      <c r="C64" s="81" t="s">
        <v>949</v>
      </c>
      <c r="D64" s="91" t="s">
        <v>950</v>
      </c>
      <c r="E64" s="102">
        <v>50000000</v>
      </c>
      <c r="F64" s="111" t="s">
        <v>951</v>
      </c>
      <c r="G64" s="12" t="s">
        <v>939</v>
      </c>
      <c r="H64" s="12">
        <v>0</v>
      </c>
      <c r="I64" s="13">
        <v>60</v>
      </c>
      <c r="J64" s="12" t="s">
        <v>39</v>
      </c>
      <c r="K64" s="12" t="s">
        <v>40</v>
      </c>
      <c r="L64" s="81" t="s">
        <v>761</v>
      </c>
      <c r="M64" s="64">
        <v>0</v>
      </c>
      <c r="N64" s="15">
        <f t="shared" si="0"/>
        <v>0</v>
      </c>
      <c r="O64" s="83">
        <f>AVERAGE(N64:N66)</f>
        <v>0</v>
      </c>
      <c r="P64" s="12"/>
      <c r="Q64" s="12">
        <f t="shared" si="1"/>
        <v>0</v>
      </c>
      <c r="R64" s="81"/>
      <c r="S64" s="81"/>
      <c r="T64" s="81" t="s">
        <v>952</v>
      </c>
      <c r="U64" s="81">
        <v>410104200</v>
      </c>
      <c r="V64" s="81" t="s">
        <v>953</v>
      </c>
      <c r="W64" s="103" t="s">
        <v>62</v>
      </c>
      <c r="X64" s="81" t="s">
        <v>40</v>
      </c>
      <c r="Y64" s="81">
        <v>60</v>
      </c>
      <c r="Z64" s="81">
        <v>60</v>
      </c>
      <c r="AA64" s="81">
        <v>60</v>
      </c>
      <c r="AB64" s="84">
        <v>0</v>
      </c>
      <c r="AC64" s="114">
        <f>IF((AB64/Z64)&gt;1,1,AB64/Z64)</f>
        <v>0</v>
      </c>
      <c r="AD64" s="102">
        <f>E64</f>
        <v>50000000</v>
      </c>
      <c r="AE64" s="81">
        <f>SUM(Q64:Q66)</f>
        <v>0</v>
      </c>
      <c r="AF64" s="83">
        <f>IF((AE64/AD64)&gt;1,1,AE64/AD64)</f>
        <v>0</v>
      </c>
    </row>
    <row r="65" spans="1:32" ht="51.75" customHeight="1" x14ac:dyDescent="0.25">
      <c r="A65" s="104"/>
      <c r="B65" s="104"/>
      <c r="C65" s="104"/>
      <c r="D65" s="110"/>
      <c r="E65" s="104"/>
      <c r="F65" s="82"/>
      <c r="G65" s="12" t="s">
        <v>954</v>
      </c>
      <c r="H65" s="12">
        <v>0</v>
      </c>
      <c r="I65" s="13">
        <v>6</v>
      </c>
      <c r="J65" s="12" t="s">
        <v>39</v>
      </c>
      <c r="K65" s="12" t="s">
        <v>40</v>
      </c>
      <c r="L65" s="104"/>
      <c r="M65" s="64">
        <v>0</v>
      </c>
      <c r="N65" s="15">
        <f t="shared" si="0"/>
        <v>0</v>
      </c>
      <c r="O65" s="104"/>
      <c r="P65" s="12"/>
      <c r="Q65" s="12">
        <f t="shared" si="1"/>
        <v>0</v>
      </c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</row>
    <row r="66" spans="1:32" ht="51.75" customHeight="1" x14ac:dyDescent="0.25">
      <c r="A66" s="82"/>
      <c r="B66" s="82"/>
      <c r="C66" s="82"/>
      <c r="D66" s="87"/>
      <c r="E66" s="82"/>
      <c r="F66" s="79" t="s">
        <v>955</v>
      </c>
      <c r="G66" s="12" t="s">
        <v>956</v>
      </c>
      <c r="H66" s="12">
        <v>0</v>
      </c>
      <c r="I66" s="13">
        <v>13</v>
      </c>
      <c r="J66" s="12" t="s">
        <v>39</v>
      </c>
      <c r="K66" s="12" t="s">
        <v>40</v>
      </c>
      <c r="L66" s="82"/>
      <c r="M66" s="64">
        <v>0</v>
      </c>
      <c r="N66" s="15">
        <f t="shared" si="0"/>
        <v>0</v>
      </c>
      <c r="O66" s="82"/>
      <c r="P66" s="12"/>
      <c r="Q66" s="12">
        <f t="shared" si="1"/>
        <v>0</v>
      </c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</row>
    <row r="67" spans="1:32" ht="61.5" customHeight="1" x14ac:dyDescent="0.25">
      <c r="A67" s="34"/>
      <c r="B67" s="34"/>
      <c r="C67" s="34"/>
      <c r="D67" s="35"/>
      <c r="E67" s="36"/>
      <c r="F67" s="34"/>
      <c r="G67" s="34"/>
      <c r="H67" s="37"/>
      <c r="I67" s="34"/>
      <c r="J67" s="34"/>
      <c r="K67" s="34"/>
      <c r="L67" s="34"/>
      <c r="M67" s="38" t="s">
        <v>282</v>
      </c>
      <c r="N67" s="39">
        <f>AVERAGE(O46:O66)</f>
        <v>0</v>
      </c>
      <c r="O67" s="39">
        <f>AVERAGE(O4:O66)</f>
        <v>5.2631578947368418E-2</v>
      </c>
      <c r="P67" s="38" t="s">
        <v>282</v>
      </c>
      <c r="Q67" s="61">
        <f>SUM(R46:R66)</f>
        <v>0</v>
      </c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8" t="s">
        <v>282</v>
      </c>
      <c r="AC67" s="39">
        <f>AVERAGE(AC4:AC66)</f>
        <v>5.2631578947368418E-2</v>
      </c>
      <c r="AD67" s="41" t="s">
        <v>282</v>
      </c>
      <c r="AE67" s="40">
        <f>SUM(AF46:AF66)</f>
        <v>0</v>
      </c>
      <c r="AF67" s="80">
        <f>AVERAGE(AF4:AF66)</f>
        <v>0</v>
      </c>
    </row>
    <row r="68" spans="1:32" ht="13.5" customHeight="1" x14ac:dyDescent="0.25">
      <c r="A68" s="56"/>
      <c r="B68" s="56"/>
      <c r="C68" s="56"/>
      <c r="D68" s="56"/>
      <c r="E68" s="57"/>
      <c r="F68" s="58"/>
      <c r="G68" s="56"/>
      <c r="H68" s="56"/>
      <c r="I68" s="59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</row>
    <row r="69" spans="1:32" ht="33.75" customHeight="1" x14ac:dyDescent="0.25">
      <c r="A69" s="56"/>
      <c r="B69" s="56"/>
      <c r="C69" s="56"/>
      <c r="D69" s="56"/>
      <c r="E69" s="57"/>
      <c r="F69" s="58"/>
      <c r="G69" s="56"/>
      <c r="H69" s="56"/>
      <c r="I69" s="59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</row>
    <row r="70" spans="1:32" ht="13.5" customHeight="1" x14ac:dyDescent="0.25">
      <c r="A70" s="56"/>
      <c r="B70" s="56"/>
      <c r="C70" s="56"/>
      <c r="D70" s="56"/>
      <c r="E70" s="57"/>
      <c r="F70" s="58"/>
      <c r="G70" s="56"/>
      <c r="H70" s="56"/>
      <c r="I70" s="59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</row>
    <row r="71" spans="1:32" ht="33.75" customHeight="1" x14ac:dyDescent="0.25">
      <c r="A71" s="56"/>
      <c r="B71" s="56"/>
      <c r="C71" s="56"/>
      <c r="D71" s="56"/>
      <c r="E71" s="57"/>
      <c r="F71" s="58"/>
      <c r="G71" s="56"/>
      <c r="H71" s="56"/>
      <c r="I71" s="59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</row>
    <row r="72" spans="1:32" ht="13.5" customHeight="1" x14ac:dyDescent="0.25">
      <c r="A72" s="56"/>
      <c r="B72" s="56"/>
      <c r="C72" s="56"/>
      <c r="D72" s="56"/>
      <c r="E72" s="57"/>
      <c r="F72" s="58"/>
      <c r="G72" s="56"/>
      <c r="H72" s="56"/>
      <c r="I72" s="59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</row>
    <row r="73" spans="1:32" ht="33.75" customHeight="1" x14ac:dyDescent="0.25">
      <c r="A73" s="56"/>
      <c r="B73" s="56"/>
      <c r="C73" s="56"/>
      <c r="D73" s="56"/>
      <c r="E73" s="57"/>
      <c r="F73" s="58"/>
      <c r="G73" s="56"/>
      <c r="H73" s="56"/>
      <c r="I73" s="59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</row>
    <row r="74" spans="1:32" ht="13.5" customHeight="1" x14ac:dyDescent="0.25">
      <c r="A74" s="56"/>
      <c r="B74" s="56"/>
      <c r="C74" s="56"/>
      <c r="D74" s="56"/>
      <c r="E74" s="57"/>
      <c r="F74" s="58"/>
      <c r="G74" s="56"/>
      <c r="H74" s="56"/>
      <c r="I74" s="59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</row>
    <row r="75" spans="1:32" ht="33.75" customHeight="1" x14ac:dyDescent="0.25">
      <c r="A75" s="56"/>
      <c r="B75" s="56"/>
      <c r="C75" s="56"/>
      <c r="D75" s="56"/>
      <c r="E75" s="57"/>
      <c r="F75" s="58"/>
      <c r="G75" s="56"/>
      <c r="H75" s="56"/>
      <c r="I75" s="59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</row>
    <row r="76" spans="1:32" ht="13.5" customHeight="1" x14ac:dyDescent="0.25">
      <c r="A76" s="56"/>
      <c r="B76" s="56"/>
      <c r="C76" s="56"/>
      <c r="D76" s="56"/>
      <c r="E76" s="57"/>
      <c r="F76" s="58"/>
      <c r="G76" s="56"/>
      <c r="H76" s="56"/>
      <c r="I76" s="59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</row>
    <row r="77" spans="1:32" ht="33.75" customHeight="1" x14ac:dyDescent="0.25">
      <c r="A77" s="56"/>
      <c r="B77" s="56"/>
      <c r="C77" s="56"/>
      <c r="D77" s="56"/>
      <c r="E77" s="57"/>
      <c r="F77" s="58"/>
      <c r="G77" s="56"/>
      <c r="H77" s="56"/>
      <c r="I77" s="59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</row>
    <row r="78" spans="1:32" ht="13.5" customHeight="1" x14ac:dyDescent="0.25">
      <c r="A78" s="56"/>
      <c r="B78" s="56"/>
      <c r="C78" s="56"/>
      <c r="D78" s="56"/>
      <c r="E78" s="57"/>
      <c r="F78" s="58"/>
      <c r="G78" s="56"/>
      <c r="H78" s="56"/>
      <c r="I78" s="59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</row>
    <row r="79" spans="1:32" ht="33.75" customHeight="1" x14ac:dyDescent="0.25">
      <c r="A79" s="56"/>
      <c r="B79" s="56"/>
      <c r="C79" s="56"/>
      <c r="D79" s="56"/>
      <c r="E79" s="57"/>
      <c r="F79" s="58"/>
      <c r="G79" s="56"/>
      <c r="H79" s="56"/>
      <c r="I79" s="59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</row>
    <row r="80" spans="1:32" ht="13.5" customHeight="1" x14ac:dyDescent="0.25">
      <c r="A80" s="56"/>
      <c r="B80" s="56"/>
      <c r="C80" s="56"/>
      <c r="D80" s="56"/>
      <c r="E80" s="57"/>
      <c r="F80" s="58"/>
      <c r="G80" s="56"/>
      <c r="H80" s="56"/>
      <c r="I80" s="59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</row>
    <row r="81" spans="1:32" ht="33.75" customHeight="1" x14ac:dyDescent="0.25">
      <c r="A81" s="56"/>
      <c r="B81" s="56"/>
      <c r="C81" s="56"/>
      <c r="D81" s="56"/>
      <c r="E81" s="57"/>
      <c r="F81" s="58"/>
      <c r="G81" s="56"/>
      <c r="H81" s="56"/>
      <c r="I81" s="59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</row>
    <row r="82" spans="1:32" ht="13.5" customHeight="1" x14ac:dyDescent="0.25">
      <c r="A82" s="56"/>
      <c r="B82" s="56"/>
      <c r="C82" s="56"/>
      <c r="D82" s="56"/>
      <c r="E82" s="57"/>
      <c r="F82" s="58"/>
      <c r="G82" s="56"/>
      <c r="H82" s="56"/>
      <c r="I82" s="59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</row>
    <row r="83" spans="1:32" ht="33.75" customHeight="1" x14ac:dyDescent="0.25">
      <c r="A83" s="56"/>
      <c r="B83" s="56"/>
      <c r="C83" s="56"/>
      <c r="D83" s="56"/>
      <c r="E83" s="57"/>
      <c r="F83" s="58"/>
      <c r="G83" s="56"/>
      <c r="H83" s="56"/>
      <c r="I83" s="59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</row>
    <row r="84" spans="1:32" ht="13.5" customHeight="1" x14ac:dyDescent="0.25">
      <c r="A84" s="56"/>
      <c r="B84" s="56"/>
      <c r="C84" s="56"/>
      <c r="D84" s="56"/>
      <c r="E84" s="57"/>
      <c r="F84" s="58"/>
      <c r="G84" s="56"/>
      <c r="H84" s="56"/>
      <c r="I84" s="59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</row>
    <row r="85" spans="1:32" ht="33.75" customHeight="1" x14ac:dyDescent="0.25">
      <c r="A85" s="56"/>
      <c r="B85" s="56"/>
      <c r="C85" s="56"/>
      <c r="D85" s="56"/>
      <c r="E85" s="57"/>
      <c r="F85" s="58"/>
      <c r="G85" s="56"/>
      <c r="H85" s="56"/>
      <c r="I85" s="59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</row>
    <row r="86" spans="1:32" ht="13.5" customHeight="1" x14ac:dyDescent="0.25">
      <c r="A86" s="56"/>
      <c r="B86" s="56"/>
      <c r="C86" s="56"/>
      <c r="D86" s="56"/>
      <c r="E86" s="57"/>
      <c r="F86" s="58"/>
      <c r="G86" s="56"/>
      <c r="H86" s="56"/>
      <c r="I86" s="59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</row>
    <row r="87" spans="1:32" ht="33.75" customHeight="1" x14ac:dyDescent="0.25">
      <c r="A87" s="56"/>
      <c r="B87" s="56"/>
      <c r="C87" s="56"/>
      <c r="D87" s="56"/>
      <c r="E87" s="57"/>
      <c r="F87" s="58"/>
      <c r="G87" s="56"/>
      <c r="H87" s="56"/>
      <c r="I87" s="59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</row>
    <row r="88" spans="1:32" ht="13.5" customHeight="1" x14ac:dyDescent="0.25">
      <c r="A88" s="56"/>
      <c r="B88" s="56"/>
      <c r="C88" s="56"/>
      <c r="D88" s="56"/>
      <c r="E88" s="57"/>
      <c r="F88" s="58"/>
      <c r="G88" s="56"/>
      <c r="H88" s="56"/>
      <c r="I88" s="59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</row>
    <row r="89" spans="1:32" ht="33.75" customHeight="1" x14ac:dyDescent="0.25">
      <c r="A89" s="56"/>
      <c r="B89" s="56"/>
      <c r="C89" s="56"/>
      <c r="D89" s="56"/>
      <c r="E89" s="57"/>
      <c r="F89" s="58"/>
      <c r="G89" s="56"/>
      <c r="H89" s="56"/>
      <c r="I89" s="59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</row>
    <row r="90" spans="1:32" ht="13.5" customHeight="1" x14ac:dyDescent="0.25">
      <c r="A90" s="56"/>
      <c r="B90" s="56"/>
      <c r="C90" s="56"/>
      <c r="D90" s="56"/>
      <c r="E90" s="57"/>
      <c r="F90" s="58"/>
      <c r="G90" s="56"/>
      <c r="H90" s="56"/>
      <c r="I90" s="59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</row>
    <row r="91" spans="1:32" ht="33.75" customHeight="1" x14ac:dyDescent="0.25">
      <c r="A91" s="56"/>
      <c r="B91" s="56"/>
      <c r="C91" s="56"/>
      <c r="D91" s="56"/>
      <c r="E91" s="57"/>
      <c r="F91" s="58"/>
      <c r="G91" s="56"/>
      <c r="H91" s="56"/>
      <c r="I91" s="59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</row>
    <row r="92" spans="1:32" ht="13.5" customHeight="1" x14ac:dyDescent="0.25">
      <c r="A92" s="56"/>
      <c r="B92" s="56"/>
      <c r="C92" s="56"/>
      <c r="D92" s="56"/>
      <c r="E92" s="57"/>
      <c r="F92" s="58"/>
      <c r="G92" s="56"/>
      <c r="H92" s="56"/>
      <c r="I92" s="59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</row>
    <row r="93" spans="1:32" ht="33.75" customHeight="1" x14ac:dyDescent="0.25">
      <c r="A93" s="56"/>
      <c r="B93" s="56"/>
      <c r="C93" s="56"/>
      <c r="D93" s="56"/>
      <c r="E93" s="57"/>
      <c r="F93" s="58"/>
      <c r="G93" s="56"/>
      <c r="H93" s="56"/>
      <c r="I93" s="59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</row>
    <row r="94" spans="1:32" ht="13.5" customHeight="1" x14ac:dyDescent="0.25">
      <c r="A94" s="56"/>
      <c r="B94" s="56"/>
      <c r="C94" s="56"/>
      <c r="D94" s="56"/>
      <c r="E94" s="57"/>
      <c r="F94" s="58"/>
      <c r="G94" s="56"/>
      <c r="H94" s="56"/>
      <c r="I94" s="59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</row>
    <row r="95" spans="1:32" ht="33.75" customHeight="1" x14ac:dyDescent="0.25">
      <c r="A95" s="56"/>
      <c r="B95" s="56"/>
      <c r="C95" s="56"/>
      <c r="D95" s="56"/>
      <c r="E95" s="57"/>
      <c r="F95" s="58"/>
      <c r="G95" s="56"/>
      <c r="H95" s="56"/>
      <c r="I95" s="59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</row>
    <row r="96" spans="1:32" ht="13.5" customHeight="1" x14ac:dyDescent="0.25">
      <c r="A96" s="56"/>
      <c r="B96" s="56"/>
      <c r="C96" s="56"/>
      <c r="D96" s="56"/>
      <c r="E96" s="57"/>
      <c r="F96" s="58"/>
      <c r="G96" s="56"/>
      <c r="H96" s="56"/>
      <c r="I96" s="59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</row>
    <row r="97" spans="1:32" ht="33.75" customHeight="1" x14ac:dyDescent="0.25">
      <c r="A97" s="56"/>
      <c r="B97" s="56"/>
      <c r="C97" s="56"/>
      <c r="D97" s="56"/>
      <c r="E97" s="57"/>
      <c r="F97" s="58"/>
      <c r="G97" s="56"/>
      <c r="H97" s="56"/>
      <c r="I97" s="59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</row>
    <row r="98" spans="1:32" ht="13.5" customHeight="1" x14ac:dyDescent="0.25">
      <c r="A98" s="56"/>
      <c r="B98" s="56"/>
      <c r="C98" s="56"/>
      <c r="D98" s="56"/>
      <c r="E98" s="57"/>
      <c r="F98" s="58"/>
      <c r="G98" s="56"/>
      <c r="H98" s="56"/>
      <c r="I98" s="59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</row>
    <row r="99" spans="1:32" ht="33.75" customHeight="1" x14ac:dyDescent="0.25">
      <c r="A99" s="56"/>
      <c r="B99" s="56"/>
      <c r="C99" s="56"/>
      <c r="D99" s="56"/>
      <c r="E99" s="57"/>
      <c r="F99" s="58"/>
      <c r="G99" s="56"/>
      <c r="H99" s="56"/>
      <c r="I99" s="59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</row>
    <row r="100" spans="1:32" ht="13.5" customHeight="1" x14ac:dyDescent="0.25">
      <c r="A100" s="56"/>
      <c r="B100" s="56"/>
      <c r="C100" s="56"/>
      <c r="D100" s="56"/>
      <c r="E100" s="57"/>
      <c r="F100" s="58"/>
      <c r="G100" s="56"/>
      <c r="H100" s="56"/>
      <c r="I100" s="59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</row>
    <row r="101" spans="1:32" ht="33.75" customHeight="1" x14ac:dyDescent="0.25">
      <c r="A101" s="56"/>
      <c r="B101" s="56"/>
      <c r="C101" s="56"/>
      <c r="D101" s="56"/>
      <c r="E101" s="57"/>
      <c r="F101" s="58"/>
      <c r="G101" s="56"/>
      <c r="H101" s="56"/>
      <c r="I101" s="59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</row>
    <row r="102" spans="1:32" ht="13.5" customHeight="1" x14ac:dyDescent="0.25">
      <c r="A102" s="56"/>
      <c r="B102" s="56"/>
      <c r="C102" s="56"/>
      <c r="D102" s="56"/>
      <c r="E102" s="57"/>
      <c r="F102" s="58"/>
      <c r="G102" s="56"/>
      <c r="H102" s="56"/>
      <c r="I102" s="59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</row>
    <row r="103" spans="1:32" ht="33.75" customHeight="1" x14ac:dyDescent="0.25">
      <c r="A103" s="56"/>
      <c r="B103" s="56"/>
      <c r="C103" s="56"/>
      <c r="D103" s="56"/>
      <c r="E103" s="57"/>
      <c r="F103" s="58"/>
      <c r="G103" s="56"/>
      <c r="H103" s="56"/>
      <c r="I103" s="59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</row>
    <row r="104" spans="1:32" ht="13.5" customHeight="1" x14ac:dyDescent="0.25">
      <c r="A104" s="56"/>
      <c r="B104" s="56"/>
      <c r="C104" s="56"/>
      <c r="D104" s="56"/>
      <c r="E104" s="57"/>
      <c r="F104" s="58"/>
      <c r="G104" s="56"/>
      <c r="H104" s="56"/>
      <c r="I104" s="59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</row>
    <row r="105" spans="1:32" ht="33.75" customHeight="1" x14ac:dyDescent="0.25">
      <c r="A105" s="56"/>
      <c r="B105" s="56"/>
      <c r="C105" s="56"/>
      <c r="D105" s="56"/>
      <c r="E105" s="57"/>
      <c r="F105" s="58"/>
      <c r="G105" s="56"/>
      <c r="H105" s="56"/>
      <c r="I105" s="59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</row>
    <row r="106" spans="1:32" ht="13.5" customHeight="1" x14ac:dyDescent="0.25">
      <c r="A106" s="56"/>
      <c r="B106" s="56"/>
      <c r="C106" s="56"/>
      <c r="D106" s="56"/>
      <c r="E106" s="57"/>
      <c r="F106" s="58"/>
      <c r="G106" s="56"/>
      <c r="H106" s="56"/>
      <c r="I106" s="59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</row>
    <row r="107" spans="1:32" ht="33.75" customHeight="1" x14ac:dyDescent="0.25">
      <c r="A107" s="56"/>
      <c r="B107" s="56"/>
      <c r="C107" s="56"/>
      <c r="D107" s="56"/>
      <c r="E107" s="57"/>
      <c r="F107" s="58"/>
      <c r="G107" s="56"/>
      <c r="H107" s="56"/>
      <c r="I107" s="59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</row>
    <row r="108" spans="1:32" ht="13.5" customHeight="1" x14ac:dyDescent="0.25">
      <c r="A108" s="56"/>
      <c r="B108" s="56"/>
      <c r="C108" s="56"/>
      <c r="D108" s="56"/>
      <c r="E108" s="57"/>
      <c r="F108" s="58"/>
      <c r="G108" s="56"/>
      <c r="H108" s="56"/>
      <c r="I108" s="59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</row>
    <row r="109" spans="1:32" ht="33.75" customHeight="1" x14ac:dyDescent="0.25">
      <c r="A109" s="56"/>
      <c r="B109" s="56"/>
      <c r="C109" s="56"/>
      <c r="D109" s="56"/>
      <c r="E109" s="57"/>
      <c r="F109" s="58"/>
      <c r="G109" s="56"/>
      <c r="H109" s="56"/>
      <c r="I109" s="59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</row>
    <row r="110" spans="1:32" ht="13.5" customHeight="1" x14ac:dyDescent="0.25">
      <c r="A110" s="56"/>
      <c r="B110" s="56"/>
      <c r="C110" s="56"/>
      <c r="D110" s="56"/>
      <c r="E110" s="57"/>
      <c r="F110" s="58"/>
      <c r="G110" s="56"/>
      <c r="H110" s="56"/>
      <c r="I110" s="59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</row>
    <row r="111" spans="1:32" ht="33.75" customHeight="1" x14ac:dyDescent="0.25">
      <c r="A111" s="56"/>
      <c r="B111" s="56"/>
      <c r="C111" s="56"/>
      <c r="D111" s="56"/>
      <c r="E111" s="57"/>
      <c r="F111" s="58"/>
      <c r="G111" s="56"/>
      <c r="H111" s="56"/>
      <c r="I111" s="59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</row>
    <row r="112" spans="1:32" ht="13.5" customHeight="1" x14ac:dyDescent="0.25">
      <c r="A112" s="56"/>
      <c r="B112" s="56"/>
      <c r="C112" s="56"/>
      <c r="D112" s="56"/>
      <c r="E112" s="57"/>
      <c r="F112" s="58"/>
      <c r="G112" s="56"/>
      <c r="H112" s="56"/>
      <c r="I112" s="59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</row>
    <row r="113" spans="1:32" ht="33.75" customHeight="1" x14ac:dyDescent="0.25">
      <c r="A113" s="56"/>
      <c r="B113" s="56"/>
      <c r="C113" s="56"/>
      <c r="D113" s="56"/>
      <c r="E113" s="57"/>
      <c r="F113" s="58"/>
      <c r="G113" s="56"/>
      <c r="H113" s="56"/>
      <c r="I113" s="59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</row>
    <row r="114" spans="1:32" ht="13.5" customHeight="1" x14ac:dyDescent="0.25">
      <c r="A114" s="56"/>
      <c r="B114" s="56"/>
      <c r="C114" s="56"/>
      <c r="D114" s="56"/>
      <c r="E114" s="57"/>
      <c r="F114" s="58"/>
      <c r="G114" s="56"/>
      <c r="H114" s="56"/>
      <c r="I114" s="59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</row>
    <row r="115" spans="1:32" ht="33.75" customHeight="1" x14ac:dyDescent="0.25">
      <c r="A115" s="56"/>
      <c r="B115" s="56"/>
      <c r="C115" s="56"/>
      <c r="D115" s="56"/>
      <c r="E115" s="57"/>
      <c r="F115" s="58"/>
      <c r="G115" s="56"/>
      <c r="H115" s="56"/>
      <c r="I115" s="59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</row>
    <row r="116" spans="1:32" ht="13.5" customHeight="1" x14ac:dyDescent="0.25">
      <c r="A116" s="56"/>
      <c r="B116" s="56"/>
      <c r="C116" s="56"/>
      <c r="D116" s="56"/>
      <c r="E116" s="57"/>
      <c r="F116" s="58"/>
      <c r="G116" s="56"/>
      <c r="H116" s="56"/>
      <c r="I116" s="59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</row>
    <row r="117" spans="1:32" ht="33.75" customHeight="1" x14ac:dyDescent="0.25">
      <c r="A117" s="56"/>
      <c r="B117" s="56"/>
      <c r="C117" s="56"/>
      <c r="D117" s="56"/>
      <c r="E117" s="57"/>
      <c r="F117" s="58"/>
      <c r="G117" s="56"/>
      <c r="H117" s="56"/>
      <c r="I117" s="59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</row>
    <row r="118" spans="1:32" ht="13.5" customHeight="1" x14ac:dyDescent="0.25">
      <c r="A118" s="56"/>
      <c r="B118" s="56"/>
      <c r="C118" s="56"/>
      <c r="D118" s="56"/>
      <c r="E118" s="57"/>
      <c r="F118" s="58"/>
      <c r="G118" s="56"/>
      <c r="H118" s="56"/>
      <c r="I118" s="59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</row>
    <row r="119" spans="1:32" ht="33.75" customHeight="1" x14ac:dyDescent="0.25">
      <c r="A119" s="56"/>
      <c r="B119" s="56"/>
      <c r="C119" s="56"/>
      <c r="D119" s="56"/>
      <c r="E119" s="57"/>
      <c r="F119" s="58"/>
      <c r="G119" s="56"/>
      <c r="H119" s="56"/>
      <c r="I119" s="59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</row>
    <row r="120" spans="1:32" ht="13.5" customHeight="1" x14ac:dyDescent="0.25">
      <c r="A120" s="56"/>
      <c r="B120" s="56"/>
      <c r="C120" s="56"/>
      <c r="D120" s="56"/>
      <c r="E120" s="57"/>
      <c r="F120" s="58"/>
      <c r="G120" s="56"/>
      <c r="H120" s="56"/>
      <c r="I120" s="59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</row>
    <row r="121" spans="1:32" ht="33.75" customHeight="1" x14ac:dyDescent="0.25">
      <c r="A121" s="56"/>
      <c r="B121" s="56"/>
      <c r="C121" s="56"/>
      <c r="D121" s="56"/>
      <c r="E121" s="57"/>
      <c r="F121" s="58"/>
      <c r="G121" s="56"/>
      <c r="H121" s="56"/>
      <c r="I121" s="59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</row>
    <row r="122" spans="1:32" ht="13.5" customHeight="1" x14ac:dyDescent="0.25">
      <c r="A122" s="56"/>
      <c r="B122" s="56"/>
      <c r="C122" s="56"/>
      <c r="D122" s="56"/>
      <c r="E122" s="57"/>
      <c r="F122" s="58"/>
      <c r="G122" s="56"/>
      <c r="H122" s="56"/>
      <c r="I122" s="59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</row>
    <row r="123" spans="1:32" ht="33.75" customHeight="1" x14ac:dyDescent="0.25">
      <c r="A123" s="56"/>
      <c r="B123" s="56"/>
      <c r="C123" s="56"/>
      <c r="D123" s="56"/>
      <c r="E123" s="57"/>
      <c r="F123" s="58"/>
      <c r="G123" s="56"/>
      <c r="H123" s="56"/>
      <c r="I123" s="59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</row>
    <row r="124" spans="1:32" ht="13.5" customHeight="1" x14ac:dyDescent="0.25">
      <c r="A124" s="56"/>
      <c r="B124" s="56"/>
      <c r="C124" s="56"/>
      <c r="D124" s="56"/>
      <c r="E124" s="57"/>
      <c r="F124" s="58"/>
      <c r="G124" s="56"/>
      <c r="H124" s="56"/>
      <c r="I124" s="59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</row>
    <row r="125" spans="1:32" ht="33.75" customHeight="1" x14ac:dyDescent="0.25">
      <c r="A125" s="56"/>
      <c r="B125" s="56"/>
      <c r="C125" s="56"/>
      <c r="D125" s="56"/>
      <c r="E125" s="57"/>
      <c r="F125" s="58"/>
      <c r="G125" s="56"/>
      <c r="H125" s="56"/>
      <c r="I125" s="59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</row>
    <row r="126" spans="1:32" ht="13.5" customHeight="1" x14ac:dyDescent="0.25">
      <c r="A126" s="56"/>
      <c r="B126" s="56"/>
      <c r="C126" s="56"/>
      <c r="D126" s="56"/>
      <c r="E126" s="57"/>
      <c r="F126" s="58"/>
      <c r="G126" s="56"/>
      <c r="H126" s="56"/>
      <c r="I126" s="59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</row>
    <row r="127" spans="1:32" ht="33.75" customHeight="1" x14ac:dyDescent="0.25">
      <c r="A127" s="56"/>
      <c r="B127" s="56"/>
      <c r="C127" s="56"/>
      <c r="D127" s="56"/>
      <c r="E127" s="57"/>
      <c r="F127" s="58"/>
      <c r="G127" s="56"/>
      <c r="H127" s="56"/>
      <c r="I127" s="59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</row>
    <row r="128" spans="1:32" ht="13.5" customHeight="1" x14ac:dyDescent="0.25">
      <c r="A128" s="56"/>
      <c r="B128" s="56"/>
      <c r="C128" s="56"/>
      <c r="D128" s="56"/>
      <c r="E128" s="57"/>
      <c r="F128" s="58"/>
      <c r="G128" s="56"/>
      <c r="H128" s="56"/>
      <c r="I128" s="59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</row>
    <row r="129" spans="1:32" ht="33.75" customHeight="1" x14ac:dyDescent="0.25">
      <c r="A129" s="56"/>
      <c r="B129" s="56"/>
      <c r="C129" s="56"/>
      <c r="D129" s="56"/>
      <c r="E129" s="57"/>
      <c r="F129" s="58"/>
      <c r="G129" s="56"/>
      <c r="H129" s="56"/>
      <c r="I129" s="59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</row>
    <row r="130" spans="1:32" ht="13.5" customHeight="1" x14ac:dyDescent="0.25">
      <c r="A130" s="56"/>
      <c r="B130" s="56"/>
      <c r="C130" s="56"/>
      <c r="D130" s="56"/>
      <c r="E130" s="57"/>
      <c r="F130" s="58"/>
      <c r="G130" s="56"/>
      <c r="H130" s="56"/>
      <c r="I130" s="59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</row>
    <row r="131" spans="1:32" ht="33.75" customHeight="1" x14ac:dyDescent="0.25">
      <c r="A131" s="56"/>
      <c r="B131" s="56"/>
      <c r="C131" s="56"/>
      <c r="D131" s="56"/>
      <c r="E131" s="57"/>
      <c r="F131" s="58"/>
      <c r="G131" s="56"/>
      <c r="H131" s="56"/>
      <c r="I131" s="59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</row>
    <row r="132" spans="1:32" ht="13.5" customHeight="1" x14ac:dyDescent="0.25">
      <c r="A132" s="56"/>
      <c r="B132" s="56"/>
      <c r="C132" s="56"/>
      <c r="D132" s="56"/>
      <c r="E132" s="57"/>
      <c r="F132" s="58"/>
      <c r="G132" s="56"/>
      <c r="H132" s="56"/>
      <c r="I132" s="59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</row>
    <row r="133" spans="1:32" ht="33.75" customHeight="1" x14ac:dyDescent="0.25">
      <c r="A133" s="56"/>
      <c r="B133" s="56"/>
      <c r="C133" s="56"/>
      <c r="D133" s="56"/>
      <c r="E133" s="57"/>
      <c r="F133" s="58"/>
      <c r="G133" s="56"/>
      <c r="H133" s="56"/>
      <c r="I133" s="59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</row>
    <row r="134" spans="1:32" ht="13.5" customHeight="1" x14ac:dyDescent="0.25">
      <c r="A134" s="56"/>
      <c r="B134" s="56"/>
      <c r="C134" s="56"/>
      <c r="D134" s="56"/>
      <c r="E134" s="57"/>
      <c r="F134" s="58"/>
      <c r="G134" s="56"/>
      <c r="H134" s="56"/>
      <c r="I134" s="59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</row>
    <row r="135" spans="1:32" ht="33.75" customHeight="1" x14ac:dyDescent="0.25">
      <c r="A135" s="56"/>
      <c r="B135" s="56"/>
      <c r="C135" s="56"/>
      <c r="D135" s="56"/>
      <c r="E135" s="57"/>
      <c r="F135" s="58"/>
      <c r="G135" s="56"/>
      <c r="H135" s="56"/>
      <c r="I135" s="59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</row>
    <row r="136" spans="1:32" ht="13.5" customHeight="1" x14ac:dyDescent="0.25">
      <c r="A136" s="56"/>
      <c r="B136" s="56"/>
      <c r="C136" s="56"/>
      <c r="D136" s="56"/>
      <c r="E136" s="57"/>
      <c r="F136" s="58"/>
      <c r="G136" s="56"/>
      <c r="H136" s="56"/>
      <c r="I136" s="59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</row>
    <row r="137" spans="1:32" ht="33.75" customHeight="1" x14ac:dyDescent="0.25">
      <c r="A137" s="56"/>
      <c r="B137" s="56"/>
      <c r="C137" s="56"/>
      <c r="D137" s="56"/>
      <c r="E137" s="57"/>
      <c r="F137" s="58"/>
      <c r="G137" s="56"/>
      <c r="H137" s="56"/>
      <c r="I137" s="59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</row>
    <row r="138" spans="1:32" ht="13.5" customHeight="1" x14ac:dyDescent="0.25">
      <c r="A138" s="56"/>
      <c r="B138" s="56"/>
      <c r="C138" s="56"/>
      <c r="D138" s="56"/>
      <c r="E138" s="57"/>
      <c r="F138" s="58"/>
      <c r="G138" s="56"/>
      <c r="H138" s="56"/>
      <c r="I138" s="59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</row>
    <row r="139" spans="1:32" ht="33.75" customHeight="1" x14ac:dyDescent="0.25">
      <c r="A139" s="56"/>
      <c r="B139" s="56"/>
      <c r="C139" s="56"/>
      <c r="D139" s="56"/>
      <c r="E139" s="57"/>
      <c r="F139" s="58"/>
      <c r="G139" s="56"/>
      <c r="H139" s="56"/>
      <c r="I139" s="59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</row>
    <row r="140" spans="1:32" ht="13.5" customHeight="1" x14ac:dyDescent="0.25">
      <c r="A140" s="56"/>
      <c r="B140" s="56"/>
      <c r="C140" s="56"/>
      <c r="D140" s="56"/>
      <c r="E140" s="57"/>
      <c r="F140" s="58"/>
      <c r="G140" s="56"/>
      <c r="H140" s="56"/>
      <c r="I140" s="59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</row>
    <row r="141" spans="1:32" ht="33.75" customHeight="1" x14ac:dyDescent="0.25">
      <c r="A141" s="56"/>
      <c r="B141" s="56"/>
      <c r="C141" s="56"/>
      <c r="D141" s="56"/>
      <c r="E141" s="57"/>
      <c r="F141" s="58"/>
      <c r="G141" s="56"/>
      <c r="H141" s="56"/>
      <c r="I141" s="59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</row>
    <row r="142" spans="1:32" ht="13.5" customHeight="1" x14ac:dyDescent="0.25">
      <c r="A142" s="56"/>
      <c r="B142" s="56"/>
      <c r="C142" s="56"/>
      <c r="D142" s="56"/>
      <c r="E142" s="57"/>
      <c r="F142" s="58"/>
      <c r="G142" s="56"/>
      <c r="H142" s="56"/>
      <c r="I142" s="59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</row>
    <row r="143" spans="1:32" ht="33.75" customHeight="1" x14ac:dyDescent="0.25">
      <c r="A143" s="56"/>
      <c r="B143" s="56"/>
      <c r="C143" s="56"/>
      <c r="D143" s="56"/>
      <c r="E143" s="57"/>
      <c r="F143" s="58"/>
      <c r="G143" s="56"/>
      <c r="H143" s="56"/>
      <c r="I143" s="59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</row>
    <row r="144" spans="1:32" ht="13.5" customHeight="1" x14ac:dyDescent="0.25">
      <c r="A144" s="56"/>
      <c r="B144" s="56"/>
      <c r="C144" s="56"/>
      <c r="D144" s="56"/>
      <c r="E144" s="57"/>
      <c r="F144" s="58"/>
      <c r="G144" s="56"/>
      <c r="H144" s="56"/>
      <c r="I144" s="59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</row>
    <row r="145" spans="1:32" ht="33.75" customHeight="1" x14ac:dyDescent="0.25">
      <c r="A145" s="56"/>
      <c r="B145" s="56"/>
      <c r="C145" s="56"/>
      <c r="D145" s="56"/>
      <c r="E145" s="57"/>
      <c r="F145" s="58"/>
      <c r="G145" s="56"/>
      <c r="H145" s="56"/>
      <c r="I145" s="59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</row>
    <row r="146" spans="1:32" ht="13.5" customHeight="1" x14ac:dyDescent="0.25">
      <c r="A146" s="56"/>
      <c r="B146" s="56"/>
      <c r="C146" s="56"/>
      <c r="D146" s="56"/>
      <c r="E146" s="57"/>
      <c r="F146" s="58"/>
      <c r="G146" s="56"/>
      <c r="H146" s="56"/>
      <c r="I146" s="59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</row>
    <row r="147" spans="1:32" ht="33.75" customHeight="1" x14ac:dyDescent="0.25">
      <c r="A147" s="56"/>
      <c r="B147" s="56"/>
      <c r="C147" s="56"/>
      <c r="D147" s="56"/>
      <c r="E147" s="57"/>
      <c r="F147" s="58"/>
      <c r="G147" s="56"/>
      <c r="H147" s="56"/>
      <c r="I147" s="59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</row>
    <row r="148" spans="1:32" ht="13.5" customHeight="1" x14ac:dyDescent="0.25">
      <c r="A148" s="56"/>
      <c r="B148" s="56"/>
      <c r="C148" s="56"/>
      <c r="D148" s="56"/>
      <c r="E148" s="57"/>
      <c r="F148" s="58"/>
      <c r="G148" s="56"/>
      <c r="H148" s="56"/>
      <c r="I148" s="59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</row>
    <row r="149" spans="1:32" ht="33.75" customHeight="1" x14ac:dyDescent="0.25">
      <c r="A149" s="56"/>
      <c r="B149" s="56"/>
      <c r="C149" s="56"/>
      <c r="D149" s="56"/>
      <c r="E149" s="57"/>
      <c r="F149" s="58"/>
      <c r="G149" s="56"/>
      <c r="H149" s="56"/>
      <c r="I149" s="59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</row>
    <row r="150" spans="1:32" ht="13.5" customHeight="1" x14ac:dyDescent="0.25">
      <c r="A150" s="56"/>
      <c r="B150" s="56"/>
      <c r="C150" s="56"/>
      <c r="D150" s="56"/>
      <c r="E150" s="57"/>
      <c r="F150" s="58"/>
      <c r="G150" s="56"/>
      <c r="H150" s="56"/>
      <c r="I150" s="59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</row>
    <row r="151" spans="1:32" ht="33.75" customHeight="1" x14ac:dyDescent="0.25">
      <c r="A151" s="56"/>
      <c r="B151" s="56"/>
      <c r="C151" s="56"/>
      <c r="D151" s="56"/>
      <c r="E151" s="57"/>
      <c r="F151" s="58"/>
      <c r="G151" s="56"/>
      <c r="H151" s="56"/>
      <c r="I151" s="59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</row>
    <row r="152" spans="1:32" ht="13.5" customHeight="1" x14ac:dyDescent="0.25">
      <c r="A152" s="56"/>
      <c r="B152" s="56"/>
      <c r="C152" s="56"/>
      <c r="D152" s="56"/>
      <c r="E152" s="57"/>
      <c r="F152" s="58"/>
      <c r="G152" s="56"/>
      <c r="H152" s="56"/>
      <c r="I152" s="59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</row>
    <row r="153" spans="1:32" ht="33.75" customHeight="1" x14ac:dyDescent="0.25">
      <c r="A153" s="56"/>
      <c r="B153" s="56"/>
      <c r="C153" s="56"/>
      <c r="D153" s="56"/>
      <c r="E153" s="57"/>
      <c r="F153" s="58"/>
      <c r="G153" s="56"/>
      <c r="H153" s="56"/>
      <c r="I153" s="59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</row>
    <row r="154" spans="1:32" ht="13.5" customHeight="1" x14ac:dyDescent="0.25">
      <c r="A154" s="56"/>
      <c r="B154" s="56"/>
      <c r="C154" s="56"/>
      <c r="D154" s="56"/>
      <c r="E154" s="57"/>
      <c r="F154" s="58"/>
      <c r="G154" s="56"/>
      <c r="H154" s="56"/>
      <c r="I154" s="59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</row>
    <row r="155" spans="1:32" ht="33.75" customHeight="1" x14ac:dyDescent="0.25">
      <c r="A155" s="56"/>
      <c r="B155" s="56"/>
      <c r="C155" s="56"/>
      <c r="D155" s="56"/>
      <c r="E155" s="57"/>
      <c r="F155" s="58"/>
      <c r="G155" s="56"/>
      <c r="H155" s="56"/>
      <c r="I155" s="59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</row>
    <row r="156" spans="1:32" ht="13.5" customHeight="1" x14ac:dyDescent="0.25">
      <c r="A156" s="56"/>
      <c r="B156" s="56"/>
      <c r="C156" s="56"/>
      <c r="D156" s="56"/>
      <c r="E156" s="57"/>
      <c r="F156" s="58"/>
      <c r="G156" s="56"/>
      <c r="H156" s="56"/>
      <c r="I156" s="59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</row>
    <row r="157" spans="1:32" ht="33.75" customHeight="1" x14ac:dyDescent="0.25">
      <c r="A157" s="56"/>
      <c r="B157" s="56"/>
      <c r="C157" s="56"/>
      <c r="D157" s="56"/>
      <c r="E157" s="57"/>
      <c r="F157" s="58"/>
      <c r="G157" s="56"/>
      <c r="H157" s="56"/>
      <c r="I157" s="59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</row>
    <row r="158" spans="1:32" ht="13.5" customHeight="1" x14ac:dyDescent="0.25">
      <c r="A158" s="56"/>
      <c r="B158" s="56"/>
      <c r="C158" s="56"/>
      <c r="D158" s="56"/>
      <c r="E158" s="57"/>
      <c r="F158" s="58"/>
      <c r="G158" s="56"/>
      <c r="H158" s="56"/>
      <c r="I158" s="59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</row>
    <row r="159" spans="1:32" ht="33.75" customHeight="1" x14ac:dyDescent="0.25">
      <c r="A159" s="56"/>
      <c r="B159" s="56"/>
      <c r="C159" s="56"/>
      <c r="D159" s="56"/>
      <c r="E159" s="57"/>
      <c r="F159" s="58"/>
      <c r="G159" s="56"/>
      <c r="H159" s="56"/>
      <c r="I159" s="59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</row>
    <row r="160" spans="1:32" ht="13.5" customHeight="1" x14ac:dyDescent="0.25">
      <c r="A160" s="56"/>
      <c r="B160" s="56"/>
      <c r="C160" s="56"/>
      <c r="D160" s="56"/>
      <c r="E160" s="57"/>
      <c r="F160" s="58"/>
      <c r="G160" s="56"/>
      <c r="H160" s="56"/>
      <c r="I160" s="59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</row>
    <row r="161" spans="1:32" ht="33.75" customHeight="1" x14ac:dyDescent="0.25">
      <c r="A161" s="56"/>
      <c r="B161" s="56"/>
      <c r="C161" s="56"/>
      <c r="D161" s="56"/>
      <c r="E161" s="57"/>
      <c r="F161" s="58"/>
      <c r="G161" s="56"/>
      <c r="H161" s="56"/>
      <c r="I161" s="59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</row>
    <row r="162" spans="1:32" ht="13.5" customHeight="1" x14ac:dyDescent="0.25">
      <c r="A162" s="56"/>
      <c r="B162" s="56"/>
      <c r="C162" s="56"/>
      <c r="D162" s="56"/>
      <c r="E162" s="57"/>
      <c r="F162" s="58"/>
      <c r="G162" s="56"/>
      <c r="H162" s="56"/>
      <c r="I162" s="59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</row>
    <row r="163" spans="1:32" ht="33.75" customHeight="1" x14ac:dyDescent="0.25">
      <c r="A163" s="56"/>
      <c r="B163" s="56"/>
      <c r="C163" s="56"/>
      <c r="D163" s="56"/>
      <c r="E163" s="57"/>
      <c r="F163" s="58"/>
      <c r="G163" s="56"/>
      <c r="H163" s="56"/>
      <c r="I163" s="59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</row>
    <row r="164" spans="1:32" ht="13.5" customHeight="1" x14ac:dyDescent="0.25">
      <c r="A164" s="56"/>
      <c r="B164" s="56"/>
      <c r="C164" s="56"/>
      <c r="D164" s="56"/>
      <c r="E164" s="57"/>
      <c r="F164" s="58"/>
      <c r="G164" s="56"/>
      <c r="H164" s="56"/>
      <c r="I164" s="59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</row>
    <row r="165" spans="1:32" ht="33.75" customHeight="1" x14ac:dyDescent="0.25">
      <c r="A165" s="56"/>
      <c r="B165" s="56"/>
      <c r="C165" s="56"/>
      <c r="D165" s="56"/>
      <c r="E165" s="57"/>
      <c r="F165" s="58"/>
      <c r="G165" s="56"/>
      <c r="H165" s="56"/>
      <c r="I165" s="59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</row>
    <row r="166" spans="1:32" ht="13.5" customHeight="1" x14ac:dyDescent="0.25">
      <c r="A166" s="56"/>
      <c r="B166" s="56"/>
      <c r="C166" s="56"/>
      <c r="D166" s="56"/>
      <c r="E166" s="57"/>
      <c r="F166" s="58"/>
      <c r="G166" s="56"/>
      <c r="H166" s="56"/>
      <c r="I166" s="59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</row>
    <row r="167" spans="1:32" ht="33.75" customHeight="1" x14ac:dyDescent="0.25">
      <c r="A167" s="56"/>
      <c r="B167" s="56"/>
      <c r="C167" s="56"/>
      <c r="D167" s="56"/>
      <c r="E167" s="57"/>
      <c r="F167" s="58"/>
      <c r="G167" s="56"/>
      <c r="H167" s="56"/>
      <c r="I167" s="59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</row>
    <row r="168" spans="1:32" ht="13.5" customHeight="1" x14ac:dyDescent="0.25">
      <c r="A168" s="56"/>
      <c r="B168" s="56"/>
      <c r="C168" s="56"/>
      <c r="D168" s="56"/>
      <c r="E168" s="57"/>
      <c r="F168" s="58"/>
      <c r="G168" s="56"/>
      <c r="H168" s="56"/>
      <c r="I168" s="59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</row>
    <row r="169" spans="1:32" ht="33.75" customHeight="1" x14ac:dyDescent="0.25">
      <c r="A169" s="56"/>
      <c r="B169" s="56"/>
      <c r="C169" s="56"/>
      <c r="D169" s="56"/>
      <c r="E169" s="57"/>
      <c r="F169" s="58"/>
      <c r="G169" s="56"/>
      <c r="H169" s="56"/>
      <c r="I169" s="59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</row>
    <row r="170" spans="1:32" ht="13.5" customHeight="1" x14ac:dyDescent="0.25">
      <c r="A170" s="56"/>
      <c r="B170" s="56"/>
      <c r="C170" s="56"/>
      <c r="D170" s="56"/>
      <c r="E170" s="57"/>
      <c r="F170" s="58"/>
      <c r="G170" s="56"/>
      <c r="H170" s="56"/>
      <c r="I170" s="59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</row>
    <row r="171" spans="1:32" ht="33.75" customHeight="1" x14ac:dyDescent="0.25">
      <c r="A171" s="56"/>
      <c r="B171" s="56"/>
      <c r="C171" s="56"/>
      <c r="D171" s="56"/>
      <c r="E171" s="57"/>
      <c r="F171" s="58"/>
      <c r="G171" s="56"/>
      <c r="H171" s="56"/>
      <c r="I171" s="59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</row>
    <row r="172" spans="1:32" ht="13.5" customHeight="1" x14ac:dyDescent="0.25">
      <c r="A172" s="56"/>
      <c r="B172" s="56"/>
      <c r="C172" s="56"/>
      <c r="D172" s="56"/>
      <c r="E172" s="57"/>
      <c r="F172" s="58"/>
      <c r="G172" s="56"/>
      <c r="H172" s="56"/>
      <c r="I172" s="59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</row>
    <row r="173" spans="1:32" ht="33.75" customHeight="1" x14ac:dyDescent="0.25">
      <c r="A173" s="56"/>
      <c r="B173" s="56"/>
      <c r="C173" s="56"/>
      <c r="D173" s="56"/>
      <c r="E173" s="57"/>
      <c r="F173" s="58"/>
      <c r="G173" s="56"/>
      <c r="H173" s="56"/>
      <c r="I173" s="59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</row>
    <row r="174" spans="1:32" ht="13.5" customHeight="1" x14ac:dyDescent="0.25">
      <c r="A174" s="56"/>
      <c r="B174" s="56"/>
      <c r="C174" s="56"/>
      <c r="D174" s="56"/>
      <c r="E174" s="57"/>
      <c r="F174" s="58"/>
      <c r="G174" s="56"/>
      <c r="H174" s="56"/>
      <c r="I174" s="59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</row>
    <row r="175" spans="1:32" ht="33.75" customHeight="1" x14ac:dyDescent="0.25">
      <c r="A175" s="56"/>
      <c r="B175" s="56"/>
      <c r="C175" s="56"/>
      <c r="D175" s="56"/>
      <c r="E175" s="57"/>
      <c r="F175" s="58"/>
      <c r="G175" s="56"/>
      <c r="H175" s="56"/>
      <c r="I175" s="59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</row>
    <row r="176" spans="1:32" ht="13.5" customHeight="1" x14ac:dyDescent="0.25">
      <c r="A176" s="56"/>
      <c r="B176" s="56"/>
      <c r="C176" s="56"/>
      <c r="D176" s="56"/>
      <c r="E176" s="57"/>
      <c r="F176" s="58"/>
      <c r="G176" s="56"/>
      <c r="H176" s="56"/>
      <c r="I176" s="59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</row>
    <row r="177" spans="1:32" ht="33.75" customHeight="1" x14ac:dyDescent="0.25">
      <c r="A177" s="56"/>
      <c r="B177" s="56"/>
      <c r="C177" s="56"/>
      <c r="D177" s="56"/>
      <c r="E177" s="57"/>
      <c r="F177" s="58"/>
      <c r="G177" s="56"/>
      <c r="H177" s="56"/>
      <c r="I177" s="59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</row>
    <row r="178" spans="1:32" ht="13.5" customHeight="1" x14ac:dyDescent="0.25">
      <c r="A178" s="56"/>
      <c r="B178" s="56"/>
      <c r="C178" s="56"/>
      <c r="D178" s="56"/>
      <c r="E178" s="57"/>
      <c r="F178" s="58"/>
      <c r="G178" s="56"/>
      <c r="H178" s="56"/>
      <c r="I178" s="59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</row>
    <row r="179" spans="1:32" ht="33.75" customHeight="1" x14ac:dyDescent="0.25">
      <c r="A179" s="56"/>
      <c r="B179" s="56"/>
      <c r="C179" s="56"/>
      <c r="D179" s="56"/>
      <c r="E179" s="57"/>
      <c r="F179" s="58"/>
      <c r="G179" s="56"/>
      <c r="H179" s="56"/>
      <c r="I179" s="59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</row>
    <row r="180" spans="1:32" ht="13.5" customHeight="1" x14ac:dyDescent="0.25">
      <c r="A180" s="56"/>
      <c r="B180" s="56"/>
      <c r="C180" s="56"/>
      <c r="D180" s="56"/>
      <c r="E180" s="57"/>
      <c r="F180" s="58"/>
      <c r="G180" s="56"/>
      <c r="H180" s="56"/>
      <c r="I180" s="59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</row>
    <row r="181" spans="1:32" ht="33.75" customHeight="1" x14ac:dyDescent="0.25">
      <c r="A181" s="56"/>
      <c r="B181" s="56"/>
      <c r="C181" s="56"/>
      <c r="D181" s="56"/>
      <c r="E181" s="57"/>
      <c r="F181" s="58"/>
      <c r="G181" s="56"/>
      <c r="H181" s="56"/>
      <c r="I181" s="59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</row>
    <row r="182" spans="1:32" ht="13.5" customHeight="1" x14ac:dyDescent="0.25">
      <c r="A182" s="56"/>
      <c r="B182" s="56"/>
      <c r="C182" s="56"/>
      <c r="D182" s="56"/>
      <c r="E182" s="57"/>
      <c r="F182" s="58"/>
      <c r="G182" s="56"/>
      <c r="H182" s="56"/>
      <c r="I182" s="59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</row>
    <row r="183" spans="1:32" ht="33.75" customHeight="1" x14ac:dyDescent="0.25">
      <c r="A183" s="56"/>
      <c r="B183" s="56"/>
      <c r="C183" s="56"/>
      <c r="D183" s="56"/>
      <c r="E183" s="57"/>
      <c r="F183" s="58"/>
      <c r="G183" s="56"/>
      <c r="H183" s="56"/>
      <c r="I183" s="59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</row>
    <row r="184" spans="1:32" ht="13.5" customHeight="1" x14ac:dyDescent="0.25">
      <c r="A184" s="56"/>
      <c r="B184" s="56"/>
      <c r="C184" s="56"/>
      <c r="D184" s="56"/>
      <c r="E184" s="57"/>
      <c r="F184" s="58"/>
      <c r="G184" s="56"/>
      <c r="H184" s="56"/>
      <c r="I184" s="59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</row>
    <row r="185" spans="1:32" ht="33.75" customHeight="1" x14ac:dyDescent="0.25">
      <c r="A185" s="56"/>
      <c r="B185" s="56"/>
      <c r="C185" s="56"/>
      <c r="D185" s="56"/>
      <c r="E185" s="57"/>
      <c r="F185" s="58"/>
      <c r="G185" s="56"/>
      <c r="H185" s="56"/>
      <c r="I185" s="59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</row>
    <row r="186" spans="1:32" ht="13.5" customHeight="1" x14ac:dyDescent="0.25">
      <c r="A186" s="56"/>
      <c r="B186" s="56"/>
      <c r="C186" s="56"/>
      <c r="D186" s="56"/>
      <c r="E186" s="57"/>
      <c r="F186" s="58"/>
      <c r="G186" s="56"/>
      <c r="H186" s="56"/>
      <c r="I186" s="59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</row>
    <row r="187" spans="1:32" ht="33.75" customHeight="1" x14ac:dyDescent="0.25">
      <c r="A187" s="56"/>
      <c r="B187" s="56"/>
      <c r="C187" s="56"/>
      <c r="D187" s="56"/>
      <c r="E187" s="57"/>
      <c r="F187" s="58"/>
      <c r="G187" s="56"/>
      <c r="H187" s="56"/>
      <c r="I187" s="59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</row>
    <row r="188" spans="1:32" ht="13.5" customHeight="1" x14ac:dyDescent="0.25">
      <c r="A188" s="56"/>
      <c r="B188" s="56"/>
      <c r="C188" s="56"/>
      <c r="D188" s="56"/>
      <c r="E188" s="57"/>
      <c r="F188" s="58"/>
      <c r="G188" s="56"/>
      <c r="H188" s="56"/>
      <c r="I188" s="59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</row>
    <row r="189" spans="1:32" ht="33.75" customHeight="1" x14ac:dyDescent="0.25">
      <c r="A189" s="56"/>
      <c r="B189" s="56"/>
      <c r="C189" s="56"/>
      <c r="D189" s="56"/>
      <c r="E189" s="57"/>
      <c r="F189" s="58"/>
      <c r="G189" s="56"/>
      <c r="H189" s="56"/>
      <c r="I189" s="59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</row>
    <row r="190" spans="1:32" ht="13.5" customHeight="1" x14ac:dyDescent="0.25">
      <c r="A190" s="56"/>
      <c r="B190" s="56"/>
      <c r="C190" s="56"/>
      <c r="D190" s="56"/>
      <c r="E190" s="57"/>
      <c r="F190" s="58"/>
      <c r="G190" s="56"/>
      <c r="H190" s="56"/>
      <c r="I190" s="59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</row>
    <row r="191" spans="1:32" ht="33.75" customHeight="1" x14ac:dyDescent="0.25">
      <c r="A191" s="56"/>
      <c r="B191" s="56"/>
      <c r="C191" s="56"/>
      <c r="D191" s="56"/>
      <c r="E191" s="57"/>
      <c r="F191" s="58"/>
      <c r="G191" s="56"/>
      <c r="H191" s="56"/>
      <c r="I191" s="59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</row>
    <row r="192" spans="1:32" ht="13.5" customHeight="1" x14ac:dyDescent="0.25">
      <c r="A192" s="56"/>
      <c r="B192" s="56"/>
      <c r="C192" s="56"/>
      <c r="D192" s="56"/>
      <c r="E192" s="57"/>
      <c r="F192" s="58"/>
      <c r="G192" s="56"/>
      <c r="H192" s="56"/>
      <c r="I192" s="59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</row>
    <row r="193" spans="1:32" ht="33.75" customHeight="1" x14ac:dyDescent="0.25">
      <c r="A193" s="56"/>
      <c r="B193" s="56"/>
      <c r="C193" s="56"/>
      <c r="D193" s="56"/>
      <c r="E193" s="57"/>
      <c r="F193" s="58"/>
      <c r="G193" s="56"/>
      <c r="H193" s="56"/>
      <c r="I193" s="59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</row>
    <row r="194" spans="1:32" ht="13.5" customHeight="1" x14ac:dyDescent="0.25">
      <c r="A194" s="56"/>
      <c r="B194" s="56"/>
      <c r="C194" s="56"/>
      <c r="D194" s="56"/>
      <c r="E194" s="57"/>
      <c r="F194" s="58"/>
      <c r="G194" s="56"/>
      <c r="H194" s="56"/>
      <c r="I194" s="59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</row>
    <row r="195" spans="1:32" ht="33.75" customHeight="1" x14ac:dyDescent="0.25">
      <c r="A195" s="56"/>
      <c r="B195" s="56"/>
      <c r="C195" s="56"/>
      <c r="D195" s="56"/>
      <c r="E195" s="57"/>
      <c r="F195" s="58"/>
      <c r="G195" s="56"/>
      <c r="H195" s="56"/>
      <c r="I195" s="59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</row>
    <row r="196" spans="1:32" ht="13.5" customHeight="1" x14ac:dyDescent="0.25">
      <c r="A196" s="56"/>
      <c r="B196" s="56"/>
      <c r="C196" s="56"/>
      <c r="D196" s="56"/>
      <c r="E196" s="57"/>
      <c r="F196" s="58"/>
      <c r="G196" s="56"/>
      <c r="H196" s="56"/>
      <c r="I196" s="59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</row>
    <row r="197" spans="1:32" ht="33.75" customHeight="1" x14ac:dyDescent="0.25">
      <c r="A197" s="56"/>
      <c r="B197" s="56"/>
      <c r="C197" s="56"/>
      <c r="D197" s="56"/>
      <c r="E197" s="57"/>
      <c r="F197" s="58"/>
      <c r="G197" s="56"/>
      <c r="H197" s="56"/>
      <c r="I197" s="59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</row>
    <row r="198" spans="1:32" ht="13.5" customHeight="1" x14ac:dyDescent="0.25">
      <c r="A198" s="56"/>
      <c r="B198" s="56"/>
      <c r="C198" s="56"/>
      <c r="D198" s="56"/>
      <c r="E198" s="57"/>
      <c r="F198" s="58"/>
      <c r="G198" s="56"/>
      <c r="H198" s="56"/>
      <c r="I198" s="59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</row>
    <row r="199" spans="1:32" ht="33.75" customHeight="1" x14ac:dyDescent="0.25">
      <c r="A199" s="56"/>
      <c r="B199" s="56"/>
      <c r="C199" s="56"/>
      <c r="D199" s="56"/>
      <c r="E199" s="57"/>
      <c r="F199" s="58"/>
      <c r="G199" s="56"/>
      <c r="H199" s="56"/>
      <c r="I199" s="59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</row>
    <row r="200" spans="1:32" ht="13.5" customHeight="1" x14ac:dyDescent="0.25">
      <c r="A200" s="47" t="s">
        <v>283</v>
      </c>
      <c r="B200" s="56"/>
      <c r="C200" s="56"/>
      <c r="D200" s="56"/>
      <c r="E200" s="57"/>
      <c r="F200" s="58"/>
      <c r="G200" s="56"/>
      <c r="H200" s="56"/>
      <c r="I200" s="59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</row>
    <row r="201" spans="1:32" ht="33.75" customHeight="1" x14ac:dyDescent="0.25">
      <c r="A201" s="47" t="s">
        <v>284</v>
      </c>
      <c r="B201" s="56"/>
      <c r="C201" s="56"/>
      <c r="D201" s="56"/>
      <c r="E201" s="57"/>
      <c r="F201" s="58"/>
      <c r="G201" s="56"/>
      <c r="H201" s="56"/>
      <c r="I201" s="59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</row>
    <row r="202" spans="1:32" ht="13.5" customHeight="1" x14ac:dyDescent="0.25">
      <c r="A202" s="56"/>
      <c r="B202" s="56"/>
      <c r="C202" s="56"/>
      <c r="D202" s="56"/>
      <c r="E202" s="57"/>
      <c r="F202" s="58"/>
      <c r="G202" s="56"/>
      <c r="H202" s="56"/>
      <c r="I202" s="59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</row>
    <row r="203" spans="1:32" ht="33.75" customHeight="1" x14ac:dyDescent="0.25">
      <c r="A203" s="56"/>
      <c r="B203" s="56"/>
      <c r="C203" s="56"/>
      <c r="D203" s="56"/>
      <c r="E203" s="57"/>
      <c r="F203" s="58"/>
      <c r="G203" s="56"/>
      <c r="H203" s="56"/>
      <c r="I203" s="59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</row>
    <row r="204" spans="1:32" ht="13.5" customHeight="1" x14ac:dyDescent="0.25">
      <c r="A204" s="56"/>
      <c r="B204" s="56"/>
      <c r="C204" s="56"/>
      <c r="D204" s="56"/>
      <c r="E204" s="57"/>
      <c r="F204" s="58"/>
      <c r="G204" s="56"/>
      <c r="H204" s="56"/>
      <c r="I204" s="59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</row>
    <row r="205" spans="1:32" ht="33.75" customHeight="1" x14ac:dyDescent="0.25">
      <c r="A205" s="56"/>
      <c r="B205" s="56"/>
      <c r="C205" s="56"/>
      <c r="D205" s="56"/>
      <c r="E205" s="57"/>
      <c r="F205" s="58"/>
      <c r="G205" s="56"/>
      <c r="H205" s="56"/>
      <c r="I205" s="59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</row>
    <row r="206" spans="1:32" ht="13.5" customHeight="1" x14ac:dyDescent="0.25">
      <c r="A206" s="56"/>
      <c r="B206" s="56"/>
      <c r="C206" s="56"/>
      <c r="D206" s="56"/>
      <c r="E206" s="57"/>
      <c r="F206" s="58"/>
      <c r="G206" s="56"/>
      <c r="H206" s="56"/>
      <c r="I206" s="59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</row>
    <row r="207" spans="1:32" ht="33.75" customHeight="1" x14ac:dyDescent="0.25">
      <c r="A207" s="56"/>
      <c r="B207" s="56"/>
      <c r="C207" s="56"/>
      <c r="D207" s="56"/>
      <c r="E207" s="57"/>
      <c r="F207" s="58"/>
      <c r="G207" s="56"/>
      <c r="H207" s="56"/>
      <c r="I207" s="59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</row>
    <row r="208" spans="1:32" ht="13.5" customHeight="1" x14ac:dyDescent="0.25">
      <c r="A208" s="56"/>
      <c r="B208" s="56"/>
      <c r="C208" s="56"/>
      <c r="D208" s="56"/>
      <c r="E208" s="57"/>
      <c r="F208" s="58"/>
      <c r="G208" s="56"/>
      <c r="H208" s="56"/>
      <c r="I208" s="59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</row>
    <row r="209" spans="1:32" ht="33.75" customHeight="1" x14ac:dyDescent="0.25">
      <c r="A209" s="56"/>
      <c r="B209" s="56"/>
      <c r="C209" s="56"/>
      <c r="D209" s="56"/>
      <c r="E209" s="57"/>
      <c r="F209" s="58"/>
      <c r="G209" s="56"/>
      <c r="H209" s="56"/>
      <c r="I209" s="59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</row>
    <row r="210" spans="1:32" ht="13.5" customHeight="1" x14ac:dyDescent="0.25">
      <c r="A210" s="56"/>
      <c r="B210" s="56"/>
      <c r="C210" s="56"/>
      <c r="D210" s="56"/>
      <c r="E210" s="57"/>
      <c r="F210" s="58"/>
      <c r="G210" s="56"/>
      <c r="H210" s="56"/>
      <c r="I210" s="59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</row>
    <row r="211" spans="1:32" ht="33.75" customHeight="1" x14ac:dyDescent="0.25">
      <c r="A211" s="56"/>
      <c r="B211" s="56"/>
      <c r="C211" s="56"/>
      <c r="D211" s="56"/>
      <c r="E211" s="57"/>
      <c r="F211" s="58"/>
      <c r="G211" s="56"/>
      <c r="H211" s="56"/>
      <c r="I211" s="59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</row>
    <row r="212" spans="1:32" ht="13.5" customHeight="1" x14ac:dyDescent="0.25">
      <c r="A212" s="56"/>
      <c r="B212" s="56"/>
      <c r="C212" s="56"/>
      <c r="D212" s="56"/>
      <c r="E212" s="57"/>
      <c r="F212" s="58"/>
      <c r="G212" s="56"/>
      <c r="H212" s="56"/>
      <c r="I212" s="59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</row>
    <row r="213" spans="1:32" ht="33.75" customHeight="1" x14ac:dyDescent="0.25">
      <c r="A213" s="56"/>
      <c r="B213" s="56"/>
      <c r="C213" s="56"/>
      <c r="D213" s="56"/>
      <c r="E213" s="57"/>
      <c r="F213" s="58"/>
      <c r="G213" s="56"/>
      <c r="H213" s="56"/>
      <c r="I213" s="59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</row>
    <row r="214" spans="1:32" ht="13.5" customHeight="1" x14ac:dyDescent="0.25">
      <c r="A214" s="56"/>
      <c r="B214" s="56"/>
      <c r="C214" s="56"/>
      <c r="D214" s="56"/>
      <c r="E214" s="57"/>
      <c r="F214" s="58"/>
      <c r="G214" s="56"/>
      <c r="H214" s="56"/>
      <c r="I214" s="59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</row>
    <row r="215" spans="1:32" ht="33.75" customHeight="1" x14ac:dyDescent="0.25">
      <c r="A215" s="56"/>
      <c r="B215" s="56"/>
      <c r="C215" s="56"/>
      <c r="D215" s="56"/>
      <c r="E215" s="57"/>
      <c r="F215" s="58"/>
      <c r="G215" s="56"/>
      <c r="H215" s="56"/>
      <c r="I215" s="59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</row>
    <row r="216" spans="1:32" ht="13.5" customHeight="1" x14ac:dyDescent="0.25">
      <c r="A216" s="56"/>
      <c r="B216" s="56"/>
      <c r="C216" s="56"/>
      <c r="D216" s="56"/>
      <c r="E216" s="57"/>
      <c r="F216" s="58"/>
      <c r="G216" s="56"/>
      <c r="H216" s="56"/>
      <c r="I216" s="59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</row>
    <row r="217" spans="1:32" ht="33.75" customHeight="1" x14ac:dyDescent="0.25">
      <c r="A217" s="56"/>
      <c r="B217" s="56"/>
      <c r="C217" s="56"/>
      <c r="D217" s="56"/>
      <c r="E217" s="57"/>
      <c r="F217" s="58"/>
      <c r="G217" s="56"/>
      <c r="H217" s="56"/>
      <c r="I217" s="59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</row>
    <row r="218" spans="1:32" ht="13.5" customHeight="1" x14ac:dyDescent="0.25">
      <c r="A218" s="56"/>
      <c r="B218" s="56"/>
      <c r="C218" s="56"/>
      <c r="D218" s="56"/>
      <c r="E218" s="57"/>
      <c r="F218" s="58"/>
      <c r="G218" s="56"/>
      <c r="H218" s="56"/>
      <c r="I218" s="59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</row>
    <row r="219" spans="1:32" ht="33.75" customHeight="1" x14ac:dyDescent="0.25">
      <c r="A219" s="56"/>
      <c r="B219" s="56"/>
      <c r="C219" s="56"/>
      <c r="D219" s="56"/>
      <c r="E219" s="57"/>
      <c r="F219" s="58"/>
      <c r="G219" s="56"/>
      <c r="H219" s="56"/>
      <c r="I219" s="59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</row>
    <row r="220" spans="1:32" ht="13.5" customHeight="1" x14ac:dyDescent="0.25">
      <c r="A220" s="56"/>
      <c r="B220" s="56"/>
      <c r="C220" s="56"/>
      <c r="D220" s="56"/>
      <c r="E220" s="57"/>
      <c r="F220" s="58"/>
      <c r="G220" s="56"/>
      <c r="H220" s="56"/>
      <c r="I220" s="59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</row>
    <row r="221" spans="1:32" ht="33.75" customHeight="1" x14ac:dyDescent="0.25">
      <c r="A221" s="56"/>
      <c r="B221" s="56"/>
      <c r="C221" s="56"/>
      <c r="D221" s="56"/>
      <c r="E221" s="57"/>
      <c r="F221" s="58"/>
      <c r="G221" s="56"/>
      <c r="H221" s="56"/>
      <c r="I221" s="59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</row>
    <row r="222" spans="1:32" ht="13.5" customHeight="1" x14ac:dyDescent="0.25">
      <c r="A222" s="56"/>
      <c r="B222" s="56"/>
      <c r="C222" s="56"/>
      <c r="D222" s="56"/>
      <c r="E222" s="57"/>
      <c r="F222" s="58"/>
      <c r="G222" s="56"/>
      <c r="H222" s="56"/>
      <c r="I222" s="59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</row>
    <row r="223" spans="1:32" ht="33.75" customHeight="1" x14ac:dyDescent="0.25">
      <c r="A223" s="56"/>
      <c r="B223" s="56"/>
      <c r="C223" s="56"/>
      <c r="D223" s="56"/>
      <c r="E223" s="57"/>
      <c r="F223" s="58"/>
      <c r="G223" s="56"/>
      <c r="H223" s="56"/>
      <c r="I223" s="59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</row>
    <row r="224" spans="1:32" ht="13.5" customHeight="1" x14ac:dyDescent="0.25">
      <c r="A224" s="56"/>
      <c r="B224" s="56"/>
      <c r="C224" s="56"/>
      <c r="D224" s="56"/>
      <c r="E224" s="57"/>
      <c r="F224" s="58"/>
      <c r="G224" s="56"/>
      <c r="H224" s="56"/>
      <c r="I224" s="59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</row>
    <row r="225" spans="1:32" ht="33.75" customHeight="1" x14ac:dyDescent="0.25">
      <c r="A225" s="56"/>
      <c r="B225" s="56"/>
      <c r="C225" s="56"/>
      <c r="D225" s="56"/>
      <c r="E225" s="57"/>
      <c r="F225" s="58"/>
      <c r="G225" s="56"/>
      <c r="H225" s="56"/>
      <c r="I225" s="59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</row>
    <row r="226" spans="1:32" ht="13.5" customHeight="1" x14ac:dyDescent="0.25">
      <c r="A226" s="56"/>
      <c r="B226" s="56"/>
      <c r="C226" s="56"/>
      <c r="D226" s="56"/>
      <c r="E226" s="57"/>
      <c r="F226" s="58"/>
      <c r="G226" s="56"/>
      <c r="H226" s="56"/>
      <c r="I226" s="59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</row>
    <row r="227" spans="1:32" ht="33.75" customHeight="1" x14ac:dyDescent="0.25">
      <c r="A227" s="56"/>
      <c r="B227" s="56"/>
      <c r="C227" s="56"/>
      <c r="D227" s="56"/>
      <c r="E227" s="57"/>
      <c r="F227" s="58"/>
      <c r="G227" s="56"/>
      <c r="H227" s="56"/>
      <c r="I227" s="59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</row>
    <row r="228" spans="1:32" ht="13.5" customHeight="1" x14ac:dyDescent="0.25">
      <c r="A228" s="56"/>
      <c r="B228" s="56"/>
      <c r="C228" s="56"/>
      <c r="D228" s="56"/>
      <c r="E228" s="57"/>
      <c r="F228" s="58"/>
      <c r="G228" s="56"/>
      <c r="H228" s="56"/>
      <c r="I228" s="59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</row>
    <row r="229" spans="1:32" ht="33.75" customHeight="1" x14ac:dyDescent="0.25">
      <c r="A229" s="56"/>
      <c r="B229" s="56"/>
      <c r="C229" s="56"/>
      <c r="D229" s="56"/>
      <c r="E229" s="57"/>
      <c r="F229" s="58"/>
      <c r="G229" s="56"/>
      <c r="H229" s="56"/>
      <c r="I229" s="59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</row>
    <row r="230" spans="1:32" ht="13.5" customHeight="1" x14ac:dyDescent="0.25">
      <c r="A230" s="56"/>
      <c r="B230" s="56"/>
      <c r="C230" s="56"/>
      <c r="D230" s="56"/>
      <c r="E230" s="57"/>
      <c r="F230" s="58"/>
      <c r="G230" s="56"/>
      <c r="H230" s="56"/>
      <c r="I230" s="59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</row>
    <row r="231" spans="1:32" ht="33.75" customHeight="1" x14ac:dyDescent="0.25">
      <c r="A231" s="56"/>
      <c r="B231" s="56"/>
      <c r="C231" s="56"/>
      <c r="D231" s="56"/>
      <c r="E231" s="57"/>
      <c r="F231" s="58"/>
      <c r="G231" s="56"/>
      <c r="H231" s="56"/>
      <c r="I231" s="59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</row>
    <row r="232" spans="1:32" ht="13.5" customHeight="1" x14ac:dyDescent="0.25">
      <c r="A232" s="56"/>
      <c r="B232" s="56"/>
      <c r="C232" s="56"/>
      <c r="D232" s="56"/>
      <c r="E232" s="57"/>
      <c r="F232" s="58"/>
      <c r="G232" s="56"/>
      <c r="H232" s="56"/>
      <c r="I232" s="59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</row>
    <row r="233" spans="1:32" ht="33.75" customHeight="1" x14ac:dyDescent="0.25">
      <c r="A233" s="56"/>
      <c r="B233" s="56"/>
      <c r="C233" s="56"/>
      <c r="D233" s="56"/>
      <c r="E233" s="57"/>
      <c r="F233" s="58"/>
      <c r="G233" s="56"/>
      <c r="H233" s="56"/>
      <c r="I233" s="59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</row>
    <row r="234" spans="1:32" ht="13.5" customHeight="1" x14ac:dyDescent="0.25">
      <c r="A234" s="56"/>
      <c r="B234" s="56"/>
      <c r="C234" s="56"/>
      <c r="D234" s="56"/>
      <c r="E234" s="57"/>
      <c r="F234" s="58"/>
      <c r="G234" s="56"/>
      <c r="H234" s="56"/>
      <c r="I234" s="59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</row>
    <row r="235" spans="1:32" ht="33.75" customHeight="1" x14ac:dyDescent="0.25">
      <c r="A235" s="56"/>
      <c r="B235" s="56"/>
      <c r="C235" s="56"/>
      <c r="D235" s="56"/>
      <c r="E235" s="57"/>
      <c r="F235" s="58"/>
      <c r="G235" s="56"/>
      <c r="H235" s="56"/>
      <c r="I235" s="59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</row>
    <row r="236" spans="1:32" ht="13.5" customHeight="1" x14ac:dyDescent="0.25">
      <c r="A236" s="56"/>
      <c r="B236" s="56"/>
      <c r="C236" s="56"/>
      <c r="D236" s="56"/>
      <c r="E236" s="57"/>
      <c r="F236" s="58"/>
      <c r="G236" s="56"/>
      <c r="H236" s="56"/>
      <c r="I236" s="59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</row>
    <row r="237" spans="1:32" ht="33.75" customHeight="1" x14ac:dyDescent="0.25">
      <c r="A237" s="56"/>
      <c r="B237" s="56"/>
      <c r="C237" s="56"/>
      <c r="D237" s="56"/>
      <c r="E237" s="57"/>
      <c r="F237" s="58"/>
      <c r="G237" s="56"/>
      <c r="H237" s="56"/>
      <c r="I237" s="59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</row>
    <row r="238" spans="1:32" ht="13.5" customHeight="1" x14ac:dyDescent="0.25">
      <c r="A238" s="56"/>
      <c r="B238" s="56"/>
      <c r="C238" s="56"/>
      <c r="D238" s="56"/>
      <c r="E238" s="57"/>
      <c r="F238" s="58"/>
      <c r="G238" s="56"/>
      <c r="H238" s="56"/>
      <c r="I238" s="59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</row>
    <row r="239" spans="1:32" ht="33.75" customHeight="1" x14ac:dyDescent="0.25">
      <c r="A239" s="56"/>
      <c r="B239" s="56"/>
      <c r="C239" s="56"/>
      <c r="D239" s="56"/>
      <c r="E239" s="57"/>
      <c r="F239" s="58"/>
      <c r="G239" s="56"/>
      <c r="H239" s="56"/>
      <c r="I239" s="59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</row>
    <row r="240" spans="1:32" ht="13.5" customHeight="1" x14ac:dyDescent="0.25">
      <c r="A240" s="56"/>
      <c r="B240" s="56"/>
      <c r="C240" s="56"/>
      <c r="D240" s="56"/>
      <c r="E240" s="57"/>
      <c r="F240" s="58"/>
      <c r="G240" s="56"/>
      <c r="H240" s="56"/>
      <c r="I240" s="59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</row>
    <row r="241" spans="1:32" ht="33.75" customHeight="1" x14ac:dyDescent="0.25">
      <c r="A241" s="56"/>
      <c r="B241" s="56"/>
      <c r="C241" s="56"/>
      <c r="D241" s="56"/>
      <c r="E241" s="57"/>
      <c r="F241" s="58"/>
      <c r="G241" s="56"/>
      <c r="H241" s="56"/>
      <c r="I241" s="59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</row>
    <row r="242" spans="1:32" ht="13.5" customHeight="1" x14ac:dyDescent="0.25">
      <c r="A242" s="56"/>
      <c r="B242" s="56"/>
      <c r="C242" s="56"/>
      <c r="D242" s="56"/>
      <c r="E242" s="57"/>
      <c r="F242" s="58"/>
      <c r="G242" s="56"/>
      <c r="H242" s="56"/>
      <c r="I242" s="59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</row>
    <row r="243" spans="1:32" ht="33.75" customHeight="1" x14ac:dyDescent="0.25">
      <c r="A243" s="56"/>
      <c r="B243" s="56"/>
      <c r="C243" s="56"/>
      <c r="D243" s="56"/>
      <c r="E243" s="57"/>
      <c r="F243" s="58"/>
      <c r="G243" s="56"/>
      <c r="H243" s="56"/>
      <c r="I243" s="59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</row>
    <row r="244" spans="1:32" ht="13.5" customHeight="1" x14ac:dyDescent="0.25">
      <c r="A244" s="56"/>
      <c r="B244" s="56"/>
      <c r="C244" s="56"/>
      <c r="D244" s="56"/>
      <c r="E244" s="57"/>
      <c r="F244" s="58"/>
      <c r="G244" s="56"/>
      <c r="H244" s="56"/>
      <c r="I244" s="59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</row>
    <row r="245" spans="1:32" ht="33.75" customHeight="1" x14ac:dyDescent="0.25">
      <c r="A245" s="56"/>
      <c r="B245" s="56"/>
      <c r="C245" s="56"/>
      <c r="D245" s="56"/>
      <c r="E245" s="57"/>
      <c r="F245" s="58"/>
      <c r="G245" s="56"/>
      <c r="H245" s="56"/>
      <c r="I245" s="59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</row>
    <row r="246" spans="1:32" ht="13.5" customHeight="1" x14ac:dyDescent="0.25">
      <c r="A246" s="56"/>
      <c r="B246" s="56"/>
      <c r="C246" s="56"/>
      <c r="D246" s="56"/>
      <c r="E246" s="57"/>
      <c r="F246" s="58"/>
      <c r="G246" s="56"/>
      <c r="H246" s="56"/>
      <c r="I246" s="59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</row>
    <row r="247" spans="1:32" ht="33.75" customHeight="1" x14ac:dyDescent="0.25">
      <c r="A247" s="56"/>
      <c r="B247" s="56"/>
      <c r="C247" s="56"/>
      <c r="D247" s="56"/>
      <c r="E247" s="57"/>
      <c r="F247" s="58"/>
      <c r="G247" s="56"/>
      <c r="H247" s="56"/>
      <c r="I247" s="59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</row>
    <row r="248" spans="1:32" ht="13.5" customHeight="1" x14ac:dyDescent="0.25">
      <c r="A248" s="56"/>
      <c r="B248" s="56"/>
      <c r="C248" s="56"/>
      <c r="D248" s="56"/>
      <c r="E248" s="57"/>
      <c r="F248" s="58"/>
      <c r="G248" s="56"/>
      <c r="H248" s="56"/>
      <c r="I248" s="59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</row>
    <row r="249" spans="1:32" ht="33.75" customHeight="1" x14ac:dyDescent="0.25">
      <c r="A249" s="56"/>
      <c r="B249" s="56"/>
      <c r="C249" s="56"/>
      <c r="D249" s="56"/>
      <c r="E249" s="57"/>
      <c r="F249" s="58"/>
      <c r="G249" s="56"/>
      <c r="H249" s="56"/>
      <c r="I249" s="59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</row>
    <row r="250" spans="1:32" ht="13.5" customHeight="1" x14ac:dyDescent="0.25">
      <c r="A250" s="56"/>
      <c r="B250" s="56"/>
      <c r="C250" s="56"/>
      <c r="D250" s="56"/>
      <c r="E250" s="57"/>
      <c r="F250" s="58"/>
      <c r="G250" s="56"/>
      <c r="H250" s="56"/>
      <c r="I250" s="59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</row>
    <row r="251" spans="1:32" ht="33.75" customHeight="1" x14ac:dyDescent="0.25">
      <c r="A251" s="56"/>
      <c r="B251" s="56"/>
      <c r="C251" s="56"/>
      <c r="D251" s="56"/>
      <c r="E251" s="57"/>
      <c r="F251" s="58"/>
      <c r="G251" s="56"/>
      <c r="H251" s="56"/>
      <c r="I251" s="59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</row>
    <row r="252" spans="1:32" ht="13.5" customHeight="1" x14ac:dyDescent="0.25">
      <c r="A252" s="56"/>
      <c r="B252" s="56"/>
      <c r="C252" s="56"/>
      <c r="D252" s="56"/>
      <c r="E252" s="57"/>
      <c r="F252" s="58"/>
      <c r="G252" s="56"/>
      <c r="H252" s="56"/>
      <c r="I252" s="59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</row>
    <row r="253" spans="1:32" ht="33.75" customHeight="1" x14ac:dyDescent="0.25">
      <c r="A253" s="56"/>
      <c r="B253" s="56"/>
      <c r="C253" s="56"/>
      <c r="D253" s="56"/>
      <c r="E253" s="57"/>
      <c r="F253" s="58"/>
      <c r="G253" s="56"/>
      <c r="H253" s="56"/>
      <c r="I253" s="59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</row>
    <row r="254" spans="1:32" ht="13.5" customHeight="1" x14ac:dyDescent="0.25">
      <c r="A254" s="56"/>
      <c r="B254" s="56"/>
      <c r="C254" s="56"/>
      <c r="D254" s="56"/>
      <c r="E254" s="57"/>
      <c r="F254" s="58"/>
      <c r="G254" s="56"/>
      <c r="H254" s="56"/>
      <c r="I254" s="59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</row>
    <row r="255" spans="1:32" ht="33.75" customHeight="1" x14ac:dyDescent="0.25">
      <c r="A255" s="56"/>
      <c r="B255" s="56"/>
      <c r="C255" s="56"/>
      <c r="D255" s="56"/>
      <c r="E255" s="57"/>
      <c r="F255" s="58"/>
      <c r="G255" s="56"/>
      <c r="H255" s="56"/>
      <c r="I255" s="59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</row>
    <row r="256" spans="1:32" ht="13.5" customHeight="1" x14ac:dyDescent="0.25">
      <c r="A256" s="56"/>
      <c r="B256" s="56"/>
      <c r="C256" s="56"/>
      <c r="D256" s="56"/>
      <c r="E256" s="57"/>
      <c r="F256" s="58"/>
      <c r="G256" s="56"/>
      <c r="H256" s="56"/>
      <c r="I256" s="59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</row>
    <row r="257" spans="1:32" ht="33.75" customHeight="1" x14ac:dyDescent="0.25">
      <c r="A257" s="56"/>
      <c r="B257" s="56"/>
      <c r="C257" s="56"/>
      <c r="D257" s="56"/>
      <c r="E257" s="57"/>
      <c r="F257" s="58"/>
      <c r="G257" s="56"/>
      <c r="H257" s="56"/>
      <c r="I257" s="59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</row>
    <row r="258" spans="1:32" ht="13.5" customHeight="1" x14ac:dyDescent="0.25">
      <c r="A258" s="56"/>
      <c r="B258" s="56"/>
      <c r="C258" s="56"/>
      <c r="D258" s="56"/>
      <c r="E258" s="57"/>
      <c r="F258" s="58"/>
      <c r="G258" s="56"/>
      <c r="H258" s="56"/>
      <c r="I258" s="59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</row>
    <row r="259" spans="1:32" ht="33.75" customHeight="1" x14ac:dyDescent="0.25">
      <c r="A259" s="56"/>
      <c r="B259" s="56"/>
      <c r="C259" s="56"/>
      <c r="D259" s="56"/>
      <c r="E259" s="57"/>
      <c r="F259" s="58"/>
      <c r="G259" s="56"/>
      <c r="H259" s="56"/>
      <c r="I259" s="59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</row>
    <row r="260" spans="1:32" ht="13.5" customHeight="1" x14ac:dyDescent="0.25">
      <c r="A260" s="56"/>
      <c r="B260" s="56"/>
      <c r="C260" s="56"/>
      <c r="D260" s="56"/>
      <c r="E260" s="57"/>
      <c r="F260" s="58"/>
      <c r="G260" s="56"/>
      <c r="H260" s="56"/>
      <c r="I260" s="59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</row>
    <row r="261" spans="1:32" ht="13.5" customHeight="1" x14ac:dyDescent="0.25">
      <c r="A261" s="56"/>
      <c r="B261" s="56"/>
      <c r="C261" s="56"/>
      <c r="D261" s="56"/>
      <c r="E261" s="57"/>
      <c r="F261" s="58"/>
      <c r="G261" s="56"/>
      <c r="H261" s="56"/>
      <c r="I261" s="59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</row>
    <row r="262" spans="1:32" ht="13.5" customHeight="1" x14ac:dyDescent="0.25">
      <c r="A262" s="56"/>
      <c r="B262" s="56"/>
      <c r="C262" s="56"/>
      <c r="D262" s="56"/>
      <c r="E262" s="57"/>
      <c r="F262" s="58"/>
      <c r="G262" s="56"/>
      <c r="H262" s="56"/>
      <c r="I262" s="59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</row>
    <row r="263" spans="1:32" ht="13.5" customHeight="1" x14ac:dyDescent="0.25">
      <c r="A263" s="56"/>
      <c r="B263" s="56"/>
      <c r="C263" s="56"/>
      <c r="D263" s="56"/>
      <c r="E263" s="57"/>
      <c r="F263" s="58"/>
      <c r="G263" s="56"/>
      <c r="H263" s="56"/>
      <c r="I263" s="59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</row>
    <row r="264" spans="1:32" ht="13.5" customHeight="1" x14ac:dyDescent="0.25">
      <c r="A264" s="56"/>
      <c r="B264" s="56"/>
      <c r="C264" s="56"/>
      <c r="D264" s="56"/>
      <c r="E264" s="57"/>
      <c r="F264" s="58"/>
      <c r="G264" s="56"/>
      <c r="H264" s="56"/>
      <c r="I264" s="59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</row>
    <row r="265" spans="1:32" ht="13.5" customHeight="1" x14ac:dyDescent="0.25">
      <c r="A265" s="56"/>
      <c r="B265" s="56"/>
      <c r="C265" s="56"/>
      <c r="D265" s="56"/>
      <c r="E265" s="57"/>
      <c r="F265" s="58"/>
      <c r="G265" s="56"/>
      <c r="H265" s="56"/>
      <c r="I265" s="59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</row>
    <row r="266" spans="1:32" ht="13.5" customHeight="1" x14ac:dyDescent="0.25">
      <c r="A266" s="56"/>
      <c r="B266" s="56"/>
      <c r="C266" s="56"/>
      <c r="D266" s="56"/>
      <c r="E266" s="57"/>
      <c r="F266" s="58"/>
      <c r="G266" s="56"/>
      <c r="H266" s="56"/>
      <c r="I266" s="59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</row>
    <row r="267" spans="1:32" ht="13.5" customHeight="1" x14ac:dyDescent="0.25">
      <c r="A267" s="56"/>
      <c r="B267" s="56"/>
      <c r="C267" s="56"/>
      <c r="D267" s="56"/>
      <c r="E267" s="57"/>
      <c r="F267" s="58"/>
      <c r="G267" s="56"/>
      <c r="H267" s="56"/>
      <c r="I267" s="59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</row>
    <row r="268" spans="1:32" ht="13.5" customHeight="1" x14ac:dyDescent="0.25">
      <c r="A268" s="56"/>
      <c r="B268" s="56"/>
      <c r="C268" s="56"/>
      <c r="D268" s="56"/>
      <c r="E268" s="57"/>
      <c r="F268" s="58"/>
      <c r="G268" s="56"/>
      <c r="H268" s="56"/>
      <c r="I268" s="59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</row>
    <row r="269" spans="1:32" ht="13.5" customHeight="1" x14ac:dyDescent="0.25">
      <c r="A269" s="56"/>
      <c r="B269" s="56"/>
      <c r="C269" s="56"/>
      <c r="D269" s="56"/>
      <c r="E269" s="57"/>
      <c r="F269" s="58"/>
      <c r="G269" s="56"/>
      <c r="H269" s="56"/>
      <c r="I269" s="59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</row>
    <row r="270" spans="1:32" ht="13.5" customHeight="1" x14ac:dyDescent="0.25">
      <c r="A270" s="56"/>
      <c r="B270" s="56"/>
      <c r="C270" s="56"/>
      <c r="D270" s="56"/>
      <c r="E270" s="57"/>
      <c r="F270" s="58"/>
      <c r="G270" s="56"/>
      <c r="H270" s="56"/>
      <c r="I270" s="59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</row>
    <row r="271" spans="1:32" ht="13.5" customHeight="1" x14ac:dyDescent="0.25">
      <c r="A271" s="56"/>
      <c r="B271" s="56"/>
      <c r="C271" s="56"/>
      <c r="D271" s="56"/>
      <c r="E271" s="57"/>
      <c r="F271" s="58"/>
      <c r="G271" s="56"/>
      <c r="H271" s="56"/>
      <c r="I271" s="59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</row>
    <row r="272" spans="1:32" ht="13.5" customHeight="1" x14ac:dyDescent="0.25">
      <c r="A272" s="56"/>
      <c r="B272" s="56"/>
      <c r="C272" s="56"/>
      <c r="D272" s="56"/>
      <c r="E272" s="57"/>
      <c r="F272" s="58"/>
      <c r="G272" s="56"/>
      <c r="H272" s="56"/>
      <c r="I272" s="59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</row>
    <row r="273" spans="1:32" ht="13.5" customHeight="1" x14ac:dyDescent="0.25">
      <c r="A273" s="56"/>
      <c r="B273" s="56"/>
      <c r="C273" s="56"/>
      <c r="D273" s="56"/>
      <c r="E273" s="57"/>
      <c r="F273" s="58"/>
      <c r="G273" s="56"/>
      <c r="H273" s="56"/>
      <c r="I273" s="59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</row>
    <row r="274" spans="1:32" ht="13.5" customHeight="1" x14ac:dyDescent="0.25">
      <c r="A274" s="56"/>
      <c r="B274" s="56"/>
      <c r="C274" s="56"/>
      <c r="D274" s="56"/>
      <c r="E274" s="57"/>
      <c r="F274" s="58"/>
      <c r="G274" s="56"/>
      <c r="H274" s="56"/>
      <c r="I274" s="59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</row>
    <row r="275" spans="1:32" ht="13.5" customHeight="1" x14ac:dyDescent="0.25">
      <c r="A275" s="56"/>
      <c r="B275" s="56"/>
      <c r="C275" s="56"/>
      <c r="D275" s="56"/>
      <c r="E275" s="57"/>
      <c r="F275" s="58"/>
      <c r="G275" s="56"/>
      <c r="H275" s="56"/>
      <c r="I275" s="59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</row>
    <row r="276" spans="1:32" ht="13.5" customHeight="1" x14ac:dyDescent="0.25">
      <c r="A276" s="56"/>
      <c r="B276" s="56"/>
      <c r="C276" s="56"/>
      <c r="D276" s="56"/>
      <c r="E276" s="57"/>
      <c r="F276" s="58"/>
      <c r="G276" s="56"/>
      <c r="H276" s="56"/>
      <c r="I276" s="59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</row>
    <row r="277" spans="1:32" ht="13.5" customHeight="1" x14ac:dyDescent="0.25">
      <c r="A277" s="56"/>
      <c r="B277" s="56"/>
      <c r="C277" s="56"/>
      <c r="D277" s="56"/>
      <c r="E277" s="57"/>
      <c r="F277" s="58"/>
      <c r="G277" s="56"/>
      <c r="H277" s="56"/>
      <c r="I277" s="59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</row>
    <row r="278" spans="1:32" ht="13.5" customHeight="1" x14ac:dyDescent="0.25">
      <c r="A278" s="56"/>
      <c r="B278" s="56"/>
      <c r="C278" s="56"/>
      <c r="D278" s="56"/>
      <c r="E278" s="57"/>
      <c r="F278" s="58"/>
      <c r="G278" s="56"/>
      <c r="H278" s="56"/>
      <c r="I278" s="59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</row>
    <row r="279" spans="1:32" ht="13.5" customHeight="1" x14ac:dyDescent="0.25">
      <c r="A279" s="56"/>
      <c r="B279" s="56"/>
      <c r="C279" s="56"/>
      <c r="D279" s="56"/>
      <c r="E279" s="57"/>
      <c r="F279" s="58"/>
      <c r="G279" s="56"/>
      <c r="H279" s="56"/>
      <c r="I279" s="59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</row>
    <row r="280" spans="1:32" ht="13.5" customHeight="1" x14ac:dyDescent="0.25">
      <c r="A280" s="56"/>
      <c r="B280" s="56"/>
      <c r="C280" s="56"/>
      <c r="D280" s="56"/>
      <c r="E280" s="57"/>
      <c r="F280" s="58"/>
      <c r="G280" s="56"/>
      <c r="H280" s="56"/>
      <c r="I280" s="59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</row>
    <row r="281" spans="1:32" ht="13.5" customHeight="1" x14ac:dyDescent="0.25">
      <c r="A281" s="56"/>
      <c r="B281" s="56"/>
      <c r="C281" s="56"/>
      <c r="D281" s="56"/>
      <c r="E281" s="57"/>
      <c r="F281" s="58"/>
      <c r="G281" s="56"/>
      <c r="H281" s="56"/>
      <c r="I281" s="59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</row>
    <row r="282" spans="1:32" ht="13.5" customHeight="1" x14ac:dyDescent="0.25">
      <c r="A282" s="56"/>
      <c r="B282" s="56"/>
      <c r="C282" s="56"/>
      <c r="D282" s="56"/>
      <c r="E282" s="57"/>
      <c r="F282" s="58"/>
      <c r="G282" s="56"/>
      <c r="H282" s="56"/>
      <c r="I282" s="59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</row>
    <row r="283" spans="1:32" ht="13.5" customHeight="1" x14ac:dyDescent="0.25">
      <c r="A283" s="56"/>
      <c r="B283" s="56"/>
      <c r="C283" s="56"/>
      <c r="D283" s="56"/>
      <c r="E283" s="57"/>
      <c r="F283" s="58"/>
      <c r="G283" s="56"/>
      <c r="H283" s="56"/>
      <c r="I283" s="59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</row>
    <row r="284" spans="1:32" ht="13.5" customHeight="1" x14ac:dyDescent="0.25">
      <c r="A284" s="56"/>
      <c r="B284" s="56"/>
      <c r="C284" s="56"/>
      <c r="D284" s="56"/>
      <c r="E284" s="57"/>
      <c r="F284" s="58"/>
      <c r="G284" s="56"/>
      <c r="H284" s="56"/>
      <c r="I284" s="59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</row>
    <row r="285" spans="1:32" ht="13.5" customHeight="1" x14ac:dyDescent="0.25">
      <c r="A285" s="56"/>
      <c r="B285" s="56"/>
      <c r="C285" s="56"/>
      <c r="D285" s="56"/>
      <c r="E285" s="57"/>
      <c r="F285" s="58"/>
      <c r="G285" s="56"/>
      <c r="H285" s="56"/>
      <c r="I285" s="59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</row>
    <row r="286" spans="1:32" ht="13.5" customHeight="1" x14ac:dyDescent="0.25">
      <c r="A286" s="56"/>
      <c r="B286" s="56"/>
      <c r="C286" s="56"/>
      <c r="D286" s="56"/>
      <c r="E286" s="57"/>
      <c r="F286" s="58"/>
      <c r="G286" s="56"/>
      <c r="H286" s="56"/>
      <c r="I286" s="59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</row>
    <row r="287" spans="1:32" ht="13.5" customHeight="1" x14ac:dyDescent="0.25">
      <c r="A287" s="56"/>
      <c r="B287" s="56"/>
      <c r="C287" s="56"/>
      <c r="D287" s="56"/>
      <c r="E287" s="57"/>
      <c r="F287" s="58"/>
      <c r="G287" s="56"/>
      <c r="H287" s="56"/>
      <c r="I287" s="59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</row>
    <row r="288" spans="1:32" ht="13.5" customHeight="1" x14ac:dyDescent="0.25">
      <c r="A288" s="56"/>
      <c r="B288" s="56"/>
      <c r="C288" s="56"/>
      <c r="D288" s="56"/>
      <c r="E288" s="57"/>
      <c r="F288" s="58"/>
      <c r="G288" s="56"/>
      <c r="H288" s="56"/>
      <c r="I288" s="59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</row>
    <row r="289" spans="1:32" ht="13.5" customHeight="1" x14ac:dyDescent="0.25">
      <c r="A289" s="56"/>
      <c r="B289" s="56"/>
      <c r="C289" s="56"/>
      <c r="D289" s="56"/>
      <c r="E289" s="57"/>
      <c r="F289" s="58"/>
      <c r="G289" s="56"/>
      <c r="H289" s="56"/>
      <c r="I289" s="59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</row>
    <row r="290" spans="1:32" ht="13.5" customHeight="1" x14ac:dyDescent="0.25">
      <c r="A290" s="56"/>
      <c r="B290" s="56"/>
      <c r="C290" s="56"/>
      <c r="D290" s="56"/>
      <c r="E290" s="57"/>
      <c r="F290" s="58"/>
      <c r="G290" s="56"/>
      <c r="H290" s="56"/>
      <c r="I290" s="59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</row>
    <row r="291" spans="1:32" ht="13.5" customHeight="1" x14ac:dyDescent="0.25">
      <c r="A291" s="56"/>
      <c r="B291" s="56"/>
      <c r="C291" s="56"/>
      <c r="D291" s="56"/>
      <c r="E291" s="57"/>
      <c r="F291" s="58"/>
      <c r="G291" s="56"/>
      <c r="H291" s="56"/>
      <c r="I291" s="59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</row>
    <row r="292" spans="1:32" ht="13.5" customHeight="1" x14ac:dyDescent="0.25">
      <c r="A292" s="56"/>
      <c r="B292" s="56"/>
      <c r="C292" s="56"/>
      <c r="D292" s="56"/>
      <c r="E292" s="57"/>
      <c r="F292" s="58"/>
      <c r="G292" s="56"/>
      <c r="H292" s="56"/>
      <c r="I292" s="59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</row>
    <row r="293" spans="1:32" ht="13.5" customHeight="1" x14ac:dyDescent="0.25">
      <c r="A293" s="56"/>
      <c r="B293" s="56"/>
      <c r="C293" s="56"/>
      <c r="D293" s="56"/>
      <c r="E293" s="57"/>
      <c r="F293" s="58"/>
      <c r="G293" s="56"/>
      <c r="H293" s="56"/>
      <c r="I293" s="59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</row>
    <row r="294" spans="1:32" ht="13.5" customHeight="1" x14ac:dyDescent="0.25">
      <c r="A294" s="56"/>
      <c r="B294" s="56"/>
      <c r="C294" s="56"/>
      <c r="D294" s="56"/>
      <c r="E294" s="57"/>
      <c r="F294" s="58"/>
      <c r="G294" s="56"/>
      <c r="H294" s="56"/>
      <c r="I294" s="59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</row>
    <row r="295" spans="1:32" ht="13.5" customHeight="1" x14ac:dyDescent="0.25">
      <c r="A295" s="56"/>
      <c r="B295" s="56"/>
      <c r="C295" s="56"/>
      <c r="D295" s="56"/>
      <c r="E295" s="57"/>
      <c r="F295" s="58"/>
      <c r="G295" s="56"/>
      <c r="H295" s="56"/>
      <c r="I295" s="59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</row>
    <row r="296" spans="1:32" ht="13.5" customHeight="1" x14ac:dyDescent="0.25">
      <c r="A296" s="56"/>
      <c r="B296" s="56"/>
      <c r="C296" s="56"/>
      <c r="D296" s="56"/>
      <c r="E296" s="57"/>
      <c r="F296" s="58"/>
      <c r="G296" s="56"/>
      <c r="H296" s="56"/>
      <c r="I296" s="59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</row>
    <row r="297" spans="1:32" ht="13.5" customHeight="1" x14ac:dyDescent="0.25">
      <c r="A297" s="56"/>
      <c r="B297" s="56"/>
      <c r="C297" s="56"/>
      <c r="D297" s="56"/>
      <c r="E297" s="57"/>
      <c r="F297" s="58"/>
      <c r="G297" s="56"/>
      <c r="H297" s="56"/>
      <c r="I297" s="59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</row>
    <row r="298" spans="1:32" ht="13.5" customHeight="1" x14ac:dyDescent="0.25">
      <c r="A298" s="56"/>
      <c r="B298" s="56"/>
      <c r="C298" s="56"/>
      <c r="D298" s="56"/>
      <c r="E298" s="57"/>
      <c r="F298" s="58"/>
      <c r="G298" s="56"/>
      <c r="H298" s="56"/>
      <c r="I298" s="59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</row>
    <row r="299" spans="1:32" ht="13.5" customHeight="1" x14ac:dyDescent="0.25">
      <c r="A299" s="56"/>
      <c r="B299" s="56"/>
      <c r="C299" s="56"/>
      <c r="D299" s="56"/>
      <c r="E299" s="57"/>
      <c r="F299" s="58"/>
      <c r="G299" s="56"/>
      <c r="H299" s="56"/>
      <c r="I299" s="59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</row>
    <row r="300" spans="1:32" ht="13.5" customHeight="1" x14ac:dyDescent="0.25">
      <c r="A300" s="56"/>
      <c r="B300" s="56"/>
      <c r="C300" s="56"/>
      <c r="D300" s="56"/>
      <c r="E300" s="57"/>
      <c r="F300" s="58"/>
      <c r="G300" s="56"/>
      <c r="H300" s="56"/>
      <c r="I300" s="59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</row>
    <row r="301" spans="1:32" ht="13.5" customHeight="1" x14ac:dyDescent="0.25">
      <c r="A301" s="56"/>
      <c r="B301" s="56"/>
      <c r="C301" s="56"/>
      <c r="D301" s="56"/>
      <c r="E301" s="57"/>
      <c r="F301" s="58"/>
      <c r="G301" s="56"/>
      <c r="H301" s="56"/>
      <c r="I301" s="59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</row>
    <row r="302" spans="1:32" ht="13.5" customHeight="1" x14ac:dyDescent="0.25">
      <c r="A302" s="56"/>
      <c r="B302" s="56"/>
      <c r="C302" s="56"/>
      <c r="D302" s="56"/>
      <c r="E302" s="57"/>
      <c r="F302" s="58"/>
      <c r="G302" s="56"/>
      <c r="H302" s="56"/>
      <c r="I302" s="59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</row>
    <row r="303" spans="1:32" ht="13.5" customHeight="1" x14ac:dyDescent="0.25">
      <c r="A303" s="56"/>
      <c r="B303" s="56"/>
      <c r="C303" s="56"/>
      <c r="D303" s="56"/>
      <c r="E303" s="57"/>
      <c r="F303" s="58"/>
      <c r="G303" s="56"/>
      <c r="H303" s="56"/>
      <c r="I303" s="59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</row>
    <row r="304" spans="1:32" ht="13.5" customHeight="1" x14ac:dyDescent="0.25">
      <c r="A304" s="56"/>
      <c r="B304" s="56"/>
      <c r="C304" s="56"/>
      <c r="D304" s="56"/>
      <c r="E304" s="57"/>
      <c r="F304" s="58"/>
      <c r="G304" s="56"/>
      <c r="H304" s="56"/>
      <c r="I304" s="59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</row>
    <row r="305" spans="1:32" ht="13.5" customHeight="1" x14ac:dyDescent="0.25">
      <c r="A305" s="56"/>
      <c r="B305" s="56"/>
      <c r="C305" s="56"/>
      <c r="D305" s="56"/>
      <c r="E305" s="57"/>
      <c r="F305" s="58"/>
      <c r="G305" s="56"/>
      <c r="H305" s="56"/>
      <c r="I305" s="59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</row>
    <row r="306" spans="1:32" ht="13.5" customHeight="1" x14ac:dyDescent="0.25">
      <c r="A306" s="56"/>
      <c r="B306" s="56"/>
      <c r="C306" s="56"/>
      <c r="D306" s="56"/>
      <c r="E306" s="57"/>
      <c r="F306" s="58"/>
      <c r="G306" s="56"/>
      <c r="H306" s="56"/>
      <c r="I306" s="59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</row>
    <row r="307" spans="1:32" ht="13.5" customHeight="1" x14ac:dyDescent="0.25">
      <c r="A307" s="56"/>
      <c r="B307" s="56"/>
      <c r="C307" s="56"/>
      <c r="D307" s="56"/>
      <c r="E307" s="57"/>
      <c r="F307" s="58"/>
      <c r="G307" s="56"/>
      <c r="H307" s="56"/>
      <c r="I307" s="59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</row>
    <row r="308" spans="1:32" ht="13.5" customHeight="1" x14ac:dyDescent="0.25">
      <c r="A308" s="56"/>
      <c r="B308" s="56"/>
      <c r="C308" s="56"/>
      <c r="D308" s="56"/>
      <c r="E308" s="57"/>
      <c r="F308" s="58"/>
      <c r="G308" s="56"/>
      <c r="H308" s="56"/>
      <c r="I308" s="59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</row>
    <row r="309" spans="1:32" ht="13.5" customHeight="1" x14ac:dyDescent="0.25">
      <c r="A309" s="56"/>
      <c r="B309" s="56"/>
      <c r="C309" s="56"/>
      <c r="D309" s="56"/>
      <c r="E309" s="57"/>
      <c r="F309" s="58"/>
      <c r="G309" s="56"/>
      <c r="H309" s="56"/>
      <c r="I309" s="59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</row>
    <row r="310" spans="1:32" ht="13.5" customHeight="1" x14ac:dyDescent="0.25">
      <c r="A310" s="56"/>
      <c r="B310" s="56"/>
      <c r="C310" s="56"/>
      <c r="D310" s="56"/>
      <c r="E310" s="57"/>
      <c r="F310" s="58"/>
      <c r="G310" s="56"/>
      <c r="H310" s="56"/>
      <c r="I310" s="59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</row>
    <row r="311" spans="1:32" ht="13.5" customHeight="1" x14ac:dyDescent="0.25">
      <c r="A311" s="56"/>
      <c r="B311" s="56"/>
      <c r="C311" s="56"/>
      <c r="D311" s="56"/>
      <c r="E311" s="57"/>
      <c r="F311" s="58"/>
      <c r="G311" s="56"/>
      <c r="H311" s="56"/>
      <c r="I311" s="59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</row>
    <row r="312" spans="1:32" ht="13.5" customHeight="1" x14ac:dyDescent="0.25">
      <c r="A312" s="56"/>
      <c r="B312" s="56"/>
      <c r="C312" s="56"/>
      <c r="D312" s="56"/>
      <c r="E312" s="57"/>
      <c r="F312" s="58"/>
      <c r="G312" s="56"/>
      <c r="H312" s="56"/>
      <c r="I312" s="59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</row>
    <row r="313" spans="1:32" ht="13.5" customHeight="1" x14ac:dyDescent="0.25">
      <c r="A313" s="56"/>
      <c r="B313" s="56"/>
      <c r="C313" s="56"/>
      <c r="D313" s="56"/>
      <c r="E313" s="57"/>
      <c r="F313" s="58"/>
      <c r="G313" s="56"/>
      <c r="H313" s="56"/>
      <c r="I313" s="59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</row>
    <row r="314" spans="1:32" ht="13.5" customHeight="1" x14ac:dyDescent="0.25">
      <c r="A314" s="56"/>
      <c r="B314" s="56"/>
      <c r="C314" s="56"/>
      <c r="D314" s="56"/>
      <c r="E314" s="57"/>
      <c r="F314" s="58"/>
      <c r="G314" s="56"/>
      <c r="H314" s="56"/>
      <c r="I314" s="59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</row>
    <row r="315" spans="1:32" ht="13.5" customHeight="1" x14ac:dyDescent="0.25">
      <c r="A315" s="56"/>
      <c r="B315" s="56"/>
      <c r="C315" s="56"/>
      <c r="D315" s="56"/>
      <c r="E315" s="57"/>
      <c r="F315" s="58"/>
      <c r="G315" s="56"/>
      <c r="H315" s="56"/>
      <c r="I315" s="59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</row>
    <row r="316" spans="1:32" ht="13.5" customHeight="1" x14ac:dyDescent="0.25">
      <c r="A316" s="56"/>
      <c r="B316" s="56"/>
      <c r="C316" s="56"/>
      <c r="D316" s="56"/>
      <c r="E316" s="57"/>
      <c r="F316" s="58"/>
      <c r="G316" s="56"/>
      <c r="H316" s="56"/>
      <c r="I316" s="59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</row>
    <row r="317" spans="1:32" ht="13.5" customHeight="1" x14ac:dyDescent="0.25">
      <c r="A317" s="56"/>
      <c r="B317" s="56"/>
      <c r="C317" s="56"/>
      <c r="D317" s="56"/>
      <c r="E317" s="57"/>
      <c r="F317" s="58"/>
      <c r="G317" s="56"/>
      <c r="H317" s="56"/>
      <c r="I317" s="59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</row>
    <row r="318" spans="1:32" ht="13.5" customHeight="1" x14ac:dyDescent="0.25">
      <c r="A318" s="56"/>
      <c r="B318" s="56"/>
      <c r="C318" s="56"/>
      <c r="D318" s="56"/>
      <c r="E318" s="57"/>
      <c r="F318" s="58"/>
      <c r="G318" s="56"/>
      <c r="H318" s="56"/>
      <c r="I318" s="59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</row>
    <row r="319" spans="1:32" ht="13.5" customHeight="1" x14ac:dyDescent="0.25">
      <c r="A319" s="56"/>
      <c r="B319" s="56"/>
      <c r="C319" s="56"/>
      <c r="D319" s="56"/>
      <c r="E319" s="57"/>
      <c r="F319" s="58"/>
      <c r="G319" s="56"/>
      <c r="H319" s="56"/>
      <c r="I319" s="59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</row>
    <row r="320" spans="1:32" ht="13.5" customHeight="1" x14ac:dyDescent="0.25">
      <c r="A320" s="56"/>
      <c r="B320" s="56"/>
      <c r="C320" s="56"/>
      <c r="D320" s="56"/>
      <c r="E320" s="57"/>
      <c r="F320" s="58"/>
      <c r="G320" s="56"/>
      <c r="H320" s="56"/>
      <c r="I320" s="59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</row>
    <row r="321" spans="1:32" ht="13.5" customHeight="1" x14ac:dyDescent="0.25">
      <c r="A321" s="56"/>
      <c r="B321" s="56"/>
      <c r="C321" s="56"/>
      <c r="D321" s="56"/>
      <c r="E321" s="57"/>
      <c r="F321" s="58"/>
      <c r="G321" s="56"/>
      <c r="H321" s="56"/>
      <c r="I321" s="59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</row>
    <row r="322" spans="1:32" ht="13.5" customHeight="1" x14ac:dyDescent="0.25">
      <c r="A322" s="56"/>
      <c r="B322" s="56"/>
      <c r="C322" s="56"/>
      <c r="D322" s="56"/>
      <c r="E322" s="57"/>
      <c r="F322" s="58"/>
      <c r="G322" s="56"/>
      <c r="H322" s="56"/>
      <c r="I322" s="59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</row>
    <row r="323" spans="1:32" ht="13.5" customHeight="1" x14ac:dyDescent="0.25">
      <c r="A323" s="56"/>
      <c r="B323" s="56"/>
      <c r="C323" s="56"/>
      <c r="D323" s="56"/>
      <c r="E323" s="57"/>
      <c r="F323" s="58"/>
      <c r="G323" s="56"/>
      <c r="H323" s="56"/>
      <c r="I323" s="59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</row>
    <row r="324" spans="1:32" ht="13.5" customHeight="1" x14ac:dyDescent="0.25">
      <c r="A324" s="56"/>
      <c r="B324" s="56"/>
      <c r="C324" s="56"/>
      <c r="D324" s="56"/>
      <c r="E324" s="57"/>
      <c r="F324" s="58"/>
      <c r="G324" s="56"/>
      <c r="H324" s="56"/>
      <c r="I324" s="59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</row>
    <row r="325" spans="1:32" ht="13.5" customHeight="1" x14ac:dyDescent="0.25">
      <c r="A325" s="56"/>
      <c r="B325" s="56"/>
      <c r="C325" s="56"/>
      <c r="D325" s="56"/>
      <c r="E325" s="57"/>
      <c r="F325" s="58"/>
      <c r="G325" s="56"/>
      <c r="H325" s="56"/>
      <c r="I325" s="59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</row>
    <row r="326" spans="1:32" ht="13.5" customHeight="1" x14ac:dyDescent="0.25">
      <c r="A326" s="56"/>
      <c r="B326" s="56"/>
      <c r="C326" s="56"/>
      <c r="D326" s="56"/>
      <c r="E326" s="57"/>
      <c r="F326" s="58"/>
      <c r="G326" s="56"/>
      <c r="H326" s="56"/>
      <c r="I326" s="59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</row>
    <row r="327" spans="1:32" ht="13.5" customHeight="1" x14ac:dyDescent="0.25">
      <c r="A327" s="56"/>
      <c r="B327" s="56"/>
      <c r="C327" s="56"/>
      <c r="D327" s="56"/>
      <c r="E327" s="57"/>
      <c r="F327" s="58"/>
      <c r="G327" s="56"/>
      <c r="H327" s="56"/>
      <c r="I327" s="59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</row>
    <row r="328" spans="1:32" ht="13.5" customHeight="1" x14ac:dyDescent="0.25">
      <c r="A328" s="56"/>
      <c r="B328" s="56"/>
      <c r="C328" s="56"/>
      <c r="D328" s="56"/>
      <c r="E328" s="57"/>
      <c r="F328" s="58"/>
      <c r="G328" s="56"/>
      <c r="H328" s="56"/>
      <c r="I328" s="59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</row>
    <row r="329" spans="1:32" ht="13.5" customHeight="1" x14ac:dyDescent="0.25">
      <c r="A329" s="56"/>
      <c r="B329" s="56"/>
      <c r="C329" s="56"/>
      <c r="D329" s="56"/>
      <c r="E329" s="57"/>
      <c r="F329" s="58"/>
      <c r="G329" s="56"/>
      <c r="H329" s="56"/>
      <c r="I329" s="59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</row>
    <row r="330" spans="1:32" ht="13.5" customHeight="1" x14ac:dyDescent="0.25">
      <c r="A330" s="56"/>
      <c r="B330" s="56"/>
      <c r="C330" s="56"/>
      <c r="D330" s="56"/>
      <c r="E330" s="57"/>
      <c r="F330" s="58"/>
      <c r="G330" s="56"/>
      <c r="H330" s="56"/>
      <c r="I330" s="59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</row>
    <row r="331" spans="1:32" ht="13.5" customHeight="1" x14ac:dyDescent="0.25">
      <c r="A331" s="56"/>
      <c r="B331" s="56"/>
      <c r="C331" s="56"/>
      <c r="D331" s="56"/>
      <c r="E331" s="57"/>
      <c r="F331" s="58"/>
      <c r="G331" s="56"/>
      <c r="H331" s="56"/>
      <c r="I331" s="59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</row>
    <row r="332" spans="1:32" ht="13.5" customHeight="1" x14ac:dyDescent="0.25">
      <c r="A332" s="56"/>
      <c r="B332" s="56"/>
      <c r="C332" s="56"/>
      <c r="D332" s="56"/>
      <c r="E332" s="57"/>
      <c r="F332" s="58"/>
      <c r="G332" s="56"/>
      <c r="H332" s="56"/>
      <c r="I332" s="59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</row>
    <row r="333" spans="1:32" ht="13.5" customHeight="1" x14ac:dyDescent="0.25">
      <c r="A333" s="56"/>
      <c r="B333" s="56"/>
      <c r="C333" s="56"/>
      <c r="D333" s="56"/>
      <c r="E333" s="57"/>
      <c r="F333" s="58"/>
      <c r="G333" s="56"/>
      <c r="H333" s="56"/>
      <c r="I333" s="59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</row>
    <row r="334" spans="1:32" ht="13.5" customHeight="1" x14ac:dyDescent="0.25">
      <c r="A334" s="56"/>
      <c r="B334" s="56"/>
      <c r="C334" s="56"/>
      <c r="D334" s="56"/>
      <c r="E334" s="57"/>
      <c r="F334" s="58"/>
      <c r="G334" s="56"/>
      <c r="H334" s="56"/>
      <c r="I334" s="59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</row>
    <row r="335" spans="1:32" ht="13.5" customHeight="1" x14ac:dyDescent="0.25">
      <c r="A335" s="56"/>
      <c r="B335" s="56"/>
      <c r="C335" s="56"/>
      <c r="D335" s="56"/>
      <c r="E335" s="57"/>
      <c r="F335" s="58"/>
      <c r="G335" s="56"/>
      <c r="H335" s="56"/>
      <c r="I335" s="59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</row>
    <row r="336" spans="1:32" ht="13.5" customHeight="1" x14ac:dyDescent="0.25">
      <c r="A336" s="56"/>
      <c r="B336" s="56"/>
      <c r="C336" s="56"/>
      <c r="D336" s="56"/>
      <c r="E336" s="57"/>
      <c r="F336" s="58"/>
      <c r="G336" s="56"/>
      <c r="H336" s="56"/>
      <c r="I336" s="59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</row>
    <row r="337" spans="1:32" ht="13.5" customHeight="1" x14ac:dyDescent="0.25">
      <c r="A337" s="56"/>
      <c r="B337" s="56"/>
      <c r="C337" s="56"/>
      <c r="D337" s="56"/>
      <c r="E337" s="57"/>
      <c r="F337" s="58"/>
      <c r="G337" s="56"/>
      <c r="H337" s="56"/>
      <c r="I337" s="59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</row>
    <row r="338" spans="1:32" ht="13.5" customHeight="1" x14ac:dyDescent="0.25">
      <c r="A338" s="56"/>
      <c r="B338" s="56"/>
      <c r="C338" s="56"/>
      <c r="D338" s="56"/>
      <c r="E338" s="57"/>
      <c r="F338" s="58"/>
      <c r="G338" s="56"/>
      <c r="H338" s="56"/>
      <c r="I338" s="59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</row>
    <row r="339" spans="1:32" ht="13.5" customHeight="1" x14ac:dyDescent="0.25">
      <c r="A339" s="56"/>
      <c r="B339" s="56"/>
      <c r="C339" s="56"/>
      <c r="D339" s="56"/>
      <c r="E339" s="57"/>
      <c r="F339" s="58"/>
      <c r="G339" s="56"/>
      <c r="H339" s="56"/>
      <c r="I339" s="59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</row>
    <row r="340" spans="1:32" ht="13.5" customHeight="1" x14ac:dyDescent="0.25">
      <c r="A340" s="56"/>
      <c r="B340" s="56"/>
      <c r="C340" s="56"/>
      <c r="D340" s="56"/>
      <c r="E340" s="57"/>
      <c r="F340" s="58"/>
      <c r="G340" s="56"/>
      <c r="H340" s="56"/>
      <c r="I340" s="59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</row>
    <row r="341" spans="1:32" ht="13.5" customHeight="1" x14ac:dyDescent="0.25">
      <c r="A341" s="56"/>
      <c r="B341" s="56"/>
      <c r="C341" s="56"/>
      <c r="D341" s="56"/>
      <c r="E341" s="57"/>
      <c r="F341" s="58"/>
      <c r="G341" s="56"/>
      <c r="H341" s="56"/>
      <c r="I341" s="59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</row>
    <row r="342" spans="1:32" ht="13.5" customHeight="1" x14ac:dyDescent="0.25">
      <c r="A342" s="56"/>
      <c r="B342" s="56"/>
      <c r="C342" s="56"/>
      <c r="D342" s="56"/>
      <c r="E342" s="57"/>
      <c r="F342" s="58"/>
      <c r="G342" s="56"/>
      <c r="H342" s="56"/>
      <c r="I342" s="59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</row>
    <row r="343" spans="1:32" ht="13.5" customHeight="1" x14ac:dyDescent="0.25">
      <c r="A343" s="56"/>
      <c r="B343" s="56"/>
      <c r="C343" s="56"/>
      <c r="D343" s="56"/>
      <c r="E343" s="57"/>
      <c r="F343" s="58"/>
      <c r="G343" s="56"/>
      <c r="H343" s="56"/>
      <c r="I343" s="59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</row>
    <row r="344" spans="1:32" ht="13.5" customHeight="1" x14ac:dyDescent="0.25">
      <c r="A344" s="56"/>
      <c r="B344" s="56"/>
      <c r="C344" s="56"/>
      <c r="D344" s="56"/>
      <c r="E344" s="57"/>
      <c r="F344" s="58"/>
      <c r="G344" s="56"/>
      <c r="H344" s="56"/>
      <c r="I344" s="59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</row>
    <row r="345" spans="1:32" ht="13.5" customHeight="1" x14ac:dyDescent="0.25">
      <c r="A345" s="56"/>
      <c r="B345" s="56"/>
      <c r="C345" s="56"/>
      <c r="D345" s="56"/>
      <c r="E345" s="57"/>
      <c r="F345" s="58"/>
      <c r="G345" s="56"/>
      <c r="H345" s="56"/>
      <c r="I345" s="59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</row>
    <row r="346" spans="1:32" ht="13.5" customHeight="1" x14ac:dyDescent="0.25">
      <c r="A346" s="56"/>
      <c r="B346" s="56"/>
      <c r="C346" s="56"/>
      <c r="D346" s="56"/>
      <c r="E346" s="57"/>
      <c r="F346" s="58"/>
      <c r="G346" s="56"/>
      <c r="H346" s="56"/>
      <c r="I346" s="59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</row>
    <row r="347" spans="1:32" ht="13.5" customHeight="1" x14ac:dyDescent="0.25">
      <c r="A347" s="56"/>
      <c r="B347" s="56"/>
      <c r="C347" s="56"/>
      <c r="D347" s="56"/>
      <c r="E347" s="57"/>
      <c r="F347" s="58"/>
      <c r="G347" s="56"/>
      <c r="H347" s="56"/>
      <c r="I347" s="59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</row>
    <row r="348" spans="1:32" ht="13.5" customHeight="1" x14ac:dyDescent="0.25">
      <c r="A348" s="56"/>
      <c r="B348" s="56"/>
      <c r="C348" s="56"/>
      <c r="D348" s="56"/>
      <c r="E348" s="57"/>
      <c r="F348" s="58"/>
      <c r="G348" s="56"/>
      <c r="H348" s="56"/>
      <c r="I348" s="59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</row>
    <row r="349" spans="1:32" ht="13.5" customHeight="1" x14ac:dyDescent="0.25">
      <c r="A349" s="56"/>
      <c r="B349" s="56"/>
      <c r="C349" s="56"/>
      <c r="D349" s="56"/>
      <c r="E349" s="57"/>
      <c r="F349" s="58"/>
      <c r="G349" s="56"/>
      <c r="H349" s="56"/>
      <c r="I349" s="59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</row>
    <row r="350" spans="1:32" ht="13.5" customHeight="1" x14ac:dyDescent="0.25">
      <c r="A350" s="56"/>
      <c r="B350" s="56"/>
      <c r="C350" s="56"/>
      <c r="D350" s="56"/>
      <c r="E350" s="57"/>
      <c r="F350" s="58"/>
      <c r="G350" s="56"/>
      <c r="H350" s="56"/>
      <c r="I350" s="59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</row>
    <row r="351" spans="1:32" ht="13.5" customHeight="1" x14ac:dyDescent="0.25">
      <c r="A351" s="56"/>
      <c r="B351" s="56"/>
      <c r="C351" s="56"/>
      <c r="D351" s="56"/>
      <c r="E351" s="57"/>
      <c r="F351" s="58"/>
      <c r="G351" s="56"/>
      <c r="H351" s="56"/>
      <c r="I351" s="59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</row>
    <row r="352" spans="1:32" ht="13.5" customHeight="1" x14ac:dyDescent="0.25">
      <c r="A352" s="56"/>
      <c r="B352" s="56"/>
      <c r="C352" s="56"/>
      <c r="D352" s="56"/>
      <c r="E352" s="57"/>
      <c r="F352" s="58"/>
      <c r="G352" s="56"/>
      <c r="H352" s="56"/>
      <c r="I352" s="59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</row>
    <row r="353" spans="1:32" ht="13.5" customHeight="1" x14ac:dyDescent="0.25">
      <c r="A353" s="56"/>
      <c r="B353" s="56"/>
      <c r="C353" s="56"/>
      <c r="D353" s="56"/>
      <c r="E353" s="57"/>
      <c r="F353" s="58"/>
      <c r="G353" s="56"/>
      <c r="H353" s="56"/>
      <c r="I353" s="59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</row>
    <row r="354" spans="1:32" ht="13.5" customHeight="1" x14ac:dyDescent="0.25">
      <c r="A354" s="56"/>
      <c r="B354" s="56"/>
      <c r="C354" s="56"/>
      <c r="D354" s="56"/>
      <c r="E354" s="57"/>
      <c r="F354" s="58"/>
      <c r="G354" s="56"/>
      <c r="H354" s="56"/>
      <c r="I354" s="59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</row>
    <row r="355" spans="1:32" ht="13.5" customHeight="1" x14ac:dyDescent="0.25">
      <c r="A355" s="56"/>
      <c r="B355" s="56"/>
      <c r="C355" s="56"/>
      <c r="D355" s="56"/>
      <c r="E355" s="57"/>
      <c r="F355" s="58"/>
      <c r="G355" s="56"/>
      <c r="H355" s="56"/>
      <c r="I355" s="59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</row>
    <row r="356" spans="1:32" ht="13.5" customHeight="1" x14ac:dyDescent="0.25">
      <c r="A356" s="56"/>
      <c r="B356" s="56"/>
      <c r="C356" s="56"/>
      <c r="D356" s="56"/>
      <c r="E356" s="57"/>
      <c r="F356" s="58"/>
      <c r="G356" s="56"/>
      <c r="H356" s="56"/>
      <c r="I356" s="59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</row>
    <row r="357" spans="1:32" ht="13.5" customHeight="1" x14ac:dyDescent="0.25">
      <c r="A357" s="56"/>
      <c r="B357" s="56"/>
      <c r="C357" s="56"/>
      <c r="D357" s="56"/>
      <c r="E357" s="57"/>
      <c r="F357" s="58"/>
      <c r="G357" s="56"/>
      <c r="H357" s="56"/>
      <c r="I357" s="59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</row>
    <row r="358" spans="1:32" ht="13.5" customHeight="1" x14ac:dyDescent="0.25">
      <c r="A358" s="56"/>
      <c r="B358" s="56"/>
      <c r="C358" s="56"/>
      <c r="D358" s="56"/>
      <c r="E358" s="57"/>
      <c r="F358" s="58"/>
      <c r="G358" s="56"/>
      <c r="H358" s="56"/>
      <c r="I358" s="59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</row>
    <row r="359" spans="1:32" ht="13.5" customHeight="1" x14ac:dyDescent="0.25">
      <c r="A359" s="56"/>
      <c r="B359" s="56"/>
      <c r="C359" s="56"/>
      <c r="D359" s="56"/>
      <c r="E359" s="57"/>
      <c r="F359" s="58"/>
      <c r="G359" s="56"/>
      <c r="H359" s="56"/>
      <c r="I359" s="59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</row>
    <row r="360" spans="1:32" ht="13.5" customHeight="1" x14ac:dyDescent="0.25">
      <c r="A360" s="56"/>
      <c r="B360" s="56"/>
      <c r="C360" s="56"/>
      <c r="D360" s="56"/>
      <c r="E360" s="57"/>
      <c r="F360" s="58"/>
      <c r="G360" s="56"/>
      <c r="H360" s="56"/>
      <c r="I360" s="59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</row>
    <row r="361" spans="1:32" ht="13.5" customHeight="1" x14ac:dyDescent="0.25">
      <c r="A361" s="56"/>
      <c r="B361" s="56"/>
      <c r="C361" s="56"/>
      <c r="D361" s="56"/>
      <c r="E361" s="57"/>
      <c r="F361" s="58"/>
      <c r="G361" s="56"/>
      <c r="H361" s="56"/>
      <c r="I361" s="59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</row>
    <row r="362" spans="1:32" ht="13.5" customHeight="1" x14ac:dyDescent="0.25">
      <c r="A362" s="56"/>
      <c r="B362" s="56"/>
      <c r="C362" s="56"/>
      <c r="D362" s="56"/>
      <c r="E362" s="57"/>
      <c r="F362" s="58"/>
      <c r="G362" s="56"/>
      <c r="H362" s="56"/>
      <c r="I362" s="59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</row>
    <row r="363" spans="1:32" ht="13.5" customHeight="1" x14ac:dyDescent="0.25">
      <c r="A363" s="56"/>
      <c r="B363" s="56"/>
      <c r="C363" s="56"/>
      <c r="D363" s="56"/>
      <c r="E363" s="57"/>
      <c r="F363" s="58"/>
      <c r="G363" s="56"/>
      <c r="H363" s="56"/>
      <c r="I363" s="59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</row>
    <row r="364" spans="1:32" ht="13.5" customHeight="1" x14ac:dyDescent="0.25">
      <c r="A364" s="56"/>
      <c r="B364" s="56"/>
      <c r="C364" s="56"/>
      <c r="D364" s="56"/>
      <c r="E364" s="57"/>
      <c r="F364" s="58"/>
      <c r="G364" s="56"/>
      <c r="H364" s="56"/>
      <c r="I364" s="59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</row>
    <row r="365" spans="1:32" ht="13.5" customHeight="1" x14ac:dyDescent="0.25">
      <c r="A365" s="56"/>
      <c r="B365" s="56"/>
      <c r="C365" s="56"/>
      <c r="D365" s="56"/>
      <c r="E365" s="57"/>
      <c r="F365" s="58"/>
      <c r="G365" s="56"/>
      <c r="H365" s="56"/>
      <c r="I365" s="59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</row>
    <row r="366" spans="1:32" ht="13.5" customHeight="1" x14ac:dyDescent="0.25">
      <c r="A366" s="56"/>
      <c r="B366" s="56"/>
      <c r="C366" s="56"/>
      <c r="D366" s="56"/>
      <c r="E366" s="57"/>
      <c r="F366" s="58"/>
      <c r="G366" s="56"/>
      <c r="H366" s="56"/>
      <c r="I366" s="59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</row>
    <row r="367" spans="1:32" ht="13.5" customHeight="1" x14ac:dyDescent="0.25">
      <c r="A367" s="56"/>
      <c r="B367" s="56"/>
      <c r="C367" s="56"/>
      <c r="D367" s="56"/>
      <c r="E367" s="57"/>
      <c r="F367" s="58"/>
      <c r="G367" s="56"/>
      <c r="H367" s="56"/>
      <c r="I367" s="59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</row>
    <row r="368" spans="1:32" ht="13.5" customHeight="1" x14ac:dyDescent="0.25">
      <c r="A368" s="56"/>
      <c r="B368" s="56"/>
      <c r="C368" s="56"/>
      <c r="D368" s="56"/>
      <c r="E368" s="57"/>
      <c r="F368" s="58"/>
      <c r="G368" s="56"/>
      <c r="H368" s="56"/>
      <c r="I368" s="59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</row>
    <row r="369" spans="1:32" ht="13.5" customHeight="1" x14ac:dyDescent="0.25">
      <c r="A369" s="56"/>
      <c r="B369" s="56"/>
      <c r="C369" s="56"/>
      <c r="D369" s="56"/>
      <c r="E369" s="57"/>
      <c r="F369" s="58"/>
      <c r="G369" s="56"/>
      <c r="H369" s="56"/>
      <c r="I369" s="59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</row>
    <row r="370" spans="1:32" ht="13.5" customHeight="1" x14ac:dyDescent="0.25">
      <c r="A370" s="56"/>
      <c r="B370" s="56"/>
      <c r="C370" s="56"/>
      <c r="D370" s="56"/>
      <c r="E370" s="57"/>
      <c r="F370" s="58"/>
      <c r="G370" s="56"/>
      <c r="H370" s="56"/>
      <c r="I370" s="59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</row>
    <row r="371" spans="1:32" ht="13.5" customHeight="1" x14ac:dyDescent="0.25">
      <c r="A371" s="56"/>
      <c r="B371" s="56"/>
      <c r="C371" s="56"/>
      <c r="D371" s="56"/>
      <c r="E371" s="57"/>
      <c r="F371" s="58"/>
      <c r="G371" s="56"/>
      <c r="H371" s="56"/>
      <c r="I371" s="59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</row>
    <row r="372" spans="1:32" ht="13.5" customHeight="1" x14ac:dyDescent="0.25">
      <c r="A372" s="56"/>
      <c r="B372" s="56"/>
      <c r="C372" s="56"/>
      <c r="D372" s="56"/>
      <c r="E372" s="57"/>
      <c r="F372" s="58"/>
      <c r="G372" s="56"/>
      <c r="H372" s="56"/>
      <c r="I372" s="59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</row>
    <row r="373" spans="1:32" ht="13.5" customHeight="1" x14ac:dyDescent="0.25">
      <c r="A373" s="56"/>
      <c r="B373" s="56"/>
      <c r="C373" s="56"/>
      <c r="D373" s="56"/>
      <c r="E373" s="57"/>
      <c r="F373" s="58"/>
      <c r="G373" s="56"/>
      <c r="H373" s="56"/>
      <c r="I373" s="59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</row>
    <row r="374" spans="1:32" ht="13.5" customHeight="1" x14ac:dyDescent="0.25">
      <c r="A374" s="56"/>
      <c r="B374" s="56"/>
      <c r="C374" s="56"/>
      <c r="D374" s="56"/>
      <c r="E374" s="57"/>
      <c r="F374" s="58"/>
      <c r="G374" s="56"/>
      <c r="H374" s="56"/>
      <c r="I374" s="59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</row>
    <row r="375" spans="1:32" ht="13.5" customHeight="1" x14ac:dyDescent="0.25">
      <c r="A375" s="56"/>
      <c r="B375" s="56"/>
      <c r="C375" s="56"/>
      <c r="D375" s="56"/>
      <c r="E375" s="57"/>
      <c r="F375" s="58"/>
      <c r="G375" s="56"/>
      <c r="H375" s="56"/>
      <c r="I375" s="59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</row>
    <row r="376" spans="1:32" ht="13.5" customHeight="1" x14ac:dyDescent="0.25">
      <c r="A376" s="56"/>
      <c r="B376" s="56"/>
      <c r="C376" s="56"/>
      <c r="D376" s="56"/>
      <c r="E376" s="57"/>
      <c r="F376" s="58"/>
      <c r="G376" s="56"/>
      <c r="H376" s="56"/>
      <c r="I376" s="59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</row>
    <row r="377" spans="1:32" ht="13.5" customHeight="1" x14ac:dyDescent="0.25">
      <c r="A377" s="56"/>
      <c r="B377" s="56"/>
      <c r="C377" s="56"/>
      <c r="D377" s="56"/>
      <c r="E377" s="57"/>
      <c r="F377" s="58"/>
      <c r="G377" s="56"/>
      <c r="H377" s="56"/>
      <c r="I377" s="59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</row>
    <row r="378" spans="1:32" ht="13.5" customHeight="1" x14ac:dyDescent="0.25">
      <c r="A378" s="56"/>
      <c r="B378" s="56"/>
      <c r="C378" s="56"/>
      <c r="D378" s="56"/>
      <c r="E378" s="57"/>
      <c r="F378" s="58"/>
      <c r="G378" s="56"/>
      <c r="H378" s="56"/>
      <c r="I378" s="59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</row>
    <row r="379" spans="1:32" ht="13.5" customHeight="1" x14ac:dyDescent="0.25">
      <c r="A379" s="56"/>
      <c r="B379" s="56"/>
      <c r="C379" s="56"/>
      <c r="D379" s="56"/>
      <c r="E379" s="57"/>
      <c r="F379" s="58"/>
      <c r="G379" s="56"/>
      <c r="H379" s="56"/>
      <c r="I379" s="59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</row>
    <row r="380" spans="1:32" ht="13.5" customHeight="1" x14ac:dyDescent="0.25">
      <c r="A380" s="56"/>
      <c r="B380" s="56"/>
      <c r="C380" s="56"/>
      <c r="D380" s="56"/>
      <c r="E380" s="57"/>
      <c r="F380" s="58"/>
      <c r="G380" s="56"/>
      <c r="H380" s="56"/>
      <c r="I380" s="59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</row>
    <row r="381" spans="1:32" ht="13.5" customHeight="1" x14ac:dyDescent="0.25">
      <c r="A381" s="56"/>
      <c r="B381" s="56"/>
      <c r="C381" s="56"/>
      <c r="D381" s="56"/>
      <c r="E381" s="57"/>
      <c r="F381" s="58"/>
      <c r="G381" s="56"/>
      <c r="H381" s="56"/>
      <c r="I381" s="59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</row>
    <row r="382" spans="1:32" ht="13.5" customHeight="1" x14ac:dyDescent="0.25">
      <c r="A382" s="56"/>
      <c r="B382" s="56"/>
      <c r="C382" s="56"/>
      <c r="D382" s="56"/>
      <c r="E382" s="57"/>
      <c r="F382" s="58"/>
      <c r="G382" s="56"/>
      <c r="H382" s="56"/>
      <c r="I382" s="59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</row>
    <row r="383" spans="1:32" ht="13.5" customHeight="1" x14ac:dyDescent="0.25">
      <c r="A383" s="56"/>
      <c r="B383" s="56"/>
      <c r="C383" s="56"/>
      <c r="D383" s="56"/>
      <c r="E383" s="57"/>
      <c r="F383" s="58"/>
      <c r="G383" s="56"/>
      <c r="H383" s="56"/>
      <c r="I383" s="59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</row>
    <row r="384" spans="1:32" ht="13.5" customHeight="1" x14ac:dyDescent="0.25">
      <c r="A384" s="56"/>
      <c r="B384" s="56"/>
      <c r="C384" s="56"/>
      <c r="D384" s="56"/>
      <c r="E384" s="57"/>
      <c r="F384" s="58"/>
      <c r="G384" s="56"/>
      <c r="H384" s="56"/>
      <c r="I384" s="59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</row>
    <row r="385" spans="1:32" ht="13.5" customHeight="1" x14ac:dyDescent="0.25">
      <c r="A385" s="56"/>
      <c r="B385" s="56"/>
      <c r="C385" s="56"/>
      <c r="D385" s="56"/>
      <c r="E385" s="57"/>
      <c r="F385" s="58"/>
      <c r="G385" s="56"/>
      <c r="H385" s="56"/>
      <c r="I385" s="59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</row>
    <row r="386" spans="1:32" ht="13.5" customHeight="1" x14ac:dyDescent="0.25">
      <c r="A386" s="56"/>
      <c r="B386" s="56"/>
      <c r="C386" s="56"/>
      <c r="D386" s="56"/>
      <c r="E386" s="57"/>
      <c r="F386" s="58"/>
      <c r="G386" s="56"/>
      <c r="H386" s="56"/>
      <c r="I386" s="59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</row>
    <row r="387" spans="1:32" ht="13.5" customHeight="1" x14ac:dyDescent="0.25">
      <c r="A387" s="56"/>
      <c r="B387" s="56"/>
      <c r="C387" s="56"/>
      <c r="D387" s="56"/>
      <c r="E387" s="57"/>
      <c r="F387" s="58"/>
      <c r="G387" s="56"/>
      <c r="H387" s="56"/>
      <c r="I387" s="59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</row>
    <row r="388" spans="1:32" ht="13.5" customHeight="1" x14ac:dyDescent="0.25">
      <c r="A388" s="56"/>
      <c r="B388" s="56"/>
      <c r="C388" s="56"/>
      <c r="D388" s="56"/>
      <c r="E388" s="57"/>
      <c r="F388" s="58"/>
      <c r="G388" s="56"/>
      <c r="H388" s="56"/>
      <c r="I388" s="59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</row>
    <row r="389" spans="1:32" ht="13.5" customHeight="1" x14ac:dyDescent="0.25">
      <c r="A389" s="56"/>
      <c r="B389" s="56"/>
      <c r="C389" s="56"/>
      <c r="D389" s="56"/>
      <c r="E389" s="57"/>
      <c r="F389" s="58"/>
      <c r="G389" s="56"/>
      <c r="H389" s="56"/>
      <c r="I389" s="59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</row>
    <row r="390" spans="1:32" ht="13.5" customHeight="1" x14ac:dyDescent="0.25">
      <c r="A390" s="56"/>
      <c r="B390" s="56"/>
      <c r="C390" s="56"/>
      <c r="D390" s="56"/>
      <c r="E390" s="57"/>
      <c r="F390" s="58"/>
      <c r="G390" s="56"/>
      <c r="H390" s="56"/>
      <c r="I390" s="59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</row>
    <row r="391" spans="1:32" ht="13.5" customHeight="1" x14ac:dyDescent="0.25">
      <c r="A391" s="56"/>
      <c r="B391" s="56"/>
      <c r="C391" s="56"/>
      <c r="D391" s="56"/>
      <c r="E391" s="57"/>
      <c r="F391" s="58"/>
      <c r="G391" s="56"/>
      <c r="H391" s="56"/>
      <c r="I391" s="59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</row>
    <row r="392" spans="1:32" ht="13.5" customHeight="1" x14ac:dyDescent="0.25">
      <c r="A392" s="56"/>
      <c r="B392" s="56"/>
      <c r="C392" s="56"/>
      <c r="D392" s="56"/>
      <c r="E392" s="57"/>
      <c r="F392" s="58"/>
      <c r="G392" s="56"/>
      <c r="H392" s="56"/>
      <c r="I392" s="59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</row>
    <row r="393" spans="1:32" ht="13.5" customHeight="1" x14ac:dyDescent="0.25">
      <c r="A393" s="56"/>
      <c r="B393" s="56"/>
      <c r="C393" s="56"/>
      <c r="D393" s="56"/>
      <c r="E393" s="57"/>
      <c r="F393" s="58"/>
      <c r="G393" s="56"/>
      <c r="H393" s="56"/>
      <c r="I393" s="59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</row>
    <row r="394" spans="1:32" ht="13.5" customHeight="1" x14ac:dyDescent="0.25">
      <c r="A394" s="56"/>
      <c r="B394" s="56"/>
      <c r="C394" s="56"/>
      <c r="D394" s="56"/>
      <c r="E394" s="57"/>
      <c r="F394" s="58"/>
      <c r="G394" s="56"/>
      <c r="H394" s="56"/>
      <c r="I394" s="59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</row>
    <row r="395" spans="1:32" ht="13.5" customHeight="1" x14ac:dyDescent="0.25">
      <c r="A395" s="56"/>
      <c r="B395" s="56"/>
      <c r="C395" s="56"/>
      <c r="D395" s="56"/>
      <c r="E395" s="57"/>
      <c r="F395" s="58"/>
      <c r="G395" s="56"/>
      <c r="H395" s="56"/>
      <c r="I395" s="59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</row>
    <row r="396" spans="1:32" ht="13.5" customHeight="1" x14ac:dyDescent="0.25">
      <c r="A396" s="56"/>
      <c r="B396" s="56"/>
      <c r="C396" s="56"/>
      <c r="D396" s="56"/>
      <c r="E396" s="57"/>
      <c r="F396" s="58"/>
      <c r="G396" s="56"/>
      <c r="H396" s="56"/>
      <c r="I396" s="59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</row>
    <row r="397" spans="1:32" ht="13.5" customHeight="1" x14ac:dyDescent="0.25">
      <c r="A397" s="56"/>
      <c r="B397" s="56"/>
      <c r="C397" s="56"/>
      <c r="D397" s="56"/>
      <c r="E397" s="57"/>
      <c r="F397" s="58"/>
      <c r="G397" s="56"/>
      <c r="H397" s="56"/>
      <c r="I397" s="59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</row>
    <row r="398" spans="1:32" ht="13.5" customHeight="1" x14ac:dyDescent="0.25">
      <c r="A398" s="56"/>
      <c r="B398" s="56"/>
      <c r="C398" s="56"/>
      <c r="D398" s="56"/>
      <c r="E398" s="57"/>
      <c r="F398" s="58"/>
      <c r="G398" s="56"/>
      <c r="H398" s="56"/>
      <c r="I398" s="59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</row>
    <row r="399" spans="1:32" ht="13.5" customHeight="1" x14ac:dyDescent="0.25">
      <c r="A399" s="56"/>
      <c r="B399" s="56"/>
      <c r="C399" s="56"/>
      <c r="D399" s="56"/>
      <c r="E399" s="57"/>
      <c r="F399" s="58"/>
      <c r="G399" s="56"/>
      <c r="H399" s="56"/>
      <c r="I399" s="59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</row>
    <row r="400" spans="1:32" ht="13.5" customHeight="1" x14ac:dyDescent="0.25">
      <c r="A400" s="56"/>
      <c r="B400" s="56"/>
      <c r="C400" s="56"/>
      <c r="D400" s="56"/>
      <c r="E400" s="57"/>
      <c r="F400" s="58"/>
      <c r="G400" s="56"/>
      <c r="H400" s="56"/>
      <c r="I400" s="59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</row>
    <row r="401" spans="1:32" ht="13.5" customHeight="1" x14ac:dyDescent="0.25">
      <c r="A401" s="56"/>
      <c r="B401" s="56"/>
      <c r="C401" s="56"/>
      <c r="D401" s="56"/>
      <c r="E401" s="57"/>
      <c r="F401" s="58"/>
      <c r="G401" s="56"/>
      <c r="H401" s="56"/>
      <c r="I401" s="59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</row>
    <row r="402" spans="1:32" ht="13.5" customHeight="1" x14ac:dyDescent="0.25">
      <c r="A402" s="56"/>
      <c r="B402" s="56"/>
      <c r="C402" s="56"/>
      <c r="D402" s="56"/>
      <c r="E402" s="57"/>
      <c r="F402" s="58"/>
      <c r="G402" s="56"/>
      <c r="H402" s="56"/>
      <c r="I402" s="59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</row>
    <row r="403" spans="1:32" ht="13.5" customHeight="1" x14ac:dyDescent="0.25">
      <c r="A403" s="56"/>
      <c r="B403" s="56"/>
      <c r="C403" s="56"/>
      <c r="D403" s="56"/>
      <c r="E403" s="57"/>
      <c r="F403" s="58"/>
      <c r="G403" s="56"/>
      <c r="H403" s="56"/>
      <c r="I403" s="59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</row>
    <row r="404" spans="1:32" ht="13.5" customHeight="1" x14ac:dyDescent="0.25">
      <c r="A404" s="56"/>
      <c r="B404" s="56"/>
      <c r="C404" s="56"/>
      <c r="D404" s="56"/>
      <c r="E404" s="57"/>
      <c r="F404" s="58"/>
      <c r="G404" s="56"/>
      <c r="H404" s="56"/>
      <c r="I404" s="59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</row>
    <row r="405" spans="1:32" ht="13.5" customHeight="1" x14ac:dyDescent="0.25">
      <c r="A405" s="56"/>
      <c r="B405" s="56"/>
      <c r="C405" s="56"/>
      <c r="D405" s="56"/>
      <c r="E405" s="57"/>
      <c r="F405" s="58"/>
      <c r="G405" s="56"/>
      <c r="H405" s="56"/>
      <c r="I405" s="59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</row>
    <row r="406" spans="1:32" ht="13.5" customHeight="1" x14ac:dyDescent="0.25">
      <c r="A406" s="56"/>
      <c r="B406" s="56"/>
      <c r="C406" s="56"/>
      <c r="D406" s="56"/>
      <c r="E406" s="57"/>
      <c r="F406" s="58"/>
      <c r="G406" s="56"/>
      <c r="H406" s="56"/>
      <c r="I406" s="59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</row>
    <row r="407" spans="1:32" ht="13.5" customHeight="1" x14ac:dyDescent="0.25">
      <c r="A407" s="56"/>
      <c r="B407" s="56"/>
      <c r="C407" s="56"/>
      <c r="D407" s="56"/>
      <c r="E407" s="57"/>
      <c r="F407" s="58"/>
      <c r="G407" s="56"/>
      <c r="H407" s="56"/>
      <c r="I407" s="59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</row>
    <row r="408" spans="1:32" ht="13.5" customHeight="1" x14ac:dyDescent="0.25">
      <c r="A408" s="56"/>
      <c r="B408" s="56"/>
      <c r="C408" s="56"/>
      <c r="D408" s="56"/>
      <c r="E408" s="57"/>
      <c r="F408" s="58"/>
      <c r="G408" s="56"/>
      <c r="H408" s="56"/>
      <c r="I408" s="59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</row>
    <row r="409" spans="1:32" ht="13.5" customHeight="1" x14ac:dyDescent="0.25">
      <c r="A409" s="56"/>
      <c r="B409" s="56"/>
      <c r="C409" s="56"/>
      <c r="D409" s="56"/>
      <c r="E409" s="57"/>
      <c r="F409" s="58"/>
      <c r="G409" s="56"/>
      <c r="H409" s="56"/>
      <c r="I409" s="59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</row>
    <row r="410" spans="1:32" ht="13.5" customHeight="1" x14ac:dyDescent="0.25">
      <c r="A410" s="56"/>
      <c r="B410" s="56"/>
      <c r="C410" s="56"/>
      <c r="D410" s="56"/>
      <c r="E410" s="57"/>
      <c r="F410" s="58"/>
      <c r="G410" s="56"/>
      <c r="H410" s="56"/>
      <c r="I410" s="59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</row>
    <row r="411" spans="1:32" ht="13.5" customHeight="1" x14ac:dyDescent="0.25">
      <c r="A411" s="56"/>
      <c r="B411" s="56"/>
      <c r="C411" s="56"/>
      <c r="D411" s="56"/>
      <c r="E411" s="57"/>
      <c r="F411" s="58"/>
      <c r="G411" s="56"/>
      <c r="H411" s="56"/>
      <c r="I411" s="59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</row>
    <row r="412" spans="1:32" ht="13.5" customHeight="1" x14ac:dyDescent="0.25">
      <c r="A412" s="56"/>
      <c r="B412" s="56"/>
      <c r="C412" s="56"/>
      <c r="D412" s="56"/>
      <c r="E412" s="57"/>
      <c r="F412" s="58"/>
      <c r="G412" s="56"/>
      <c r="H412" s="56"/>
      <c r="I412" s="59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</row>
    <row r="413" spans="1:32" ht="13.5" customHeight="1" x14ac:dyDescent="0.25">
      <c r="A413" s="56"/>
      <c r="B413" s="56"/>
      <c r="C413" s="56"/>
      <c r="D413" s="56"/>
      <c r="E413" s="57"/>
      <c r="F413" s="58"/>
      <c r="G413" s="56"/>
      <c r="H413" s="56"/>
      <c r="I413" s="59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</row>
    <row r="414" spans="1:32" ht="13.5" customHeight="1" x14ac:dyDescent="0.25">
      <c r="A414" s="56"/>
      <c r="B414" s="56"/>
      <c r="C414" s="56"/>
      <c r="D414" s="56"/>
      <c r="E414" s="57"/>
      <c r="F414" s="58"/>
      <c r="G414" s="56"/>
      <c r="H414" s="56"/>
      <c r="I414" s="59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</row>
    <row r="415" spans="1:32" ht="13.5" customHeight="1" x14ac:dyDescent="0.25">
      <c r="A415" s="56"/>
      <c r="B415" s="56"/>
      <c r="C415" s="56"/>
      <c r="D415" s="56"/>
      <c r="E415" s="57"/>
      <c r="F415" s="58"/>
      <c r="G415" s="56"/>
      <c r="H415" s="56"/>
      <c r="I415" s="59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</row>
    <row r="416" spans="1:32" ht="13.5" customHeight="1" x14ac:dyDescent="0.25">
      <c r="A416" s="56"/>
      <c r="B416" s="56"/>
      <c r="C416" s="56"/>
      <c r="D416" s="56"/>
      <c r="E416" s="57"/>
      <c r="F416" s="58"/>
      <c r="G416" s="56"/>
      <c r="H416" s="56"/>
      <c r="I416" s="59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</row>
    <row r="417" spans="1:32" ht="13.5" customHeight="1" x14ac:dyDescent="0.25">
      <c r="A417" s="56"/>
      <c r="B417" s="56"/>
      <c r="C417" s="56"/>
      <c r="D417" s="56"/>
      <c r="E417" s="57"/>
      <c r="F417" s="58"/>
      <c r="G417" s="56"/>
      <c r="H417" s="56"/>
      <c r="I417" s="59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</row>
    <row r="418" spans="1:32" ht="13.5" customHeight="1" x14ac:dyDescent="0.25">
      <c r="A418" s="56"/>
      <c r="B418" s="56"/>
      <c r="C418" s="56"/>
      <c r="D418" s="56"/>
      <c r="E418" s="57"/>
      <c r="F418" s="58"/>
      <c r="G418" s="56"/>
      <c r="H418" s="56"/>
      <c r="I418" s="59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</row>
    <row r="419" spans="1:32" ht="13.5" customHeight="1" x14ac:dyDescent="0.25">
      <c r="A419" s="56"/>
      <c r="B419" s="56"/>
      <c r="C419" s="56"/>
      <c r="D419" s="56"/>
      <c r="E419" s="57"/>
      <c r="F419" s="58"/>
      <c r="G419" s="56"/>
      <c r="H419" s="56"/>
      <c r="I419" s="59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</row>
    <row r="420" spans="1:32" ht="13.5" customHeight="1" x14ac:dyDescent="0.25">
      <c r="A420" s="56"/>
      <c r="B420" s="56"/>
      <c r="C420" s="56"/>
      <c r="D420" s="56"/>
      <c r="E420" s="57"/>
      <c r="F420" s="58"/>
      <c r="G420" s="56"/>
      <c r="H420" s="56"/>
      <c r="I420" s="59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</row>
    <row r="421" spans="1:32" ht="13.5" customHeight="1" x14ac:dyDescent="0.25">
      <c r="A421" s="56"/>
      <c r="B421" s="56"/>
      <c r="C421" s="56"/>
      <c r="D421" s="56"/>
      <c r="E421" s="57"/>
      <c r="F421" s="58"/>
      <c r="G421" s="56"/>
      <c r="H421" s="56"/>
      <c r="I421" s="59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</row>
    <row r="422" spans="1:32" ht="13.5" customHeight="1" x14ac:dyDescent="0.25">
      <c r="A422" s="56"/>
      <c r="B422" s="56"/>
      <c r="C422" s="56"/>
      <c r="D422" s="56"/>
      <c r="E422" s="57"/>
      <c r="F422" s="58"/>
      <c r="G422" s="56"/>
      <c r="H422" s="56"/>
      <c r="I422" s="59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</row>
    <row r="423" spans="1:32" ht="13.5" customHeight="1" x14ac:dyDescent="0.25">
      <c r="A423" s="56"/>
      <c r="B423" s="56"/>
      <c r="C423" s="56"/>
      <c r="D423" s="56"/>
      <c r="E423" s="57"/>
      <c r="F423" s="58"/>
      <c r="G423" s="56"/>
      <c r="H423" s="56"/>
      <c r="I423" s="59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</row>
    <row r="424" spans="1:32" ht="13.5" customHeight="1" x14ac:dyDescent="0.25">
      <c r="A424" s="56"/>
      <c r="B424" s="56"/>
      <c r="C424" s="56"/>
      <c r="D424" s="56"/>
      <c r="E424" s="57"/>
      <c r="F424" s="58"/>
      <c r="G424" s="56"/>
      <c r="H424" s="56"/>
      <c r="I424" s="59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</row>
    <row r="425" spans="1:32" ht="13.5" customHeight="1" x14ac:dyDescent="0.25">
      <c r="A425" s="56"/>
      <c r="B425" s="56"/>
      <c r="C425" s="56"/>
      <c r="D425" s="56"/>
      <c r="E425" s="57"/>
      <c r="F425" s="58"/>
      <c r="G425" s="56"/>
      <c r="H425" s="56"/>
      <c r="I425" s="59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</row>
    <row r="426" spans="1:32" ht="13.5" customHeight="1" x14ac:dyDescent="0.25">
      <c r="A426" s="56"/>
      <c r="B426" s="56"/>
      <c r="C426" s="56"/>
      <c r="D426" s="56"/>
      <c r="E426" s="57"/>
      <c r="F426" s="58"/>
      <c r="G426" s="56"/>
      <c r="H426" s="56"/>
      <c r="I426" s="59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</row>
    <row r="427" spans="1:32" ht="13.5" customHeight="1" x14ac:dyDescent="0.25">
      <c r="A427" s="56"/>
      <c r="B427" s="56"/>
      <c r="C427" s="56"/>
      <c r="D427" s="56"/>
      <c r="E427" s="57"/>
      <c r="F427" s="58"/>
      <c r="G427" s="56"/>
      <c r="H427" s="56"/>
      <c r="I427" s="59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</row>
    <row r="428" spans="1:32" ht="13.5" customHeight="1" x14ac:dyDescent="0.25">
      <c r="A428" s="56"/>
      <c r="B428" s="56"/>
      <c r="C428" s="56"/>
      <c r="D428" s="56"/>
      <c r="E428" s="57"/>
      <c r="F428" s="58"/>
      <c r="G428" s="56"/>
      <c r="H428" s="56"/>
      <c r="I428" s="59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</row>
    <row r="429" spans="1:32" ht="13.5" customHeight="1" x14ac:dyDescent="0.25">
      <c r="A429" s="56"/>
      <c r="B429" s="56"/>
      <c r="C429" s="56"/>
      <c r="D429" s="56"/>
      <c r="E429" s="57"/>
      <c r="F429" s="58"/>
      <c r="G429" s="56"/>
      <c r="H429" s="56"/>
      <c r="I429" s="59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</row>
    <row r="430" spans="1:32" ht="13.5" customHeight="1" x14ac:dyDescent="0.25">
      <c r="A430" s="56"/>
      <c r="B430" s="56"/>
      <c r="C430" s="56"/>
      <c r="D430" s="56"/>
      <c r="E430" s="57"/>
      <c r="F430" s="58"/>
      <c r="G430" s="56"/>
      <c r="H430" s="56"/>
      <c r="I430" s="59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</row>
    <row r="431" spans="1:32" ht="13.5" customHeight="1" x14ac:dyDescent="0.25">
      <c r="A431" s="56"/>
      <c r="B431" s="56"/>
      <c r="C431" s="56"/>
      <c r="D431" s="56"/>
      <c r="E431" s="57"/>
      <c r="F431" s="58"/>
      <c r="G431" s="56"/>
      <c r="H431" s="56"/>
      <c r="I431" s="59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</row>
    <row r="432" spans="1:32" ht="13.5" customHeight="1" x14ac:dyDescent="0.25">
      <c r="A432" s="56"/>
      <c r="B432" s="56"/>
      <c r="C432" s="56"/>
      <c r="D432" s="56"/>
      <c r="E432" s="57"/>
      <c r="F432" s="58"/>
      <c r="G432" s="56"/>
      <c r="H432" s="56"/>
      <c r="I432" s="59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</row>
    <row r="433" spans="1:32" ht="13.5" customHeight="1" x14ac:dyDescent="0.25">
      <c r="A433" s="56"/>
      <c r="B433" s="56"/>
      <c r="C433" s="56"/>
      <c r="D433" s="56"/>
      <c r="E433" s="57"/>
      <c r="F433" s="58"/>
      <c r="G433" s="56"/>
      <c r="H433" s="56"/>
      <c r="I433" s="59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</row>
    <row r="434" spans="1:32" ht="13.5" customHeight="1" x14ac:dyDescent="0.25">
      <c r="A434" s="56"/>
      <c r="B434" s="56"/>
      <c r="C434" s="56"/>
      <c r="D434" s="56"/>
      <c r="E434" s="57"/>
      <c r="F434" s="58"/>
      <c r="G434" s="56"/>
      <c r="H434" s="56"/>
      <c r="I434" s="59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</row>
    <row r="435" spans="1:32" ht="13.5" customHeight="1" x14ac:dyDescent="0.25">
      <c r="A435" s="56"/>
      <c r="B435" s="56"/>
      <c r="C435" s="56"/>
      <c r="D435" s="56"/>
      <c r="E435" s="57"/>
      <c r="F435" s="58"/>
      <c r="G435" s="56"/>
      <c r="H435" s="56"/>
      <c r="I435" s="59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</row>
    <row r="436" spans="1:32" ht="13.5" customHeight="1" x14ac:dyDescent="0.25">
      <c r="A436" s="56"/>
      <c r="B436" s="56"/>
      <c r="C436" s="56"/>
      <c r="D436" s="56"/>
      <c r="E436" s="57"/>
      <c r="F436" s="58"/>
      <c r="G436" s="56"/>
      <c r="H436" s="56"/>
      <c r="I436" s="59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</row>
    <row r="437" spans="1:32" ht="13.5" customHeight="1" x14ac:dyDescent="0.25">
      <c r="A437" s="56"/>
      <c r="B437" s="56"/>
      <c r="C437" s="56"/>
      <c r="D437" s="56"/>
      <c r="E437" s="57"/>
      <c r="F437" s="58"/>
      <c r="G437" s="56"/>
      <c r="H437" s="56"/>
      <c r="I437" s="59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</row>
    <row r="438" spans="1:32" ht="13.5" customHeight="1" x14ac:dyDescent="0.25">
      <c r="A438" s="56"/>
      <c r="B438" s="56"/>
      <c r="C438" s="56"/>
      <c r="D438" s="56"/>
      <c r="E438" s="57"/>
      <c r="F438" s="58"/>
      <c r="G438" s="56"/>
      <c r="H438" s="56"/>
      <c r="I438" s="59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</row>
    <row r="439" spans="1:32" ht="13.5" customHeight="1" x14ac:dyDescent="0.25">
      <c r="A439" s="56"/>
      <c r="B439" s="56"/>
      <c r="C439" s="56"/>
      <c r="D439" s="56"/>
      <c r="E439" s="57"/>
      <c r="F439" s="58"/>
      <c r="G439" s="56"/>
      <c r="H439" s="56"/>
      <c r="I439" s="59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</row>
    <row r="440" spans="1:32" ht="13.5" customHeight="1" x14ac:dyDescent="0.25">
      <c r="A440" s="56"/>
      <c r="B440" s="56"/>
      <c r="C440" s="56"/>
      <c r="D440" s="56"/>
      <c r="E440" s="57"/>
      <c r="F440" s="58"/>
      <c r="G440" s="56"/>
      <c r="H440" s="56"/>
      <c r="I440" s="59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</row>
    <row r="441" spans="1:32" ht="13.5" customHeight="1" x14ac:dyDescent="0.25">
      <c r="A441" s="56"/>
      <c r="B441" s="56"/>
      <c r="C441" s="56"/>
      <c r="D441" s="56"/>
      <c r="E441" s="57"/>
      <c r="F441" s="58"/>
      <c r="G441" s="56"/>
      <c r="H441" s="56"/>
      <c r="I441" s="59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</row>
    <row r="442" spans="1:32" ht="13.5" customHeight="1" x14ac:dyDescent="0.25">
      <c r="A442" s="56"/>
      <c r="B442" s="56"/>
      <c r="C442" s="56"/>
      <c r="D442" s="56"/>
      <c r="E442" s="57"/>
      <c r="F442" s="58"/>
      <c r="G442" s="56"/>
      <c r="H442" s="56"/>
      <c r="I442" s="59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</row>
    <row r="443" spans="1:32" ht="13.5" customHeight="1" x14ac:dyDescent="0.25">
      <c r="A443" s="56"/>
      <c r="B443" s="56"/>
      <c r="C443" s="56"/>
      <c r="D443" s="56"/>
      <c r="E443" s="57"/>
      <c r="F443" s="58"/>
      <c r="G443" s="56"/>
      <c r="H443" s="56"/>
      <c r="I443" s="59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</row>
    <row r="444" spans="1:32" ht="13.5" customHeight="1" x14ac:dyDescent="0.25">
      <c r="A444" s="56"/>
      <c r="B444" s="56"/>
      <c r="C444" s="56"/>
      <c r="D444" s="56"/>
      <c r="E444" s="57"/>
      <c r="F444" s="58"/>
      <c r="G444" s="56"/>
      <c r="H444" s="56"/>
      <c r="I444" s="59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</row>
    <row r="445" spans="1:32" ht="13.5" customHeight="1" x14ac:dyDescent="0.25">
      <c r="A445" s="56"/>
      <c r="B445" s="56"/>
      <c r="C445" s="56"/>
      <c r="D445" s="56"/>
      <c r="E445" s="57"/>
      <c r="F445" s="58"/>
      <c r="G445" s="56"/>
      <c r="H445" s="56"/>
      <c r="I445" s="59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</row>
    <row r="446" spans="1:32" ht="13.5" customHeight="1" x14ac:dyDescent="0.25">
      <c r="A446" s="56"/>
      <c r="B446" s="56"/>
      <c r="C446" s="56"/>
      <c r="D446" s="56"/>
      <c r="E446" s="57"/>
      <c r="F446" s="58"/>
      <c r="G446" s="56"/>
      <c r="H446" s="56"/>
      <c r="I446" s="59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</row>
    <row r="447" spans="1:32" ht="13.5" customHeight="1" x14ac:dyDescent="0.25">
      <c r="A447" s="56"/>
      <c r="B447" s="56"/>
      <c r="C447" s="56"/>
      <c r="D447" s="56"/>
      <c r="E447" s="57"/>
      <c r="F447" s="58"/>
      <c r="G447" s="56"/>
      <c r="H447" s="56"/>
      <c r="I447" s="59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</row>
    <row r="448" spans="1:32" ht="13.5" customHeight="1" x14ac:dyDescent="0.25">
      <c r="A448" s="56"/>
      <c r="B448" s="56"/>
      <c r="C448" s="56"/>
      <c r="D448" s="56"/>
      <c r="E448" s="57"/>
      <c r="F448" s="58"/>
      <c r="G448" s="56"/>
      <c r="H448" s="56"/>
      <c r="I448" s="59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</row>
    <row r="449" spans="1:32" ht="13.5" customHeight="1" x14ac:dyDescent="0.25">
      <c r="A449" s="56"/>
      <c r="B449" s="56"/>
      <c r="C449" s="56"/>
      <c r="D449" s="56"/>
      <c r="E449" s="57"/>
      <c r="F449" s="58"/>
      <c r="G449" s="56"/>
      <c r="H449" s="56"/>
      <c r="I449" s="59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</row>
    <row r="450" spans="1:32" ht="13.5" customHeight="1" x14ac:dyDescent="0.25">
      <c r="A450" s="56"/>
      <c r="B450" s="56"/>
      <c r="C450" s="56"/>
      <c r="D450" s="56"/>
      <c r="E450" s="57"/>
      <c r="F450" s="58"/>
      <c r="G450" s="56"/>
      <c r="H450" s="56"/>
      <c r="I450" s="59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</row>
    <row r="451" spans="1:32" ht="13.5" customHeight="1" x14ac:dyDescent="0.25">
      <c r="A451" s="56"/>
      <c r="B451" s="56"/>
      <c r="C451" s="56"/>
      <c r="D451" s="56"/>
      <c r="E451" s="57"/>
      <c r="F451" s="58"/>
      <c r="G451" s="56"/>
      <c r="H451" s="56"/>
      <c r="I451" s="59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</row>
    <row r="452" spans="1:32" ht="13.5" customHeight="1" x14ac:dyDescent="0.25">
      <c r="A452" s="56"/>
      <c r="B452" s="56"/>
      <c r="C452" s="56"/>
      <c r="D452" s="56"/>
      <c r="E452" s="57"/>
      <c r="F452" s="58"/>
      <c r="G452" s="56"/>
      <c r="H452" s="56"/>
      <c r="I452" s="59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</row>
    <row r="453" spans="1:32" ht="13.5" customHeight="1" x14ac:dyDescent="0.25">
      <c r="A453" s="56"/>
      <c r="B453" s="56"/>
      <c r="C453" s="56"/>
      <c r="D453" s="56"/>
      <c r="E453" s="57"/>
      <c r="F453" s="58"/>
      <c r="G453" s="56"/>
      <c r="H453" s="56"/>
      <c r="I453" s="59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</row>
    <row r="454" spans="1:32" ht="13.5" customHeight="1" x14ac:dyDescent="0.25">
      <c r="A454" s="56"/>
      <c r="B454" s="56"/>
      <c r="C454" s="56"/>
      <c r="D454" s="56"/>
      <c r="E454" s="57"/>
      <c r="F454" s="58"/>
      <c r="G454" s="56"/>
      <c r="H454" s="56"/>
      <c r="I454" s="59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</row>
    <row r="455" spans="1:32" ht="13.5" customHeight="1" x14ac:dyDescent="0.25">
      <c r="A455" s="56"/>
      <c r="B455" s="56"/>
      <c r="C455" s="56"/>
      <c r="D455" s="56"/>
      <c r="E455" s="57"/>
      <c r="F455" s="58"/>
      <c r="G455" s="56"/>
      <c r="H455" s="56"/>
      <c r="I455" s="59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</row>
    <row r="456" spans="1:32" ht="13.5" customHeight="1" x14ac:dyDescent="0.25">
      <c r="A456" s="56"/>
      <c r="B456" s="56"/>
      <c r="C456" s="56"/>
      <c r="D456" s="56"/>
      <c r="E456" s="57"/>
      <c r="F456" s="58"/>
      <c r="G456" s="56"/>
      <c r="H456" s="56"/>
      <c r="I456" s="59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</row>
    <row r="457" spans="1:32" ht="13.5" customHeight="1" x14ac:dyDescent="0.25">
      <c r="A457" s="56"/>
      <c r="B457" s="56"/>
      <c r="C457" s="56"/>
      <c r="D457" s="56"/>
      <c r="E457" s="57"/>
      <c r="F457" s="58"/>
      <c r="G457" s="56"/>
      <c r="H457" s="56"/>
      <c r="I457" s="59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</row>
    <row r="458" spans="1:32" ht="13.5" customHeight="1" x14ac:dyDescent="0.25">
      <c r="A458" s="56"/>
      <c r="B458" s="56"/>
      <c r="C458" s="56"/>
      <c r="D458" s="56"/>
      <c r="E458" s="57"/>
      <c r="F458" s="58"/>
      <c r="G458" s="56"/>
      <c r="H458" s="56"/>
      <c r="I458" s="59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</row>
    <row r="459" spans="1:32" ht="13.5" customHeight="1" x14ac:dyDescent="0.25">
      <c r="A459" s="56"/>
      <c r="B459" s="56"/>
      <c r="C459" s="56"/>
      <c r="D459" s="56"/>
      <c r="E459" s="57"/>
      <c r="F459" s="58"/>
      <c r="G459" s="56"/>
      <c r="H459" s="56"/>
      <c r="I459" s="59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</row>
    <row r="460" spans="1:32" ht="13.5" customHeight="1" x14ac:dyDescent="0.25">
      <c r="A460" s="56"/>
      <c r="B460" s="56"/>
      <c r="C460" s="56"/>
      <c r="D460" s="56"/>
      <c r="E460" s="57"/>
      <c r="F460" s="58"/>
      <c r="G460" s="56"/>
      <c r="H460" s="56"/>
      <c r="I460" s="59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</row>
    <row r="461" spans="1:32" ht="13.5" customHeight="1" x14ac:dyDescent="0.25">
      <c r="A461" s="56"/>
      <c r="B461" s="56"/>
      <c r="C461" s="56"/>
      <c r="D461" s="56"/>
      <c r="E461" s="57"/>
      <c r="F461" s="58"/>
      <c r="G461" s="56"/>
      <c r="H461" s="56"/>
      <c r="I461" s="59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</row>
    <row r="462" spans="1:32" ht="13.5" customHeight="1" x14ac:dyDescent="0.25">
      <c r="A462" s="56"/>
      <c r="B462" s="56"/>
      <c r="C462" s="56"/>
      <c r="D462" s="56"/>
      <c r="E462" s="57"/>
      <c r="F462" s="58"/>
      <c r="G462" s="56"/>
      <c r="H462" s="56"/>
      <c r="I462" s="59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</row>
    <row r="463" spans="1:32" ht="13.5" customHeight="1" x14ac:dyDescent="0.25">
      <c r="A463" s="56"/>
      <c r="B463" s="56"/>
      <c r="C463" s="56"/>
      <c r="D463" s="56"/>
      <c r="E463" s="57"/>
      <c r="F463" s="58"/>
      <c r="G463" s="56"/>
      <c r="H463" s="56"/>
      <c r="I463" s="59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</row>
    <row r="464" spans="1:32" ht="13.5" customHeight="1" x14ac:dyDescent="0.25">
      <c r="A464" s="56"/>
      <c r="B464" s="56"/>
      <c r="C464" s="56"/>
      <c r="D464" s="56"/>
      <c r="E464" s="57"/>
      <c r="F464" s="58"/>
      <c r="G464" s="56"/>
      <c r="H464" s="56"/>
      <c r="I464" s="59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</row>
    <row r="465" spans="1:32" ht="13.5" customHeight="1" x14ac:dyDescent="0.25">
      <c r="A465" s="56"/>
      <c r="B465" s="56"/>
      <c r="C465" s="56"/>
      <c r="D465" s="56"/>
      <c r="E465" s="57"/>
      <c r="F465" s="58"/>
      <c r="G465" s="56"/>
      <c r="H465" s="56"/>
      <c r="I465" s="59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</row>
    <row r="466" spans="1:32" ht="13.5" customHeight="1" x14ac:dyDescent="0.25">
      <c r="A466" s="56"/>
      <c r="B466" s="56"/>
      <c r="C466" s="56"/>
      <c r="D466" s="56"/>
      <c r="E466" s="57"/>
      <c r="F466" s="58"/>
      <c r="G466" s="56"/>
      <c r="H466" s="56"/>
      <c r="I466" s="59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</row>
    <row r="467" spans="1:32" ht="13.5" customHeight="1" x14ac:dyDescent="0.25">
      <c r="A467" s="56"/>
      <c r="B467" s="56"/>
      <c r="C467" s="56"/>
      <c r="D467" s="56"/>
      <c r="E467" s="57"/>
      <c r="F467" s="58"/>
      <c r="G467" s="56"/>
      <c r="H467" s="56"/>
      <c r="I467" s="59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</row>
    <row r="468" spans="1:32" ht="13.5" customHeight="1" x14ac:dyDescent="0.25">
      <c r="A468" s="56"/>
      <c r="B468" s="56"/>
      <c r="C468" s="56"/>
      <c r="D468" s="56"/>
      <c r="E468" s="57"/>
      <c r="F468" s="58"/>
      <c r="G468" s="56"/>
      <c r="H468" s="56"/>
      <c r="I468" s="59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</row>
    <row r="469" spans="1:32" ht="13.5" customHeight="1" x14ac:dyDescent="0.25">
      <c r="A469" s="56"/>
      <c r="B469" s="56"/>
      <c r="C469" s="56"/>
      <c r="D469" s="56"/>
      <c r="E469" s="57"/>
      <c r="F469" s="58"/>
      <c r="G469" s="56"/>
      <c r="H469" s="56"/>
      <c r="I469" s="59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</row>
    <row r="470" spans="1:32" ht="13.5" customHeight="1" x14ac:dyDescent="0.25">
      <c r="A470" s="56"/>
      <c r="B470" s="56"/>
      <c r="C470" s="56"/>
      <c r="D470" s="56"/>
      <c r="E470" s="57"/>
      <c r="F470" s="58"/>
      <c r="G470" s="56"/>
      <c r="H470" s="56"/>
      <c r="I470" s="59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</row>
    <row r="471" spans="1:32" ht="13.5" customHeight="1" x14ac:dyDescent="0.25">
      <c r="A471" s="56"/>
      <c r="B471" s="56"/>
      <c r="C471" s="56"/>
      <c r="D471" s="56"/>
      <c r="E471" s="57"/>
      <c r="F471" s="58"/>
      <c r="G471" s="56"/>
      <c r="H471" s="56"/>
      <c r="I471" s="59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</row>
    <row r="472" spans="1:32" ht="13.5" customHeight="1" x14ac:dyDescent="0.25">
      <c r="A472" s="56"/>
      <c r="B472" s="56"/>
      <c r="C472" s="56"/>
      <c r="D472" s="56"/>
      <c r="E472" s="57"/>
      <c r="F472" s="58"/>
      <c r="G472" s="56"/>
      <c r="H472" s="56"/>
      <c r="I472" s="59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</row>
    <row r="473" spans="1:32" ht="13.5" customHeight="1" x14ac:dyDescent="0.25">
      <c r="A473" s="56"/>
      <c r="B473" s="56"/>
      <c r="C473" s="56"/>
      <c r="D473" s="56"/>
      <c r="E473" s="57"/>
      <c r="F473" s="58"/>
      <c r="G473" s="56"/>
      <c r="H473" s="56"/>
      <c r="I473" s="59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</row>
    <row r="474" spans="1:32" ht="13.5" customHeight="1" x14ac:dyDescent="0.25">
      <c r="A474" s="56"/>
      <c r="B474" s="56"/>
      <c r="C474" s="56"/>
      <c r="D474" s="56"/>
      <c r="E474" s="57"/>
      <c r="F474" s="58"/>
      <c r="G474" s="56"/>
      <c r="H474" s="56"/>
      <c r="I474" s="59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</row>
    <row r="475" spans="1:32" ht="13.5" customHeight="1" x14ac:dyDescent="0.25">
      <c r="A475" s="56"/>
      <c r="B475" s="56"/>
      <c r="C475" s="56"/>
      <c r="D475" s="56"/>
      <c r="E475" s="57"/>
      <c r="F475" s="58"/>
      <c r="G475" s="56"/>
      <c r="H475" s="56"/>
      <c r="I475" s="59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</row>
    <row r="476" spans="1:32" ht="13.5" customHeight="1" x14ac:dyDescent="0.25">
      <c r="A476" s="56"/>
      <c r="B476" s="56"/>
      <c r="C476" s="56"/>
      <c r="D476" s="56"/>
      <c r="E476" s="57"/>
      <c r="F476" s="58"/>
      <c r="G476" s="56"/>
      <c r="H476" s="56"/>
      <c r="I476" s="59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</row>
    <row r="477" spans="1:32" ht="13.5" customHeight="1" x14ac:dyDescent="0.25">
      <c r="A477" s="56"/>
      <c r="B477" s="56"/>
      <c r="C477" s="56"/>
      <c r="D477" s="56"/>
      <c r="E477" s="57"/>
      <c r="F477" s="58"/>
      <c r="G477" s="56"/>
      <c r="H477" s="56"/>
      <c r="I477" s="59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</row>
    <row r="478" spans="1:32" ht="13.5" customHeight="1" x14ac:dyDescent="0.25">
      <c r="A478" s="56"/>
      <c r="B478" s="56"/>
      <c r="C478" s="56"/>
      <c r="D478" s="56"/>
      <c r="E478" s="57"/>
      <c r="F478" s="58"/>
      <c r="G478" s="56"/>
      <c r="H478" s="56"/>
      <c r="I478" s="59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</row>
    <row r="479" spans="1:32" ht="13.5" customHeight="1" x14ac:dyDescent="0.25">
      <c r="A479" s="56"/>
      <c r="B479" s="56"/>
      <c r="C479" s="56"/>
      <c r="D479" s="56"/>
      <c r="E479" s="57"/>
      <c r="F479" s="58"/>
      <c r="G479" s="56"/>
      <c r="H479" s="56"/>
      <c r="I479" s="59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</row>
    <row r="480" spans="1:32" ht="13.5" customHeight="1" x14ac:dyDescent="0.25">
      <c r="A480" s="56"/>
      <c r="B480" s="56"/>
      <c r="C480" s="56"/>
      <c r="D480" s="56"/>
      <c r="E480" s="57"/>
      <c r="F480" s="58"/>
      <c r="G480" s="56"/>
      <c r="H480" s="56"/>
      <c r="I480" s="59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</row>
    <row r="481" spans="1:32" ht="13.5" customHeight="1" x14ac:dyDescent="0.25">
      <c r="A481" s="56"/>
      <c r="B481" s="56"/>
      <c r="C481" s="56"/>
      <c r="D481" s="56"/>
      <c r="E481" s="57"/>
      <c r="F481" s="58"/>
      <c r="G481" s="56"/>
      <c r="H481" s="56"/>
      <c r="I481" s="59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</row>
    <row r="482" spans="1:32" ht="13.5" customHeight="1" x14ac:dyDescent="0.25">
      <c r="A482" s="56"/>
      <c r="B482" s="56"/>
      <c r="C482" s="56"/>
      <c r="D482" s="56"/>
      <c r="E482" s="57"/>
      <c r="F482" s="58"/>
      <c r="G482" s="56"/>
      <c r="H482" s="56"/>
      <c r="I482" s="59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</row>
    <row r="483" spans="1:32" ht="13.5" customHeight="1" x14ac:dyDescent="0.25">
      <c r="A483" s="56"/>
      <c r="B483" s="56"/>
      <c r="C483" s="56"/>
      <c r="D483" s="56"/>
      <c r="E483" s="57"/>
      <c r="F483" s="58"/>
      <c r="G483" s="56"/>
      <c r="H483" s="56"/>
      <c r="I483" s="59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</row>
    <row r="484" spans="1:32" ht="13.5" customHeight="1" x14ac:dyDescent="0.25">
      <c r="A484" s="56"/>
      <c r="B484" s="56"/>
      <c r="C484" s="56"/>
      <c r="D484" s="56"/>
      <c r="E484" s="57"/>
      <c r="F484" s="58"/>
      <c r="G484" s="56"/>
      <c r="H484" s="56"/>
      <c r="I484" s="59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</row>
    <row r="485" spans="1:32" ht="13.5" customHeight="1" x14ac:dyDescent="0.25">
      <c r="A485" s="56"/>
      <c r="B485" s="56"/>
      <c r="C485" s="56"/>
      <c r="D485" s="56"/>
      <c r="E485" s="57"/>
      <c r="F485" s="58"/>
      <c r="G485" s="56"/>
      <c r="H485" s="56"/>
      <c r="I485" s="59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</row>
    <row r="486" spans="1:32" ht="13.5" customHeight="1" x14ac:dyDescent="0.25">
      <c r="A486" s="56"/>
      <c r="B486" s="56"/>
      <c r="C486" s="56"/>
      <c r="D486" s="56"/>
      <c r="E486" s="57"/>
      <c r="F486" s="58"/>
      <c r="G486" s="56"/>
      <c r="H486" s="56"/>
      <c r="I486" s="59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</row>
    <row r="487" spans="1:32" ht="13.5" customHeight="1" x14ac:dyDescent="0.25">
      <c r="A487" s="56"/>
      <c r="B487" s="56"/>
      <c r="C487" s="56"/>
      <c r="D487" s="56"/>
      <c r="E487" s="57"/>
      <c r="F487" s="58"/>
      <c r="G487" s="56"/>
      <c r="H487" s="56"/>
      <c r="I487" s="59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</row>
    <row r="488" spans="1:32" ht="13.5" customHeight="1" x14ac:dyDescent="0.25">
      <c r="A488" s="56"/>
      <c r="B488" s="56"/>
      <c r="C488" s="56"/>
      <c r="D488" s="56"/>
      <c r="E488" s="57"/>
      <c r="F488" s="58"/>
      <c r="G488" s="56"/>
      <c r="H488" s="56"/>
      <c r="I488" s="59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</row>
    <row r="489" spans="1:32" ht="13.5" customHeight="1" x14ac:dyDescent="0.25">
      <c r="A489" s="56"/>
      <c r="B489" s="56"/>
      <c r="C489" s="56"/>
      <c r="D489" s="56"/>
      <c r="E489" s="57"/>
      <c r="F489" s="58"/>
      <c r="G489" s="56"/>
      <c r="H489" s="56"/>
      <c r="I489" s="59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</row>
    <row r="490" spans="1:32" ht="13.5" customHeight="1" x14ac:dyDescent="0.25">
      <c r="A490" s="56"/>
      <c r="B490" s="56"/>
      <c r="C490" s="56"/>
      <c r="D490" s="56"/>
      <c r="E490" s="57"/>
      <c r="F490" s="58"/>
      <c r="G490" s="56"/>
      <c r="H490" s="56"/>
      <c r="I490" s="59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</row>
    <row r="491" spans="1:32" ht="13.5" customHeight="1" x14ac:dyDescent="0.25">
      <c r="A491" s="56"/>
      <c r="B491" s="56"/>
      <c r="C491" s="56"/>
      <c r="D491" s="56"/>
      <c r="E491" s="57"/>
      <c r="F491" s="58"/>
      <c r="G491" s="56"/>
      <c r="H491" s="56"/>
      <c r="I491" s="59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</row>
    <row r="492" spans="1:32" ht="13.5" customHeight="1" x14ac:dyDescent="0.25">
      <c r="A492" s="56"/>
      <c r="B492" s="56"/>
      <c r="C492" s="56"/>
      <c r="D492" s="56"/>
      <c r="E492" s="57"/>
      <c r="F492" s="58"/>
      <c r="G492" s="56"/>
      <c r="H492" s="56"/>
      <c r="I492" s="59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</row>
    <row r="493" spans="1:32" ht="13.5" customHeight="1" x14ac:dyDescent="0.25">
      <c r="A493" s="56"/>
      <c r="B493" s="56"/>
      <c r="C493" s="56"/>
      <c r="D493" s="56"/>
      <c r="E493" s="57"/>
      <c r="F493" s="58"/>
      <c r="G493" s="56"/>
      <c r="H493" s="56"/>
      <c r="I493" s="59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</row>
    <row r="494" spans="1:32" ht="13.5" customHeight="1" x14ac:dyDescent="0.25">
      <c r="A494" s="56"/>
      <c r="B494" s="56"/>
      <c r="C494" s="56"/>
      <c r="D494" s="56"/>
      <c r="E494" s="57"/>
      <c r="F494" s="58"/>
      <c r="G494" s="56"/>
      <c r="H494" s="56"/>
      <c r="I494" s="59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</row>
    <row r="495" spans="1:32" ht="13.5" customHeight="1" x14ac:dyDescent="0.25">
      <c r="A495" s="56"/>
      <c r="B495" s="56"/>
      <c r="C495" s="56"/>
      <c r="D495" s="56"/>
      <c r="E495" s="57"/>
      <c r="F495" s="58"/>
      <c r="G495" s="56"/>
      <c r="H495" s="56"/>
      <c r="I495" s="59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</row>
    <row r="496" spans="1:32" ht="13.5" customHeight="1" x14ac:dyDescent="0.25">
      <c r="A496" s="56"/>
      <c r="B496" s="56"/>
      <c r="C496" s="56"/>
      <c r="D496" s="56"/>
      <c r="E496" s="57"/>
      <c r="F496" s="58"/>
      <c r="G496" s="56"/>
      <c r="H496" s="56"/>
      <c r="I496" s="59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</row>
    <row r="497" spans="1:32" ht="13.5" customHeight="1" x14ac:dyDescent="0.25">
      <c r="A497" s="56"/>
      <c r="B497" s="56"/>
      <c r="C497" s="56"/>
      <c r="D497" s="56"/>
      <c r="E497" s="57"/>
      <c r="F497" s="58"/>
      <c r="G497" s="56"/>
      <c r="H497" s="56"/>
      <c r="I497" s="59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</row>
    <row r="498" spans="1:32" ht="13.5" customHeight="1" x14ac:dyDescent="0.25">
      <c r="A498" s="56"/>
      <c r="B498" s="56"/>
      <c r="C498" s="56"/>
      <c r="D498" s="56"/>
      <c r="E498" s="57"/>
      <c r="F498" s="58"/>
      <c r="G498" s="56"/>
      <c r="H498" s="56"/>
      <c r="I498" s="59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</row>
    <row r="499" spans="1:32" ht="13.5" customHeight="1" x14ac:dyDescent="0.25">
      <c r="A499" s="56"/>
      <c r="B499" s="56"/>
      <c r="C499" s="56"/>
      <c r="D499" s="56"/>
      <c r="E499" s="57"/>
      <c r="F499" s="58"/>
      <c r="G499" s="56"/>
      <c r="H499" s="56"/>
      <c r="I499" s="59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</row>
    <row r="500" spans="1:32" ht="13.5" customHeight="1" x14ac:dyDescent="0.25">
      <c r="A500" s="56"/>
      <c r="B500" s="56"/>
      <c r="C500" s="56"/>
      <c r="D500" s="56"/>
      <c r="E500" s="57"/>
      <c r="F500" s="58"/>
      <c r="G500" s="56"/>
      <c r="H500" s="56"/>
      <c r="I500" s="59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</row>
    <row r="501" spans="1:32" ht="13.5" customHeight="1" x14ac:dyDescent="0.25">
      <c r="A501" s="56"/>
      <c r="B501" s="56"/>
      <c r="C501" s="56"/>
      <c r="D501" s="56"/>
      <c r="E501" s="57"/>
      <c r="F501" s="58"/>
      <c r="G501" s="56"/>
      <c r="H501" s="56"/>
      <c r="I501" s="59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</row>
    <row r="502" spans="1:32" ht="13.5" customHeight="1" x14ac:dyDescent="0.25">
      <c r="A502" s="56"/>
      <c r="B502" s="56"/>
      <c r="C502" s="56"/>
      <c r="D502" s="56"/>
      <c r="E502" s="57"/>
      <c r="F502" s="58"/>
      <c r="G502" s="56"/>
      <c r="H502" s="56"/>
      <c r="I502" s="59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</row>
    <row r="503" spans="1:32" ht="13.5" customHeight="1" x14ac:dyDescent="0.25">
      <c r="A503" s="56"/>
      <c r="B503" s="56"/>
      <c r="C503" s="56"/>
      <c r="D503" s="56"/>
      <c r="E503" s="57"/>
      <c r="F503" s="58"/>
      <c r="G503" s="56"/>
      <c r="H503" s="56"/>
      <c r="I503" s="59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</row>
    <row r="504" spans="1:32" ht="13.5" customHeight="1" x14ac:dyDescent="0.25">
      <c r="A504" s="56"/>
      <c r="B504" s="56"/>
      <c r="C504" s="56"/>
      <c r="D504" s="56"/>
      <c r="E504" s="57"/>
      <c r="F504" s="58"/>
      <c r="G504" s="56"/>
      <c r="H504" s="56"/>
      <c r="I504" s="59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</row>
    <row r="505" spans="1:32" ht="13.5" customHeight="1" x14ac:dyDescent="0.25">
      <c r="A505" s="56"/>
      <c r="B505" s="56"/>
      <c r="C505" s="56"/>
      <c r="D505" s="56"/>
      <c r="E505" s="57"/>
      <c r="F505" s="58"/>
      <c r="G505" s="56"/>
      <c r="H505" s="56"/>
      <c r="I505" s="59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</row>
    <row r="506" spans="1:32" ht="13.5" customHeight="1" x14ac:dyDescent="0.25">
      <c r="A506" s="56"/>
      <c r="B506" s="56"/>
      <c r="C506" s="56"/>
      <c r="D506" s="56"/>
      <c r="E506" s="57"/>
      <c r="F506" s="58"/>
      <c r="G506" s="56"/>
      <c r="H506" s="56"/>
      <c r="I506" s="59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</row>
    <row r="507" spans="1:32" ht="13.5" customHeight="1" x14ac:dyDescent="0.25">
      <c r="A507" s="56"/>
      <c r="B507" s="56"/>
      <c r="C507" s="56"/>
      <c r="D507" s="56"/>
      <c r="E507" s="57"/>
      <c r="F507" s="58"/>
      <c r="G507" s="56"/>
      <c r="H507" s="56"/>
      <c r="I507" s="59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</row>
    <row r="508" spans="1:32" ht="13.5" customHeight="1" x14ac:dyDescent="0.25">
      <c r="A508" s="56"/>
      <c r="B508" s="56"/>
      <c r="C508" s="56"/>
      <c r="D508" s="56"/>
      <c r="E508" s="57"/>
      <c r="F508" s="58"/>
      <c r="G508" s="56"/>
      <c r="H508" s="56"/>
      <c r="I508" s="59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</row>
    <row r="509" spans="1:32" ht="13.5" customHeight="1" x14ac:dyDescent="0.25">
      <c r="A509" s="56"/>
      <c r="B509" s="56"/>
      <c r="C509" s="56"/>
      <c r="D509" s="56"/>
      <c r="E509" s="57"/>
      <c r="F509" s="58"/>
      <c r="G509" s="56"/>
      <c r="H509" s="56"/>
      <c r="I509" s="59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</row>
    <row r="510" spans="1:32" ht="13.5" customHeight="1" x14ac:dyDescent="0.25">
      <c r="A510" s="56"/>
      <c r="B510" s="56"/>
      <c r="C510" s="56"/>
      <c r="D510" s="56"/>
      <c r="E510" s="57"/>
      <c r="F510" s="58"/>
      <c r="G510" s="56"/>
      <c r="H510" s="56"/>
      <c r="I510" s="59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</row>
    <row r="511" spans="1:32" ht="13.5" customHeight="1" x14ac:dyDescent="0.25">
      <c r="A511" s="56"/>
      <c r="B511" s="56"/>
      <c r="C511" s="56"/>
      <c r="D511" s="56"/>
      <c r="E511" s="57"/>
      <c r="F511" s="58"/>
      <c r="G511" s="56"/>
      <c r="H511" s="56"/>
      <c r="I511" s="59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</row>
    <row r="512" spans="1:32" ht="13.5" customHeight="1" x14ac:dyDescent="0.25">
      <c r="A512" s="56"/>
      <c r="B512" s="56"/>
      <c r="C512" s="56"/>
      <c r="D512" s="56"/>
      <c r="E512" s="57"/>
      <c r="F512" s="58"/>
      <c r="G512" s="56"/>
      <c r="H512" s="56"/>
      <c r="I512" s="59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</row>
    <row r="513" spans="1:32" ht="13.5" customHeight="1" x14ac:dyDescent="0.25">
      <c r="A513" s="56"/>
      <c r="B513" s="56"/>
      <c r="C513" s="56"/>
      <c r="D513" s="56"/>
      <c r="E513" s="57"/>
      <c r="F513" s="58"/>
      <c r="G513" s="56"/>
      <c r="H513" s="56"/>
      <c r="I513" s="59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</row>
    <row r="514" spans="1:32" ht="13.5" customHeight="1" x14ac:dyDescent="0.25">
      <c r="A514" s="56"/>
      <c r="B514" s="56"/>
      <c r="C514" s="56"/>
      <c r="D514" s="56"/>
      <c r="E514" s="57"/>
      <c r="F514" s="58"/>
      <c r="G514" s="56"/>
      <c r="H514" s="56"/>
      <c r="I514" s="59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</row>
    <row r="515" spans="1:32" ht="13.5" customHeight="1" x14ac:dyDescent="0.25">
      <c r="A515" s="56"/>
      <c r="B515" s="56"/>
      <c r="C515" s="56"/>
      <c r="D515" s="56"/>
      <c r="E515" s="57"/>
      <c r="F515" s="58"/>
      <c r="G515" s="56"/>
      <c r="H515" s="56"/>
      <c r="I515" s="59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</row>
    <row r="516" spans="1:32" ht="13.5" customHeight="1" x14ac:dyDescent="0.25">
      <c r="A516" s="56"/>
      <c r="B516" s="56"/>
      <c r="C516" s="56"/>
      <c r="D516" s="56"/>
      <c r="E516" s="57"/>
      <c r="F516" s="58"/>
      <c r="G516" s="56"/>
      <c r="H516" s="56"/>
      <c r="I516" s="59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</row>
    <row r="517" spans="1:32" ht="13.5" customHeight="1" x14ac:dyDescent="0.25">
      <c r="A517" s="56"/>
      <c r="B517" s="56"/>
      <c r="C517" s="56"/>
      <c r="D517" s="56"/>
      <c r="E517" s="57"/>
      <c r="F517" s="58"/>
      <c r="G517" s="56"/>
      <c r="H517" s="56"/>
      <c r="I517" s="59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</row>
    <row r="518" spans="1:32" ht="13.5" customHeight="1" x14ac:dyDescent="0.25">
      <c r="A518" s="56"/>
      <c r="B518" s="56"/>
      <c r="C518" s="56"/>
      <c r="D518" s="56"/>
      <c r="E518" s="57"/>
      <c r="F518" s="58"/>
      <c r="G518" s="56"/>
      <c r="H518" s="56"/>
      <c r="I518" s="59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</row>
    <row r="519" spans="1:32" ht="13.5" customHeight="1" x14ac:dyDescent="0.25">
      <c r="A519" s="56"/>
      <c r="B519" s="56"/>
      <c r="C519" s="56"/>
      <c r="D519" s="56"/>
      <c r="E519" s="57"/>
      <c r="F519" s="58"/>
      <c r="G519" s="56"/>
      <c r="H519" s="56"/>
      <c r="I519" s="59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</row>
    <row r="520" spans="1:32" ht="13.5" customHeight="1" x14ac:dyDescent="0.25">
      <c r="A520" s="56"/>
      <c r="B520" s="56"/>
      <c r="C520" s="56"/>
      <c r="D520" s="56"/>
      <c r="E520" s="57"/>
      <c r="F520" s="58"/>
      <c r="G520" s="56"/>
      <c r="H520" s="56"/>
      <c r="I520" s="59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</row>
    <row r="521" spans="1:32" ht="13.5" customHeight="1" x14ac:dyDescent="0.25">
      <c r="A521" s="56"/>
      <c r="B521" s="56"/>
      <c r="C521" s="56"/>
      <c r="D521" s="56"/>
      <c r="E521" s="57"/>
      <c r="F521" s="58"/>
      <c r="G521" s="56"/>
      <c r="H521" s="56"/>
      <c r="I521" s="59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</row>
    <row r="522" spans="1:32" ht="13.5" customHeight="1" x14ac:dyDescent="0.25">
      <c r="A522" s="56"/>
      <c r="B522" s="56"/>
      <c r="C522" s="56"/>
      <c r="D522" s="56"/>
      <c r="E522" s="57"/>
      <c r="F522" s="58"/>
      <c r="G522" s="56"/>
      <c r="H522" s="56"/>
      <c r="I522" s="59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</row>
    <row r="523" spans="1:32" ht="13.5" customHeight="1" x14ac:dyDescent="0.25">
      <c r="A523" s="56"/>
      <c r="B523" s="56"/>
      <c r="C523" s="56"/>
      <c r="D523" s="56"/>
      <c r="E523" s="57"/>
      <c r="F523" s="58"/>
      <c r="G523" s="56"/>
      <c r="H523" s="56"/>
      <c r="I523" s="59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</row>
    <row r="524" spans="1:32" ht="13.5" customHeight="1" x14ac:dyDescent="0.25">
      <c r="A524" s="56"/>
      <c r="B524" s="56"/>
      <c r="C524" s="56"/>
      <c r="D524" s="56"/>
      <c r="E524" s="57"/>
      <c r="F524" s="58"/>
      <c r="G524" s="56"/>
      <c r="H524" s="56"/>
      <c r="I524" s="59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</row>
    <row r="525" spans="1:32" ht="13.5" customHeight="1" x14ac:dyDescent="0.25">
      <c r="A525" s="56"/>
      <c r="B525" s="56"/>
      <c r="C525" s="56"/>
      <c r="D525" s="56"/>
      <c r="E525" s="57"/>
      <c r="F525" s="58"/>
      <c r="G525" s="56"/>
      <c r="H525" s="56"/>
      <c r="I525" s="59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</row>
    <row r="526" spans="1:32" ht="13.5" customHeight="1" x14ac:dyDescent="0.25">
      <c r="A526" s="56"/>
      <c r="B526" s="56"/>
      <c r="C526" s="56"/>
      <c r="D526" s="56"/>
      <c r="E526" s="57"/>
      <c r="F526" s="58"/>
      <c r="G526" s="56"/>
      <c r="H526" s="56"/>
      <c r="I526" s="59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</row>
    <row r="527" spans="1:32" ht="13.5" customHeight="1" x14ac:dyDescent="0.25">
      <c r="A527" s="56"/>
      <c r="B527" s="56"/>
      <c r="C527" s="56"/>
      <c r="D527" s="56"/>
      <c r="E527" s="57"/>
      <c r="F527" s="58"/>
      <c r="G527" s="56"/>
      <c r="H527" s="56"/>
      <c r="I527" s="59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</row>
    <row r="528" spans="1:32" ht="13.5" customHeight="1" x14ac:dyDescent="0.25">
      <c r="A528" s="56"/>
      <c r="B528" s="56"/>
      <c r="C528" s="56"/>
      <c r="D528" s="56"/>
      <c r="E528" s="57"/>
      <c r="F528" s="58"/>
      <c r="G528" s="56"/>
      <c r="H528" s="56"/>
      <c r="I528" s="59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</row>
    <row r="529" spans="1:32" ht="13.5" customHeight="1" x14ac:dyDescent="0.25">
      <c r="A529" s="56"/>
      <c r="B529" s="56"/>
      <c r="C529" s="56"/>
      <c r="D529" s="56"/>
      <c r="E529" s="57"/>
      <c r="F529" s="58"/>
      <c r="G529" s="56"/>
      <c r="H529" s="56"/>
      <c r="I529" s="59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</row>
    <row r="530" spans="1:32" ht="13.5" customHeight="1" x14ac:dyDescent="0.25">
      <c r="A530" s="56"/>
      <c r="B530" s="56"/>
      <c r="C530" s="56"/>
      <c r="D530" s="56"/>
      <c r="E530" s="57"/>
      <c r="F530" s="58"/>
      <c r="G530" s="56"/>
      <c r="H530" s="56"/>
      <c r="I530" s="59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</row>
    <row r="531" spans="1:32" ht="13.5" customHeight="1" x14ac:dyDescent="0.25">
      <c r="A531" s="56"/>
      <c r="B531" s="56"/>
      <c r="C531" s="56"/>
      <c r="D531" s="56"/>
      <c r="E531" s="57"/>
      <c r="F531" s="58"/>
      <c r="G531" s="56"/>
      <c r="H531" s="56"/>
      <c r="I531" s="59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</row>
    <row r="532" spans="1:32" ht="13.5" customHeight="1" x14ac:dyDescent="0.25">
      <c r="A532" s="56"/>
      <c r="B532" s="56"/>
      <c r="C532" s="56"/>
      <c r="D532" s="56"/>
      <c r="E532" s="57"/>
      <c r="F532" s="58"/>
      <c r="G532" s="56"/>
      <c r="H532" s="56"/>
      <c r="I532" s="59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</row>
    <row r="533" spans="1:32" ht="13.5" customHeight="1" x14ac:dyDescent="0.25">
      <c r="A533" s="56"/>
      <c r="B533" s="56"/>
      <c r="C533" s="56"/>
      <c r="D533" s="56"/>
      <c r="E533" s="57"/>
      <c r="F533" s="58"/>
      <c r="G533" s="56"/>
      <c r="H533" s="56"/>
      <c r="I533" s="59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</row>
    <row r="534" spans="1:32" ht="13.5" customHeight="1" x14ac:dyDescent="0.25">
      <c r="A534" s="56"/>
      <c r="B534" s="56"/>
      <c r="C534" s="56"/>
      <c r="D534" s="56"/>
      <c r="E534" s="57"/>
      <c r="F534" s="58"/>
      <c r="G534" s="56"/>
      <c r="H534" s="56"/>
      <c r="I534" s="59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</row>
    <row r="535" spans="1:32" ht="13.5" customHeight="1" x14ac:dyDescent="0.25">
      <c r="A535" s="56"/>
      <c r="B535" s="56"/>
      <c r="C535" s="56"/>
      <c r="D535" s="56"/>
      <c r="E535" s="57"/>
      <c r="F535" s="58"/>
      <c r="G535" s="56"/>
      <c r="H535" s="56"/>
      <c r="I535" s="59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</row>
    <row r="536" spans="1:32" ht="13.5" customHeight="1" x14ac:dyDescent="0.25">
      <c r="A536" s="56"/>
      <c r="B536" s="56"/>
      <c r="C536" s="56"/>
      <c r="D536" s="56"/>
      <c r="E536" s="57"/>
      <c r="F536" s="58"/>
      <c r="G536" s="56"/>
      <c r="H536" s="56"/>
      <c r="I536" s="59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</row>
    <row r="537" spans="1:32" ht="13.5" customHeight="1" x14ac:dyDescent="0.25">
      <c r="A537" s="56"/>
      <c r="B537" s="56"/>
      <c r="C537" s="56"/>
      <c r="D537" s="56"/>
      <c r="E537" s="57"/>
      <c r="F537" s="58"/>
      <c r="G537" s="56"/>
      <c r="H537" s="56"/>
      <c r="I537" s="59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</row>
    <row r="538" spans="1:32" ht="13.5" customHeight="1" x14ac:dyDescent="0.25">
      <c r="A538" s="56"/>
      <c r="B538" s="56"/>
      <c r="C538" s="56"/>
      <c r="D538" s="56"/>
      <c r="E538" s="57"/>
      <c r="F538" s="58"/>
      <c r="G538" s="56"/>
      <c r="H538" s="56"/>
      <c r="I538" s="59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</row>
    <row r="539" spans="1:32" ht="13.5" customHeight="1" x14ac:dyDescent="0.25">
      <c r="A539" s="56"/>
      <c r="B539" s="56"/>
      <c r="C539" s="56"/>
      <c r="D539" s="56"/>
      <c r="E539" s="57"/>
      <c r="F539" s="58"/>
      <c r="G539" s="56"/>
      <c r="H539" s="56"/>
      <c r="I539" s="59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</row>
    <row r="540" spans="1:32" ht="13.5" customHeight="1" x14ac:dyDescent="0.25">
      <c r="A540" s="56"/>
      <c r="B540" s="56"/>
      <c r="C540" s="56"/>
      <c r="D540" s="56"/>
      <c r="E540" s="57"/>
      <c r="F540" s="58"/>
      <c r="G540" s="56"/>
      <c r="H540" s="56"/>
      <c r="I540" s="59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</row>
    <row r="541" spans="1:32" ht="13.5" customHeight="1" x14ac:dyDescent="0.25">
      <c r="A541" s="56"/>
      <c r="B541" s="56"/>
      <c r="C541" s="56"/>
      <c r="D541" s="56"/>
      <c r="E541" s="57"/>
      <c r="F541" s="58"/>
      <c r="G541" s="56"/>
      <c r="H541" s="56"/>
      <c r="I541" s="59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</row>
    <row r="542" spans="1:32" ht="13.5" customHeight="1" x14ac:dyDescent="0.25">
      <c r="A542" s="56"/>
      <c r="B542" s="56"/>
      <c r="C542" s="56"/>
      <c r="D542" s="56"/>
      <c r="E542" s="57"/>
      <c r="F542" s="58"/>
      <c r="G542" s="56"/>
      <c r="H542" s="56"/>
      <c r="I542" s="59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</row>
    <row r="543" spans="1:32" ht="13.5" customHeight="1" x14ac:dyDescent="0.25">
      <c r="A543" s="56"/>
      <c r="B543" s="56"/>
      <c r="C543" s="56"/>
      <c r="D543" s="56"/>
      <c r="E543" s="57"/>
      <c r="F543" s="58"/>
      <c r="G543" s="56"/>
      <c r="H543" s="56"/>
      <c r="I543" s="59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</row>
    <row r="544" spans="1:32" ht="13.5" customHeight="1" x14ac:dyDescent="0.25">
      <c r="A544" s="56"/>
      <c r="B544" s="56"/>
      <c r="C544" s="56"/>
      <c r="D544" s="56"/>
      <c r="E544" s="57"/>
      <c r="F544" s="58"/>
      <c r="G544" s="56"/>
      <c r="H544" s="56"/>
      <c r="I544" s="59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</row>
    <row r="545" spans="1:32" ht="13.5" customHeight="1" x14ac:dyDescent="0.25">
      <c r="A545" s="56"/>
      <c r="B545" s="56"/>
      <c r="C545" s="56"/>
      <c r="D545" s="56"/>
      <c r="E545" s="57"/>
      <c r="F545" s="58"/>
      <c r="G545" s="56"/>
      <c r="H545" s="56"/>
      <c r="I545" s="59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</row>
    <row r="546" spans="1:32" ht="13.5" customHeight="1" x14ac:dyDescent="0.25">
      <c r="A546" s="56"/>
      <c r="B546" s="56"/>
      <c r="C546" s="56"/>
      <c r="D546" s="56"/>
      <c r="E546" s="57"/>
      <c r="F546" s="58"/>
      <c r="G546" s="56"/>
      <c r="H546" s="56"/>
      <c r="I546" s="59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</row>
    <row r="547" spans="1:32" ht="13.5" customHeight="1" x14ac:dyDescent="0.25">
      <c r="A547" s="56"/>
      <c r="B547" s="56"/>
      <c r="C547" s="56"/>
      <c r="D547" s="56"/>
      <c r="E547" s="57"/>
      <c r="F547" s="58"/>
      <c r="G547" s="56"/>
      <c r="H547" s="56"/>
      <c r="I547" s="59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</row>
    <row r="548" spans="1:32" ht="13.5" customHeight="1" x14ac:dyDescent="0.25">
      <c r="A548" s="56"/>
      <c r="B548" s="56"/>
      <c r="C548" s="56"/>
      <c r="D548" s="56"/>
      <c r="E548" s="57"/>
      <c r="F548" s="58"/>
      <c r="G548" s="56"/>
      <c r="H548" s="56"/>
      <c r="I548" s="59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</row>
    <row r="549" spans="1:32" ht="13.5" customHeight="1" x14ac:dyDescent="0.25">
      <c r="A549" s="56"/>
      <c r="B549" s="56"/>
      <c r="C549" s="56"/>
      <c r="D549" s="56"/>
      <c r="E549" s="57"/>
      <c r="F549" s="58"/>
      <c r="G549" s="56"/>
      <c r="H549" s="56"/>
      <c r="I549" s="59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</row>
    <row r="550" spans="1:32" ht="13.5" customHeight="1" x14ac:dyDescent="0.25">
      <c r="A550" s="56"/>
      <c r="B550" s="56"/>
      <c r="C550" s="56"/>
      <c r="D550" s="56"/>
      <c r="E550" s="57"/>
      <c r="F550" s="58"/>
      <c r="G550" s="56"/>
      <c r="H550" s="56"/>
      <c r="I550" s="59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</row>
    <row r="551" spans="1:32" ht="13.5" customHeight="1" x14ac:dyDescent="0.25">
      <c r="A551" s="56"/>
      <c r="B551" s="56"/>
      <c r="C551" s="56"/>
      <c r="D551" s="56"/>
      <c r="E551" s="57"/>
      <c r="F551" s="58"/>
      <c r="G551" s="56"/>
      <c r="H551" s="56"/>
      <c r="I551" s="59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</row>
    <row r="552" spans="1:32" ht="13.5" customHeight="1" x14ac:dyDescent="0.25">
      <c r="A552" s="56"/>
      <c r="B552" s="56"/>
      <c r="C552" s="56"/>
      <c r="D552" s="56"/>
      <c r="E552" s="57"/>
      <c r="F552" s="58"/>
      <c r="G552" s="56"/>
      <c r="H552" s="56"/>
      <c r="I552" s="59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</row>
    <row r="553" spans="1:32" ht="13.5" customHeight="1" x14ac:dyDescent="0.25">
      <c r="A553" s="56"/>
      <c r="B553" s="56"/>
      <c r="C553" s="56"/>
      <c r="D553" s="56"/>
      <c r="E553" s="57"/>
      <c r="F553" s="58"/>
      <c r="G553" s="56"/>
      <c r="H553" s="56"/>
      <c r="I553" s="59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</row>
    <row r="554" spans="1:32" ht="13.5" customHeight="1" x14ac:dyDescent="0.25">
      <c r="A554" s="56"/>
      <c r="B554" s="56"/>
      <c r="C554" s="56"/>
      <c r="D554" s="56"/>
      <c r="E554" s="57"/>
      <c r="F554" s="58"/>
      <c r="G554" s="56"/>
      <c r="H554" s="56"/>
      <c r="I554" s="59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</row>
    <row r="555" spans="1:32" ht="13.5" customHeight="1" x14ac:dyDescent="0.25">
      <c r="A555" s="56"/>
      <c r="B555" s="56"/>
      <c r="C555" s="56"/>
      <c r="D555" s="56"/>
      <c r="E555" s="57"/>
      <c r="F555" s="58"/>
      <c r="G555" s="56"/>
      <c r="H555" s="56"/>
      <c r="I555" s="59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</row>
    <row r="556" spans="1:32" ht="13.5" customHeight="1" x14ac:dyDescent="0.25">
      <c r="A556" s="56"/>
      <c r="B556" s="56"/>
      <c r="C556" s="56"/>
      <c r="D556" s="56"/>
      <c r="E556" s="57"/>
      <c r="F556" s="58"/>
      <c r="G556" s="56"/>
      <c r="H556" s="56"/>
      <c r="I556" s="59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</row>
    <row r="557" spans="1:32" ht="13.5" customHeight="1" x14ac:dyDescent="0.25">
      <c r="A557" s="56"/>
      <c r="B557" s="56"/>
      <c r="C557" s="56"/>
      <c r="D557" s="56"/>
      <c r="E557" s="57"/>
      <c r="F557" s="58"/>
      <c r="G557" s="56"/>
      <c r="H557" s="56"/>
      <c r="I557" s="59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</row>
    <row r="558" spans="1:32" ht="13.5" customHeight="1" x14ac:dyDescent="0.25">
      <c r="A558" s="56"/>
      <c r="B558" s="56"/>
      <c r="C558" s="56"/>
      <c r="D558" s="56"/>
      <c r="E558" s="57"/>
      <c r="F558" s="58"/>
      <c r="G558" s="56"/>
      <c r="H558" s="56"/>
      <c r="I558" s="59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</row>
    <row r="559" spans="1:32" ht="13.5" customHeight="1" x14ac:dyDescent="0.25">
      <c r="A559" s="56"/>
      <c r="B559" s="56"/>
      <c r="C559" s="56"/>
      <c r="D559" s="56"/>
      <c r="E559" s="57"/>
      <c r="F559" s="58"/>
      <c r="G559" s="56"/>
      <c r="H559" s="56"/>
      <c r="I559" s="59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</row>
    <row r="560" spans="1:32" ht="13.5" customHeight="1" x14ac:dyDescent="0.25">
      <c r="A560" s="56"/>
      <c r="B560" s="56"/>
      <c r="C560" s="56"/>
      <c r="D560" s="56"/>
      <c r="E560" s="57"/>
      <c r="F560" s="58"/>
      <c r="G560" s="56"/>
      <c r="H560" s="56"/>
      <c r="I560" s="59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</row>
    <row r="561" spans="1:32" ht="13.5" customHeight="1" x14ac:dyDescent="0.25">
      <c r="A561" s="56"/>
      <c r="B561" s="56"/>
      <c r="C561" s="56"/>
      <c r="D561" s="56"/>
      <c r="E561" s="57"/>
      <c r="F561" s="58"/>
      <c r="G561" s="56"/>
      <c r="H561" s="56"/>
      <c r="I561" s="59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</row>
    <row r="562" spans="1:32" ht="13.5" customHeight="1" x14ac:dyDescent="0.25">
      <c r="A562" s="56"/>
      <c r="B562" s="56"/>
      <c r="C562" s="56"/>
      <c r="D562" s="56"/>
      <c r="E562" s="57"/>
      <c r="F562" s="58"/>
      <c r="G562" s="56"/>
      <c r="H562" s="56"/>
      <c r="I562" s="59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</row>
    <row r="563" spans="1:32" ht="13.5" customHeight="1" x14ac:dyDescent="0.25">
      <c r="A563" s="56"/>
      <c r="B563" s="56"/>
      <c r="C563" s="56"/>
      <c r="D563" s="56"/>
      <c r="E563" s="57"/>
      <c r="F563" s="58"/>
      <c r="G563" s="56"/>
      <c r="H563" s="56"/>
      <c r="I563" s="59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</row>
    <row r="564" spans="1:32" ht="13.5" customHeight="1" x14ac:dyDescent="0.25">
      <c r="A564" s="56"/>
      <c r="B564" s="56"/>
      <c r="C564" s="56"/>
      <c r="D564" s="56"/>
      <c r="E564" s="57"/>
      <c r="F564" s="58"/>
      <c r="G564" s="56"/>
      <c r="H564" s="56"/>
      <c r="I564" s="59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</row>
    <row r="565" spans="1:32" ht="13.5" customHeight="1" x14ac:dyDescent="0.25">
      <c r="A565" s="56"/>
      <c r="B565" s="56"/>
      <c r="C565" s="56"/>
      <c r="D565" s="56"/>
      <c r="E565" s="57"/>
      <c r="F565" s="58"/>
      <c r="G565" s="56"/>
      <c r="H565" s="56"/>
      <c r="I565" s="59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</row>
    <row r="566" spans="1:32" ht="13.5" customHeight="1" x14ac:dyDescent="0.25">
      <c r="A566" s="56"/>
      <c r="B566" s="56"/>
      <c r="C566" s="56"/>
      <c r="D566" s="56"/>
      <c r="E566" s="57"/>
      <c r="F566" s="58"/>
      <c r="G566" s="56"/>
      <c r="H566" s="56"/>
      <c r="I566" s="59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</row>
    <row r="567" spans="1:32" ht="13.5" customHeight="1" x14ac:dyDescent="0.25">
      <c r="A567" s="56"/>
      <c r="B567" s="56"/>
      <c r="C567" s="56"/>
      <c r="D567" s="56"/>
      <c r="E567" s="57"/>
      <c r="F567" s="58"/>
      <c r="G567" s="56"/>
      <c r="H567" s="56"/>
      <c r="I567" s="59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</row>
    <row r="568" spans="1:32" ht="13.5" customHeight="1" x14ac:dyDescent="0.25">
      <c r="A568" s="56"/>
      <c r="B568" s="56"/>
      <c r="C568" s="56"/>
      <c r="D568" s="56"/>
      <c r="E568" s="57"/>
      <c r="F568" s="58"/>
      <c r="G568" s="56"/>
      <c r="H568" s="56"/>
      <c r="I568" s="59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</row>
    <row r="569" spans="1:32" ht="13.5" customHeight="1" x14ac:dyDescent="0.25">
      <c r="A569" s="56"/>
      <c r="B569" s="56"/>
      <c r="C569" s="56"/>
      <c r="D569" s="56"/>
      <c r="E569" s="57"/>
      <c r="F569" s="58"/>
      <c r="G569" s="56"/>
      <c r="H569" s="56"/>
      <c r="I569" s="59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</row>
    <row r="570" spans="1:32" ht="13.5" customHeight="1" x14ac:dyDescent="0.25">
      <c r="A570" s="56"/>
      <c r="B570" s="56"/>
      <c r="C570" s="56"/>
      <c r="D570" s="56"/>
      <c r="E570" s="57"/>
      <c r="F570" s="58"/>
      <c r="G570" s="56"/>
      <c r="H570" s="56"/>
      <c r="I570" s="59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</row>
    <row r="571" spans="1:32" ht="13.5" customHeight="1" x14ac:dyDescent="0.25">
      <c r="A571" s="56"/>
      <c r="B571" s="56"/>
      <c r="C571" s="56"/>
      <c r="D571" s="56"/>
      <c r="E571" s="57"/>
      <c r="F571" s="58"/>
      <c r="G571" s="56"/>
      <c r="H571" s="56"/>
      <c r="I571" s="59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</row>
    <row r="572" spans="1:32" ht="13.5" customHeight="1" x14ac:dyDescent="0.25">
      <c r="A572" s="56"/>
      <c r="B572" s="56"/>
      <c r="C572" s="56"/>
      <c r="D572" s="56"/>
      <c r="E572" s="57"/>
      <c r="F572" s="58"/>
      <c r="G572" s="56"/>
      <c r="H572" s="56"/>
      <c r="I572" s="59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</row>
    <row r="573" spans="1:32" ht="13.5" customHeight="1" x14ac:dyDescent="0.25">
      <c r="A573" s="56"/>
      <c r="B573" s="56"/>
      <c r="C573" s="56"/>
      <c r="D573" s="56"/>
      <c r="E573" s="57"/>
      <c r="F573" s="58"/>
      <c r="G573" s="56"/>
      <c r="H573" s="56"/>
      <c r="I573" s="59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</row>
    <row r="574" spans="1:32" ht="13.5" customHeight="1" x14ac:dyDescent="0.25">
      <c r="A574" s="56"/>
      <c r="B574" s="56"/>
      <c r="C574" s="56"/>
      <c r="D574" s="56"/>
      <c r="E574" s="57"/>
      <c r="F574" s="58"/>
      <c r="G574" s="56"/>
      <c r="H574" s="56"/>
      <c r="I574" s="59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</row>
    <row r="575" spans="1:32" ht="13.5" customHeight="1" x14ac:dyDescent="0.25">
      <c r="A575" s="56"/>
      <c r="B575" s="56"/>
      <c r="C575" s="56"/>
      <c r="D575" s="56"/>
      <c r="E575" s="57"/>
      <c r="F575" s="58"/>
      <c r="G575" s="56"/>
      <c r="H575" s="56"/>
      <c r="I575" s="59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</row>
    <row r="576" spans="1:32" ht="13.5" customHeight="1" x14ac:dyDescent="0.25">
      <c r="A576" s="56"/>
      <c r="B576" s="56"/>
      <c r="C576" s="56"/>
      <c r="D576" s="56"/>
      <c r="E576" s="57"/>
      <c r="F576" s="58"/>
      <c r="G576" s="56"/>
      <c r="H576" s="56"/>
      <c r="I576" s="59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</row>
    <row r="577" spans="1:32" ht="13.5" customHeight="1" x14ac:dyDescent="0.25">
      <c r="A577" s="56"/>
      <c r="B577" s="56"/>
      <c r="C577" s="56"/>
      <c r="D577" s="56"/>
      <c r="E577" s="57"/>
      <c r="F577" s="58"/>
      <c r="G577" s="56"/>
      <c r="H577" s="56"/>
      <c r="I577" s="59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</row>
    <row r="578" spans="1:32" ht="13.5" customHeight="1" x14ac:dyDescent="0.25">
      <c r="A578" s="56"/>
      <c r="B578" s="56"/>
      <c r="C578" s="56"/>
      <c r="D578" s="56"/>
      <c r="E578" s="57"/>
      <c r="F578" s="58"/>
      <c r="G578" s="56"/>
      <c r="H578" s="56"/>
      <c r="I578" s="59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</row>
    <row r="579" spans="1:32" ht="13.5" customHeight="1" x14ac:dyDescent="0.25">
      <c r="A579" s="56"/>
      <c r="B579" s="56"/>
      <c r="C579" s="56"/>
      <c r="D579" s="56"/>
      <c r="E579" s="57"/>
      <c r="F579" s="58"/>
      <c r="G579" s="56"/>
      <c r="H579" s="56"/>
      <c r="I579" s="59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</row>
    <row r="580" spans="1:32" ht="13.5" customHeight="1" x14ac:dyDescent="0.25">
      <c r="A580" s="56"/>
      <c r="B580" s="56"/>
      <c r="C580" s="56"/>
      <c r="D580" s="56"/>
      <c r="E580" s="57"/>
      <c r="F580" s="58"/>
      <c r="G580" s="56"/>
      <c r="H580" s="56"/>
      <c r="I580" s="59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</row>
    <row r="581" spans="1:32" ht="13.5" customHeight="1" x14ac:dyDescent="0.25">
      <c r="A581" s="56"/>
      <c r="B581" s="56"/>
      <c r="C581" s="56"/>
      <c r="D581" s="56"/>
      <c r="E581" s="57"/>
      <c r="F581" s="58"/>
      <c r="G581" s="56"/>
      <c r="H581" s="56"/>
      <c r="I581" s="59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</row>
    <row r="582" spans="1:32" ht="13.5" customHeight="1" x14ac:dyDescent="0.25">
      <c r="A582" s="56"/>
      <c r="B582" s="56"/>
      <c r="C582" s="56"/>
      <c r="D582" s="56"/>
      <c r="E582" s="57"/>
      <c r="F582" s="58"/>
      <c r="G582" s="56"/>
      <c r="H582" s="56"/>
      <c r="I582" s="59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</row>
    <row r="583" spans="1:32" ht="13.5" customHeight="1" x14ac:dyDescent="0.25">
      <c r="A583" s="56"/>
      <c r="B583" s="56"/>
      <c r="C583" s="56"/>
      <c r="D583" s="56"/>
      <c r="E583" s="57"/>
      <c r="F583" s="58"/>
      <c r="G583" s="56"/>
      <c r="H583" s="56"/>
      <c r="I583" s="59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</row>
    <row r="584" spans="1:32" ht="13.5" customHeight="1" x14ac:dyDescent="0.25">
      <c r="A584" s="56"/>
      <c r="B584" s="56"/>
      <c r="C584" s="56"/>
      <c r="D584" s="56"/>
      <c r="E584" s="57"/>
      <c r="F584" s="58"/>
      <c r="G584" s="56"/>
      <c r="H584" s="56"/>
      <c r="I584" s="59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</row>
    <row r="585" spans="1:32" ht="13.5" customHeight="1" x14ac:dyDescent="0.25">
      <c r="A585" s="56"/>
      <c r="B585" s="56"/>
      <c r="C585" s="56"/>
      <c r="D585" s="56"/>
      <c r="E585" s="57"/>
      <c r="F585" s="58"/>
      <c r="G585" s="56"/>
      <c r="H585" s="56"/>
      <c r="I585" s="59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</row>
    <row r="586" spans="1:32" ht="13.5" customHeight="1" x14ac:dyDescent="0.25">
      <c r="A586" s="56"/>
      <c r="B586" s="56"/>
      <c r="C586" s="56"/>
      <c r="D586" s="56"/>
      <c r="E586" s="57"/>
      <c r="F586" s="58"/>
      <c r="G586" s="56"/>
      <c r="H586" s="56"/>
      <c r="I586" s="59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</row>
    <row r="587" spans="1:32" ht="13.5" customHeight="1" x14ac:dyDescent="0.25">
      <c r="A587" s="56"/>
      <c r="B587" s="56"/>
      <c r="C587" s="56"/>
      <c r="D587" s="56"/>
      <c r="E587" s="57"/>
      <c r="F587" s="58"/>
      <c r="G587" s="56"/>
      <c r="H587" s="56"/>
      <c r="I587" s="59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</row>
    <row r="588" spans="1:32" ht="13.5" customHeight="1" x14ac:dyDescent="0.25">
      <c r="A588" s="56"/>
      <c r="B588" s="56"/>
      <c r="C588" s="56"/>
      <c r="D588" s="56"/>
      <c r="E588" s="57"/>
      <c r="F588" s="58"/>
      <c r="G588" s="56"/>
      <c r="H588" s="56"/>
      <c r="I588" s="59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</row>
    <row r="589" spans="1:32" ht="13.5" customHeight="1" x14ac:dyDescent="0.25">
      <c r="A589" s="56"/>
      <c r="B589" s="56"/>
      <c r="C589" s="56"/>
      <c r="D589" s="56"/>
      <c r="E589" s="57"/>
      <c r="F589" s="58"/>
      <c r="G589" s="56"/>
      <c r="H589" s="56"/>
      <c r="I589" s="59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</row>
    <row r="590" spans="1:32" ht="13.5" customHeight="1" x14ac:dyDescent="0.25">
      <c r="A590" s="56"/>
      <c r="B590" s="56"/>
      <c r="C590" s="56"/>
      <c r="D590" s="56"/>
      <c r="E590" s="57"/>
      <c r="F590" s="58"/>
      <c r="G590" s="56"/>
      <c r="H590" s="56"/>
      <c r="I590" s="59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</row>
    <row r="591" spans="1:32" ht="13.5" customHeight="1" x14ac:dyDescent="0.25">
      <c r="A591" s="56"/>
      <c r="B591" s="56"/>
      <c r="C591" s="56"/>
      <c r="D591" s="56"/>
      <c r="E591" s="57"/>
      <c r="F591" s="58"/>
      <c r="G591" s="56"/>
      <c r="H591" s="56"/>
      <c r="I591" s="59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</row>
    <row r="592" spans="1:32" ht="13.5" customHeight="1" x14ac:dyDescent="0.25">
      <c r="A592" s="56"/>
      <c r="B592" s="56"/>
      <c r="C592" s="56"/>
      <c r="D592" s="56"/>
      <c r="E592" s="57"/>
      <c r="F592" s="58"/>
      <c r="G592" s="56"/>
      <c r="H592" s="56"/>
      <c r="I592" s="59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</row>
    <row r="593" spans="1:32" ht="13.5" customHeight="1" x14ac:dyDescent="0.25">
      <c r="A593" s="56"/>
      <c r="B593" s="56"/>
      <c r="C593" s="56"/>
      <c r="D593" s="56"/>
      <c r="E593" s="57"/>
      <c r="F593" s="58"/>
      <c r="G593" s="56"/>
      <c r="H593" s="56"/>
      <c r="I593" s="59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</row>
    <row r="594" spans="1:32" ht="13.5" customHeight="1" x14ac:dyDescent="0.25">
      <c r="A594" s="56"/>
      <c r="B594" s="56"/>
      <c r="C594" s="56"/>
      <c r="D594" s="56"/>
      <c r="E594" s="57"/>
      <c r="F594" s="58"/>
      <c r="G594" s="56"/>
      <c r="H594" s="56"/>
      <c r="I594" s="59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</row>
    <row r="595" spans="1:32" ht="13.5" customHeight="1" x14ac:dyDescent="0.25">
      <c r="A595" s="56"/>
      <c r="B595" s="56"/>
      <c r="C595" s="56"/>
      <c r="D595" s="56"/>
      <c r="E595" s="57"/>
      <c r="F595" s="58"/>
      <c r="G595" s="56"/>
      <c r="H595" s="56"/>
      <c r="I595" s="59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</row>
    <row r="596" spans="1:32" ht="13.5" customHeight="1" x14ac:dyDescent="0.25">
      <c r="A596" s="56"/>
      <c r="B596" s="56"/>
      <c r="C596" s="56"/>
      <c r="D596" s="56"/>
      <c r="E596" s="57"/>
      <c r="F596" s="58"/>
      <c r="G596" s="56"/>
      <c r="H596" s="56"/>
      <c r="I596" s="59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</row>
    <row r="597" spans="1:32" ht="13.5" customHeight="1" x14ac:dyDescent="0.25">
      <c r="A597" s="56"/>
      <c r="B597" s="56"/>
      <c r="C597" s="56"/>
      <c r="D597" s="56"/>
      <c r="E597" s="57"/>
      <c r="F597" s="58"/>
      <c r="G597" s="56"/>
      <c r="H597" s="56"/>
      <c r="I597" s="59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</row>
    <row r="598" spans="1:32" ht="13.5" customHeight="1" x14ac:dyDescent="0.25">
      <c r="A598" s="56"/>
      <c r="B598" s="56"/>
      <c r="C598" s="56"/>
      <c r="D598" s="56"/>
      <c r="E598" s="57"/>
      <c r="F598" s="58"/>
      <c r="G598" s="56"/>
      <c r="H598" s="56"/>
      <c r="I598" s="59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</row>
    <row r="599" spans="1:32" ht="13.5" customHeight="1" x14ac:dyDescent="0.25">
      <c r="A599" s="56"/>
      <c r="B599" s="56"/>
      <c r="C599" s="56"/>
      <c r="D599" s="56"/>
      <c r="E599" s="57"/>
      <c r="F599" s="58"/>
      <c r="G599" s="56"/>
      <c r="H599" s="56"/>
      <c r="I599" s="59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</row>
    <row r="600" spans="1:32" ht="13.5" customHeight="1" x14ac:dyDescent="0.25">
      <c r="A600" s="56"/>
      <c r="B600" s="56"/>
      <c r="C600" s="56"/>
      <c r="D600" s="56"/>
      <c r="E600" s="57"/>
      <c r="F600" s="58"/>
      <c r="G600" s="56"/>
      <c r="H600" s="56"/>
      <c r="I600" s="59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</row>
    <row r="601" spans="1:32" ht="13.5" customHeight="1" x14ac:dyDescent="0.25">
      <c r="A601" s="56"/>
      <c r="B601" s="56"/>
      <c r="C601" s="56"/>
      <c r="D601" s="56"/>
      <c r="E601" s="57"/>
      <c r="F601" s="58"/>
      <c r="G601" s="56"/>
      <c r="H601" s="56"/>
      <c r="I601" s="59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</row>
    <row r="602" spans="1:32" ht="13.5" customHeight="1" x14ac:dyDescent="0.25">
      <c r="A602" s="56"/>
      <c r="B602" s="56"/>
      <c r="C602" s="56"/>
      <c r="D602" s="56"/>
      <c r="E602" s="57"/>
      <c r="F602" s="58"/>
      <c r="G602" s="56"/>
      <c r="H602" s="56"/>
      <c r="I602" s="59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</row>
    <row r="603" spans="1:32" ht="13.5" customHeight="1" x14ac:dyDescent="0.25">
      <c r="A603" s="56"/>
      <c r="B603" s="56"/>
      <c r="C603" s="56"/>
      <c r="D603" s="56"/>
      <c r="E603" s="57"/>
      <c r="F603" s="58"/>
      <c r="G603" s="56"/>
      <c r="H603" s="56"/>
      <c r="I603" s="59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</row>
    <row r="604" spans="1:32" ht="13.5" customHeight="1" x14ac:dyDescent="0.25">
      <c r="A604" s="56"/>
      <c r="B604" s="56"/>
      <c r="C604" s="56"/>
      <c r="D604" s="56"/>
      <c r="E604" s="57"/>
      <c r="F604" s="58"/>
      <c r="G604" s="56"/>
      <c r="H604" s="56"/>
      <c r="I604" s="59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</row>
    <row r="605" spans="1:32" ht="13.5" customHeight="1" x14ac:dyDescent="0.25">
      <c r="A605" s="56"/>
      <c r="B605" s="56"/>
      <c r="C605" s="56"/>
      <c r="D605" s="56"/>
      <c r="E605" s="57"/>
      <c r="F605" s="58"/>
      <c r="G605" s="56"/>
      <c r="H605" s="56"/>
      <c r="I605" s="59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</row>
    <row r="606" spans="1:32" ht="13.5" customHeight="1" x14ac:dyDescent="0.25">
      <c r="A606" s="56"/>
      <c r="B606" s="56"/>
      <c r="C606" s="56"/>
      <c r="D606" s="56"/>
      <c r="E606" s="57"/>
      <c r="F606" s="58"/>
      <c r="G606" s="56"/>
      <c r="H606" s="56"/>
      <c r="I606" s="59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</row>
    <row r="607" spans="1:32" ht="13.5" customHeight="1" x14ac:dyDescent="0.25">
      <c r="A607" s="56"/>
      <c r="B607" s="56"/>
      <c r="C607" s="56"/>
      <c r="D607" s="56"/>
      <c r="E607" s="57"/>
      <c r="F607" s="58"/>
      <c r="G607" s="56"/>
      <c r="H607" s="56"/>
      <c r="I607" s="59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</row>
    <row r="608" spans="1:32" ht="13.5" customHeight="1" x14ac:dyDescent="0.25">
      <c r="A608" s="56"/>
      <c r="B608" s="56"/>
      <c r="C608" s="56"/>
      <c r="D608" s="56"/>
      <c r="E608" s="57"/>
      <c r="F608" s="58"/>
      <c r="G608" s="56"/>
      <c r="H608" s="56"/>
      <c r="I608" s="59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</row>
    <row r="609" spans="1:32" ht="13.5" customHeight="1" x14ac:dyDescent="0.25">
      <c r="A609" s="56"/>
      <c r="B609" s="56"/>
      <c r="C609" s="56"/>
      <c r="D609" s="56"/>
      <c r="E609" s="57"/>
      <c r="F609" s="58"/>
      <c r="G609" s="56"/>
      <c r="H609" s="56"/>
      <c r="I609" s="59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</row>
    <row r="610" spans="1:32" ht="13.5" customHeight="1" x14ac:dyDescent="0.25">
      <c r="A610" s="56"/>
      <c r="B610" s="56"/>
      <c r="C610" s="56"/>
      <c r="D610" s="56"/>
      <c r="E610" s="57"/>
      <c r="F610" s="58"/>
      <c r="G610" s="56"/>
      <c r="H610" s="56"/>
      <c r="I610" s="59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</row>
    <row r="611" spans="1:32" ht="13.5" customHeight="1" x14ac:dyDescent="0.25">
      <c r="A611" s="56"/>
      <c r="B611" s="56"/>
      <c r="C611" s="56"/>
      <c r="D611" s="56"/>
      <c r="E611" s="57"/>
      <c r="F611" s="58"/>
      <c r="G611" s="56"/>
      <c r="H611" s="56"/>
      <c r="I611" s="59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</row>
    <row r="612" spans="1:32" ht="13.5" customHeight="1" x14ac:dyDescent="0.25">
      <c r="A612" s="56"/>
      <c r="B612" s="56"/>
      <c r="C612" s="56"/>
      <c r="D612" s="56"/>
      <c r="E612" s="57"/>
      <c r="F612" s="58"/>
      <c r="G612" s="56"/>
      <c r="H612" s="56"/>
      <c r="I612" s="59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</row>
    <row r="613" spans="1:32" ht="13.5" customHeight="1" x14ac:dyDescent="0.25">
      <c r="A613" s="56"/>
      <c r="B613" s="56"/>
      <c r="C613" s="56"/>
      <c r="D613" s="56"/>
      <c r="E613" s="57"/>
      <c r="F613" s="58"/>
      <c r="G613" s="56"/>
      <c r="H613" s="56"/>
      <c r="I613" s="59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</row>
    <row r="614" spans="1:32" ht="13.5" customHeight="1" x14ac:dyDescent="0.25">
      <c r="A614" s="56"/>
      <c r="B614" s="56"/>
      <c r="C614" s="56"/>
      <c r="D614" s="56"/>
      <c r="E614" s="57"/>
      <c r="F614" s="58"/>
      <c r="G614" s="56"/>
      <c r="H614" s="56"/>
      <c r="I614" s="59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</row>
    <row r="615" spans="1:32" ht="13.5" customHeight="1" x14ac:dyDescent="0.25">
      <c r="A615" s="56"/>
      <c r="B615" s="56"/>
      <c r="C615" s="56"/>
      <c r="D615" s="56"/>
      <c r="E615" s="57"/>
      <c r="F615" s="58"/>
      <c r="G615" s="56"/>
      <c r="H615" s="56"/>
      <c r="I615" s="59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</row>
    <row r="616" spans="1:32" ht="13.5" customHeight="1" x14ac:dyDescent="0.25">
      <c r="A616" s="56"/>
      <c r="B616" s="56"/>
      <c r="C616" s="56"/>
      <c r="D616" s="56"/>
      <c r="E616" s="57"/>
      <c r="F616" s="58"/>
      <c r="G616" s="56"/>
      <c r="H616" s="56"/>
      <c r="I616" s="59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</row>
    <row r="617" spans="1:32" ht="13.5" customHeight="1" x14ac:dyDescent="0.25">
      <c r="A617" s="56"/>
      <c r="B617" s="56"/>
      <c r="C617" s="56"/>
      <c r="D617" s="56"/>
      <c r="E617" s="57"/>
      <c r="F617" s="58"/>
      <c r="G617" s="56"/>
      <c r="H617" s="56"/>
      <c r="I617" s="59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</row>
    <row r="618" spans="1:32" ht="13.5" customHeight="1" x14ac:dyDescent="0.25">
      <c r="A618" s="56"/>
      <c r="B618" s="56"/>
      <c r="C618" s="56"/>
      <c r="D618" s="56"/>
      <c r="E618" s="57"/>
      <c r="F618" s="58"/>
      <c r="G618" s="56"/>
      <c r="H618" s="56"/>
      <c r="I618" s="59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</row>
    <row r="619" spans="1:32" ht="13.5" customHeight="1" x14ac:dyDescent="0.25">
      <c r="A619" s="56"/>
      <c r="B619" s="56"/>
      <c r="C619" s="56"/>
      <c r="D619" s="56"/>
      <c r="E619" s="57"/>
      <c r="F619" s="58"/>
      <c r="G619" s="56"/>
      <c r="H619" s="56"/>
      <c r="I619" s="59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</row>
    <row r="620" spans="1:32" ht="13.5" customHeight="1" x14ac:dyDescent="0.25">
      <c r="A620" s="56"/>
      <c r="B620" s="56"/>
      <c r="C620" s="56"/>
      <c r="D620" s="56"/>
      <c r="E620" s="57"/>
      <c r="F620" s="58"/>
      <c r="G620" s="56"/>
      <c r="H620" s="56"/>
      <c r="I620" s="59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</row>
    <row r="621" spans="1:32" ht="13.5" customHeight="1" x14ac:dyDescent="0.25">
      <c r="A621" s="56"/>
      <c r="B621" s="56"/>
      <c r="C621" s="56"/>
      <c r="D621" s="56"/>
      <c r="E621" s="57"/>
      <c r="F621" s="58"/>
      <c r="G621" s="56"/>
      <c r="H621" s="56"/>
      <c r="I621" s="59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</row>
    <row r="622" spans="1:32" ht="13.5" customHeight="1" x14ac:dyDescent="0.25">
      <c r="A622" s="56"/>
      <c r="B622" s="56"/>
      <c r="C622" s="56"/>
      <c r="D622" s="56"/>
      <c r="E622" s="57"/>
      <c r="F622" s="58"/>
      <c r="G622" s="56"/>
      <c r="H622" s="56"/>
      <c r="I622" s="59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</row>
    <row r="623" spans="1:32" ht="13.5" customHeight="1" x14ac:dyDescent="0.25">
      <c r="A623" s="56"/>
      <c r="B623" s="56"/>
      <c r="C623" s="56"/>
      <c r="D623" s="56"/>
      <c r="E623" s="57"/>
      <c r="F623" s="58"/>
      <c r="G623" s="56"/>
      <c r="H623" s="56"/>
      <c r="I623" s="59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</row>
    <row r="624" spans="1:32" ht="13.5" customHeight="1" x14ac:dyDescent="0.25">
      <c r="A624" s="56"/>
      <c r="B624" s="56"/>
      <c r="C624" s="56"/>
      <c r="D624" s="56"/>
      <c r="E624" s="57"/>
      <c r="F624" s="58"/>
      <c r="G624" s="56"/>
      <c r="H624" s="56"/>
      <c r="I624" s="59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</row>
    <row r="625" spans="1:32" ht="13.5" customHeight="1" x14ac:dyDescent="0.25">
      <c r="A625" s="56"/>
      <c r="B625" s="56"/>
      <c r="C625" s="56"/>
      <c r="D625" s="56"/>
      <c r="E625" s="57"/>
      <c r="F625" s="58"/>
      <c r="G625" s="56"/>
      <c r="H625" s="56"/>
      <c r="I625" s="59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</row>
    <row r="626" spans="1:32" ht="13.5" customHeight="1" x14ac:dyDescent="0.25">
      <c r="A626" s="56"/>
      <c r="B626" s="56"/>
      <c r="C626" s="56"/>
      <c r="D626" s="56"/>
      <c r="E626" s="57"/>
      <c r="F626" s="58"/>
      <c r="G626" s="56"/>
      <c r="H626" s="56"/>
      <c r="I626" s="59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</row>
    <row r="627" spans="1:32" ht="13.5" customHeight="1" x14ac:dyDescent="0.25">
      <c r="A627" s="56"/>
      <c r="B627" s="56"/>
      <c r="C627" s="56"/>
      <c r="D627" s="56"/>
      <c r="E627" s="57"/>
      <c r="F627" s="58"/>
      <c r="G627" s="56"/>
      <c r="H627" s="56"/>
      <c r="I627" s="59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</row>
    <row r="628" spans="1:32" ht="13.5" customHeight="1" x14ac:dyDescent="0.25">
      <c r="A628" s="56"/>
      <c r="B628" s="56"/>
      <c r="C628" s="56"/>
      <c r="D628" s="56"/>
      <c r="E628" s="57"/>
      <c r="F628" s="58"/>
      <c r="G628" s="56"/>
      <c r="H628" s="56"/>
      <c r="I628" s="59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</row>
    <row r="629" spans="1:32" ht="13.5" customHeight="1" x14ac:dyDescent="0.25">
      <c r="A629" s="56"/>
      <c r="B629" s="56"/>
      <c r="C629" s="56"/>
      <c r="D629" s="56"/>
      <c r="E629" s="57"/>
      <c r="F629" s="58"/>
      <c r="G629" s="56"/>
      <c r="H629" s="56"/>
      <c r="I629" s="59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</row>
    <row r="630" spans="1:32" ht="13.5" customHeight="1" x14ac:dyDescent="0.25">
      <c r="A630" s="56"/>
      <c r="B630" s="56"/>
      <c r="C630" s="56"/>
      <c r="D630" s="56"/>
      <c r="E630" s="57"/>
      <c r="F630" s="58"/>
      <c r="G630" s="56"/>
      <c r="H630" s="56"/>
      <c r="I630" s="59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</row>
    <row r="631" spans="1:32" ht="13.5" customHeight="1" x14ac:dyDescent="0.25">
      <c r="A631" s="56"/>
      <c r="B631" s="56"/>
      <c r="C631" s="56"/>
      <c r="D631" s="56"/>
      <c r="E631" s="57"/>
      <c r="F631" s="58"/>
      <c r="G631" s="56"/>
      <c r="H631" s="56"/>
      <c r="I631" s="59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</row>
    <row r="632" spans="1:32" ht="13.5" customHeight="1" x14ac:dyDescent="0.25">
      <c r="A632" s="56"/>
      <c r="B632" s="56"/>
      <c r="C632" s="56"/>
      <c r="D632" s="56"/>
      <c r="E632" s="57"/>
      <c r="F632" s="58"/>
      <c r="G632" s="56"/>
      <c r="H632" s="56"/>
      <c r="I632" s="59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</row>
    <row r="633" spans="1:32" ht="13.5" customHeight="1" x14ac:dyDescent="0.25">
      <c r="A633" s="56"/>
      <c r="B633" s="56"/>
      <c r="C633" s="56"/>
      <c r="D633" s="56"/>
      <c r="E633" s="57"/>
      <c r="F633" s="58"/>
      <c r="G633" s="56"/>
      <c r="H633" s="56"/>
      <c r="I633" s="59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</row>
    <row r="634" spans="1:32" ht="13.5" customHeight="1" x14ac:dyDescent="0.25">
      <c r="A634" s="56"/>
      <c r="B634" s="56"/>
      <c r="C634" s="56"/>
      <c r="D634" s="56"/>
      <c r="E634" s="57"/>
      <c r="F634" s="58"/>
      <c r="G634" s="56"/>
      <c r="H634" s="56"/>
      <c r="I634" s="59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</row>
    <row r="635" spans="1:32" ht="13.5" customHeight="1" x14ac:dyDescent="0.25">
      <c r="A635" s="56"/>
      <c r="B635" s="56"/>
      <c r="C635" s="56"/>
      <c r="D635" s="56"/>
      <c r="E635" s="57"/>
      <c r="F635" s="58"/>
      <c r="G635" s="56"/>
      <c r="H635" s="56"/>
      <c r="I635" s="59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</row>
    <row r="636" spans="1:32" ht="13.5" customHeight="1" x14ac:dyDescent="0.25">
      <c r="A636" s="56"/>
      <c r="B636" s="56"/>
      <c r="C636" s="56"/>
      <c r="D636" s="56"/>
      <c r="E636" s="57"/>
      <c r="F636" s="58"/>
      <c r="G636" s="56"/>
      <c r="H636" s="56"/>
      <c r="I636" s="59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</row>
    <row r="637" spans="1:32" ht="13.5" customHeight="1" x14ac:dyDescent="0.25">
      <c r="A637" s="56"/>
      <c r="B637" s="56"/>
      <c r="C637" s="56"/>
      <c r="D637" s="56"/>
      <c r="E637" s="57"/>
      <c r="F637" s="58"/>
      <c r="G637" s="56"/>
      <c r="H637" s="56"/>
      <c r="I637" s="59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</row>
    <row r="638" spans="1:32" ht="13.5" customHeight="1" x14ac:dyDescent="0.25">
      <c r="A638" s="56"/>
      <c r="B638" s="56"/>
      <c r="C638" s="56"/>
      <c r="D638" s="56"/>
      <c r="E638" s="57"/>
      <c r="F638" s="58"/>
      <c r="G638" s="56"/>
      <c r="H638" s="56"/>
      <c r="I638" s="59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</row>
    <row r="639" spans="1:32" ht="13.5" customHeight="1" x14ac:dyDescent="0.25">
      <c r="A639" s="56"/>
      <c r="B639" s="56"/>
      <c r="C639" s="56"/>
      <c r="D639" s="56"/>
      <c r="E639" s="57"/>
      <c r="F639" s="58"/>
      <c r="G639" s="56"/>
      <c r="H639" s="56"/>
      <c r="I639" s="59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</row>
    <row r="640" spans="1:32" ht="13.5" customHeight="1" x14ac:dyDescent="0.25">
      <c r="A640" s="56"/>
      <c r="B640" s="56"/>
      <c r="C640" s="56"/>
      <c r="D640" s="56"/>
      <c r="E640" s="57"/>
      <c r="F640" s="58"/>
      <c r="G640" s="56"/>
      <c r="H640" s="56"/>
      <c r="I640" s="59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</row>
    <row r="641" spans="1:32" ht="13.5" customHeight="1" x14ac:dyDescent="0.25">
      <c r="A641" s="56"/>
      <c r="B641" s="56"/>
      <c r="C641" s="56"/>
      <c r="D641" s="56"/>
      <c r="E641" s="57"/>
      <c r="F641" s="58"/>
      <c r="G641" s="56"/>
      <c r="H641" s="56"/>
      <c r="I641" s="59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</row>
    <row r="642" spans="1:32" ht="13.5" customHeight="1" x14ac:dyDescent="0.25">
      <c r="A642" s="56"/>
      <c r="B642" s="56"/>
      <c r="C642" s="56"/>
      <c r="D642" s="56"/>
      <c r="E642" s="57"/>
      <c r="F642" s="58"/>
      <c r="G642" s="56"/>
      <c r="H642" s="56"/>
      <c r="I642" s="59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</row>
    <row r="643" spans="1:32" ht="13.5" customHeight="1" x14ac:dyDescent="0.25">
      <c r="A643" s="56"/>
      <c r="B643" s="56"/>
      <c r="C643" s="56"/>
      <c r="D643" s="56"/>
      <c r="E643" s="57"/>
      <c r="F643" s="58"/>
      <c r="G643" s="56"/>
      <c r="H643" s="56"/>
      <c r="I643" s="59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</row>
    <row r="644" spans="1:32" ht="13.5" customHeight="1" x14ac:dyDescent="0.25">
      <c r="A644" s="56"/>
      <c r="B644" s="56"/>
      <c r="C644" s="56"/>
      <c r="D644" s="56"/>
      <c r="E644" s="57"/>
      <c r="F644" s="58"/>
      <c r="G644" s="56"/>
      <c r="H644" s="56"/>
      <c r="I644" s="59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</row>
    <row r="645" spans="1:32" ht="13.5" customHeight="1" x14ac:dyDescent="0.25">
      <c r="A645" s="56"/>
      <c r="B645" s="56"/>
      <c r="C645" s="56"/>
      <c r="D645" s="56"/>
      <c r="E645" s="57"/>
      <c r="F645" s="58"/>
      <c r="G645" s="56"/>
      <c r="H645" s="56"/>
      <c r="I645" s="59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</row>
    <row r="646" spans="1:32" ht="13.5" customHeight="1" x14ac:dyDescent="0.25">
      <c r="A646" s="56"/>
      <c r="B646" s="56"/>
      <c r="C646" s="56"/>
      <c r="D646" s="56"/>
      <c r="E646" s="57"/>
      <c r="F646" s="58"/>
      <c r="G646" s="56"/>
      <c r="H646" s="56"/>
      <c r="I646" s="59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</row>
    <row r="647" spans="1:32" ht="13.5" customHeight="1" x14ac:dyDescent="0.25">
      <c r="A647" s="56"/>
      <c r="B647" s="56"/>
      <c r="C647" s="56"/>
      <c r="D647" s="56"/>
      <c r="E647" s="57"/>
      <c r="F647" s="58"/>
      <c r="G647" s="56"/>
      <c r="H647" s="56"/>
      <c r="I647" s="59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</row>
    <row r="648" spans="1:32" ht="13.5" customHeight="1" x14ac:dyDescent="0.25">
      <c r="A648" s="56"/>
      <c r="B648" s="56"/>
      <c r="C648" s="56"/>
      <c r="D648" s="56"/>
      <c r="E648" s="57"/>
      <c r="F648" s="58"/>
      <c r="G648" s="56"/>
      <c r="H648" s="56"/>
      <c r="I648" s="59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</row>
    <row r="649" spans="1:32" ht="13.5" customHeight="1" x14ac:dyDescent="0.25">
      <c r="A649" s="56"/>
      <c r="B649" s="56"/>
      <c r="C649" s="56"/>
      <c r="D649" s="56"/>
      <c r="E649" s="57"/>
      <c r="F649" s="58"/>
      <c r="G649" s="56"/>
      <c r="H649" s="56"/>
      <c r="I649" s="59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</row>
    <row r="650" spans="1:32" ht="13.5" customHeight="1" x14ac:dyDescent="0.25">
      <c r="A650" s="56"/>
      <c r="B650" s="56"/>
      <c r="C650" s="56"/>
      <c r="D650" s="56"/>
      <c r="E650" s="57"/>
      <c r="F650" s="58"/>
      <c r="G650" s="56"/>
      <c r="H650" s="56"/>
      <c r="I650" s="59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</row>
    <row r="651" spans="1:32" ht="13.5" customHeight="1" x14ac:dyDescent="0.25">
      <c r="A651" s="56"/>
      <c r="B651" s="56"/>
      <c r="C651" s="56"/>
      <c r="D651" s="56"/>
      <c r="E651" s="57"/>
      <c r="F651" s="58"/>
      <c r="G651" s="56"/>
      <c r="H651" s="56"/>
      <c r="I651" s="59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</row>
    <row r="652" spans="1:32" ht="13.5" customHeight="1" x14ac:dyDescent="0.25">
      <c r="A652" s="56"/>
      <c r="B652" s="56"/>
      <c r="C652" s="56"/>
      <c r="D652" s="56"/>
      <c r="E652" s="57"/>
      <c r="F652" s="58"/>
      <c r="G652" s="56"/>
      <c r="H652" s="56"/>
      <c r="I652" s="59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</row>
    <row r="653" spans="1:32" ht="13.5" customHeight="1" x14ac:dyDescent="0.25">
      <c r="A653" s="56"/>
      <c r="B653" s="56"/>
      <c r="C653" s="56"/>
      <c r="D653" s="56"/>
      <c r="E653" s="57"/>
      <c r="F653" s="58"/>
      <c r="G653" s="56"/>
      <c r="H653" s="56"/>
      <c r="I653" s="59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</row>
    <row r="654" spans="1:32" ht="13.5" customHeight="1" x14ac:dyDescent="0.25">
      <c r="A654" s="56"/>
      <c r="B654" s="56"/>
      <c r="C654" s="56"/>
      <c r="D654" s="56"/>
      <c r="E654" s="57"/>
      <c r="F654" s="58"/>
      <c r="G654" s="56"/>
      <c r="H654" s="56"/>
      <c r="I654" s="59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</row>
    <row r="655" spans="1:32" ht="13.5" customHeight="1" x14ac:dyDescent="0.25">
      <c r="A655" s="56"/>
      <c r="B655" s="56"/>
      <c r="C655" s="56"/>
      <c r="D655" s="56"/>
      <c r="E655" s="57"/>
      <c r="F655" s="58"/>
      <c r="G655" s="56"/>
      <c r="H655" s="56"/>
      <c r="I655" s="59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</row>
    <row r="656" spans="1:32" ht="13.5" customHeight="1" x14ac:dyDescent="0.25">
      <c r="A656" s="56"/>
      <c r="B656" s="56"/>
      <c r="C656" s="56"/>
      <c r="D656" s="56"/>
      <c r="E656" s="57"/>
      <c r="F656" s="58"/>
      <c r="G656" s="56"/>
      <c r="H656" s="56"/>
      <c r="I656" s="59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</row>
    <row r="657" spans="1:32" ht="13.5" customHeight="1" x14ac:dyDescent="0.25">
      <c r="A657" s="56"/>
      <c r="B657" s="56"/>
      <c r="C657" s="56"/>
      <c r="D657" s="56"/>
      <c r="E657" s="57"/>
      <c r="F657" s="58"/>
      <c r="G657" s="56"/>
      <c r="H657" s="56"/>
      <c r="I657" s="59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</row>
    <row r="658" spans="1:32" ht="13.5" customHeight="1" x14ac:dyDescent="0.25">
      <c r="A658" s="56"/>
      <c r="B658" s="56"/>
      <c r="C658" s="56"/>
      <c r="D658" s="56"/>
      <c r="E658" s="57"/>
      <c r="F658" s="58"/>
      <c r="G658" s="56"/>
      <c r="H658" s="56"/>
      <c r="I658" s="59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</row>
    <row r="659" spans="1:32" ht="13.5" customHeight="1" x14ac:dyDescent="0.25">
      <c r="A659" s="56"/>
      <c r="B659" s="56"/>
      <c r="C659" s="56"/>
      <c r="D659" s="56"/>
      <c r="E659" s="57"/>
      <c r="F659" s="58"/>
      <c r="G659" s="56"/>
      <c r="H659" s="56"/>
      <c r="I659" s="59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</row>
    <row r="660" spans="1:32" ht="13.5" customHeight="1" x14ac:dyDescent="0.25">
      <c r="A660" s="56"/>
      <c r="B660" s="56"/>
      <c r="C660" s="56"/>
      <c r="D660" s="56"/>
      <c r="E660" s="57"/>
      <c r="F660" s="58"/>
      <c r="G660" s="56"/>
      <c r="H660" s="56"/>
      <c r="I660" s="59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</row>
    <row r="661" spans="1:32" ht="13.5" customHeight="1" x14ac:dyDescent="0.25">
      <c r="A661" s="56"/>
      <c r="B661" s="56"/>
      <c r="C661" s="56"/>
      <c r="D661" s="56"/>
      <c r="E661" s="57"/>
      <c r="F661" s="58"/>
      <c r="G661" s="56"/>
      <c r="H661" s="56"/>
      <c r="I661" s="59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</row>
    <row r="662" spans="1:32" ht="13.5" customHeight="1" x14ac:dyDescent="0.25">
      <c r="A662" s="56"/>
      <c r="B662" s="56"/>
      <c r="C662" s="56"/>
      <c r="D662" s="56"/>
      <c r="E662" s="57"/>
      <c r="F662" s="58"/>
      <c r="G662" s="56"/>
      <c r="H662" s="56"/>
      <c r="I662" s="59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</row>
    <row r="663" spans="1:32" ht="13.5" customHeight="1" x14ac:dyDescent="0.25">
      <c r="A663" s="56"/>
      <c r="B663" s="56"/>
      <c r="C663" s="56"/>
      <c r="D663" s="56"/>
      <c r="E663" s="57"/>
      <c r="F663" s="58"/>
      <c r="G663" s="56"/>
      <c r="H663" s="56"/>
      <c r="I663" s="59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</row>
    <row r="664" spans="1:32" ht="13.5" customHeight="1" x14ac:dyDescent="0.25">
      <c r="A664" s="56"/>
      <c r="B664" s="56"/>
      <c r="C664" s="56"/>
      <c r="D664" s="56"/>
      <c r="E664" s="57"/>
      <c r="F664" s="58"/>
      <c r="G664" s="56"/>
      <c r="H664" s="56"/>
      <c r="I664" s="59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</row>
    <row r="665" spans="1:32" ht="13.5" customHeight="1" x14ac:dyDescent="0.25">
      <c r="A665" s="56"/>
      <c r="B665" s="56"/>
      <c r="C665" s="56"/>
      <c r="D665" s="56"/>
      <c r="E665" s="57"/>
      <c r="F665" s="58"/>
      <c r="G665" s="56"/>
      <c r="H665" s="56"/>
      <c r="I665" s="59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</row>
    <row r="666" spans="1:32" ht="13.5" customHeight="1" x14ac:dyDescent="0.25">
      <c r="A666" s="56"/>
      <c r="B666" s="56"/>
      <c r="C666" s="56"/>
      <c r="D666" s="56"/>
      <c r="E666" s="57"/>
      <c r="F666" s="58"/>
      <c r="G666" s="56"/>
      <c r="H666" s="56"/>
      <c r="I666" s="59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</row>
    <row r="667" spans="1:32" ht="13.5" customHeight="1" x14ac:dyDescent="0.25">
      <c r="A667" s="56"/>
      <c r="B667" s="56"/>
      <c r="C667" s="56"/>
      <c r="D667" s="56"/>
      <c r="E667" s="57"/>
      <c r="F667" s="58"/>
      <c r="G667" s="56"/>
      <c r="H667" s="56"/>
      <c r="I667" s="59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</row>
    <row r="668" spans="1:32" ht="13.5" customHeight="1" x14ac:dyDescent="0.25">
      <c r="A668" s="56"/>
      <c r="B668" s="56"/>
      <c r="C668" s="56"/>
      <c r="D668" s="56"/>
      <c r="E668" s="57"/>
      <c r="F668" s="58"/>
      <c r="G668" s="56"/>
      <c r="H668" s="56"/>
      <c r="I668" s="59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</row>
    <row r="669" spans="1:32" ht="13.5" customHeight="1" x14ac:dyDescent="0.25">
      <c r="A669" s="56"/>
      <c r="B669" s="56"/>
      <c r="C669" s="56"/>
      <c r="D669" s="56"/>
      <c r="E669" s="57"/>
      <c r="F669" s="58"/>
      <c r="G669" s="56"/>
      <c r="H669" s="56"/>
      <c r="I669" s="59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</row>
    <row r="670" spans="1:32" ht="13.5" customHeight="1" x14ac:dyDescent="0.25">
      <c r="A670" s="56"/>
      <c r="B670" s="56"/>
      <c r="C670" s="56"/>
      <c r="D670" s="56"/>
      <c r="E670" s="57"/>
      <c r="F670" s="58"/>
      <c r="G670" s="56"/>
      <c r="H670" s="56"/>
      <c r="I670" s="59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</row>
    <row r="671" spans="1:32" ht="13.5" customHeight="1" x14ac:dyDescent="0.25">
      <c r="A671" s="56"/>
      <c r="B671" s="56"/>
      <c r="C671" s="56"/>
      <c r="D671" s="56"/>
      <c r="E671" s="57"/>
      <c r="F671" s="58"/>
      <c r="G671" s="56"/>
      <c r="H671" s="56"/>
      <c r="I671" s="59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</row>
    <row r="672" spans="1:32" ht="13.5" customHeight="1" x14ac:dyDescent="0.25">
      <c r="A672" s="56"/>
      <c r="B672" s="56"/>
      <c r="C672" s="56"/>
      <c r="D672" s="56"/>
      <c r="E672" s="57"/>
      <c r="F672" s="58"/>
      <c r="G672" s="56"/>
      <c r="H672" s="56"/>
      <c r="I672" s="59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</row>
    <row r="673" spans="1:32" ht="13.5" customHeight="1" x14ac:dyDescent="0.25">
      <c r="A673" s="56"/>
      <c r="B673" s="56"/>
      <c r="C673" s="56"/>
      <c r="D673" s="56"/>
      <c r="E673" s="57"/>
      <c r="F673" s="58"/>
      <c r="G673" s="56"/>
      <c r="H673" s="56"/>
      <c r="I673" s="59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</row>
    <row r="674" spans="1:32" ht="13.5" customHeight="1" x14ac:dyDescent="0.25">
      <c r="A674" s="56"/>
      <c r="B674" s="56"/>
      <c r="C674" s="56"/>
      <c r="D674" s="56"/>
      <c r="E674" s="57"/>
      <c r="F674" s="58"/>
      <c r="G674" s="56"/>
      <c r="H674" s="56"/>
      <c r="I674" s="59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</row>
    <row r="675" spans="1:32" ht="13.5" customHeight="1" x14ac:dyDescent="0.25">
      <c r="A675" s="56"/>
      <c r="B675" s="56"/>
      <c r="C675" s="56"/>
      <c r="D675" s="56"/>
      <c r="E675" s="57"/>
      <c r="F675" s="58"/>
      <c r="G675" s="56"/>
      <c r="H675" s="56"/>
      <c r="I675" s="59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</row>
    <row r="676" spans="1:32" ht="13.5" customHeight="1" x14ac:dyDescent="0.25">
      <c r="A676" s="56"/>
      <c r="B676" s="56"/>
      <c r="C676" s="56"/>
      <c r="D676" s="56"/>
      <c r="E676" s="57"/>
      <c r="F676" s="58"/>
      <c r="G676" s="56"/>
      <c r="H676" s="56"/>
      <c r="I676" s="59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</row>
    <row r="677" spans="1:32" ht="13.5" customHeight="1" x14ac:dyDescent="0.25">
      <c r="A677" s="56"/>
      <c r="B677" s="56"/>
      <c r="C677" s="56"/>
      <c r="D677" s="56"/>
      <c r="E677" s="57"/>
      <c r="F677" s="58"/>
      <c r="G677" s="56"/>
      <c r="H677" s="56"/>
      <c r="I677" s="59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</row>
    <row r="678" spans="1:32" ht="13.5" customHeight="1" x14ac:dyDescent="0.25">
      <c r="A678" s="56"/>
      <c r="B678" s="56"/>
      <c r="C678" s="56"/>
      <c r="D678" s="56"/>
      <c r="E678" s="57"/>
      <c r="F678" s="58"/>
      <c r="G678" s="56"/>
      <c r="H678" s="56"/>
      <c r="I678" s="59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</row>
    <row r="679" spans="1:32" ht="13.5" customHeight="1" x14ac:dyDescent="0.25">
      <c r="A679" s="56"/>
      <c r="B679" s="56"/>
      <c r="C679" s="56"/>
      <c r="D679" s="56"/>
      <c r="E679" s="57"/>
      <c r="F679" s="58"/>
      <c r="G679" s="56"/>
      <c r="H679" s="56"/>
      <c r="I679" s="59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</row>
    <row r="680" spans="1:32" ht="13.5" customHeight="1" x14ac:dyDescent="0.25">
      <c r="A680" s="56"/>
      <c r="B680" s="56"/>
      <c r="C680" s="56"/>
      <c r="D680" s="56"/>
      <c r="E680" s="57"/>
      <c r="F680" s="58"/>
      <c r="G680" s="56"/>
      <c r="H680" s="56"/>
      <c r="I680" s="59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</row>
    <row r="681" spans="1:32" ht="13.5" customHeight="1" x14ac:dyDescent="0.25">
      <c r="A681" s="56"/>
      <c r="B681" s="56"/>
      <c r="C681" s="56"/>
      <c r="D681" s="56"/>
      <c r="E681" s="57"/>
      <c r="F681" s="58"/>
      <c r="G681" s="56"/>
      <c r="H681" s="56"/>
      <c r="I681" s="59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</row>
    <row r="682" spans="1:32" ht="13.5" customHeight="1" x14ac:dyDescent="0.25">
      <c r="A682" s="56"/>
      <c r="B682" s="56"/>
      <c r="C682" s="56"/>
      <c r="D682" s="56"/>
      <c r="E682" s="57"/>
      <c r="F682" s="58"/>
      <c r="G682" s="56"/>
      <c r="H682" s="56"/>
      <c r="I682" s="59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</row>
    <row r="683" spans="1:32" ht="13.5" customHeight="1" x14ac:dyDescent="0.25">
      <c r="A683" s="56"/>
      <c r="B683" s="56"/>
      <c r="C683" s="56"/>
      <c r="D683" s="56"/>
      <c r="E683" s="57"/>
      <c r="F683" s="58"/>
      <c r="G683" s="56"/>
      <c r="H683" s="56"/>
      <c r="I683" s="59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</row>
    <row r="684" spans="1:32" ht="13.5" customHeight="1" x14ac:dyDescent="0.25">
      <c r="A684" s="56"/>
      <c r="B684" s="56"/>
      <c r="C684" s="56"/>
      <c r="D684" s="56"/>
      <c r="E684" s="57"/>
      <c r="F684" s="58"/>
      <c r="G684" s="56"/>
      <c r="H684" s="56"/>
      <c r="I684" s="59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</row>
    <row r="685" spans="1:32" ht="13.5" customHeight="1" x14ac:dyDescent="0.25">
      <c r="A685" s="56"/>
      <c r="B685" s="56"/>
      <c r="C685" s="56"/>
      <c r="D685" s="56"/>
      <c r="E685" s="57"/>
      <c r="F685" s="58"/>
      <c r="G685" s="56"/>
      <c r="H685" s="56"/>
      <c r="I685" s="59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</row>
    <row r="686" spans="1:32" ht="13.5" customHeight="1" x14ac:dyDescent="0.25">
      <c r="A686" s="56"/>
      <c r="B686" s="56"/>
      <c r="C686" s="56"/>
      <c r="D686" s="56"/>
      <c r="E686" s="57"/>
      <c r="F686" s="58"/>
      <c r="G686" s="56"/>
      <c r="H686" s="56"/>
      <c r="I686" s="59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</row>
    <row r="687" spans="1:32" ht="13.5" customHeight="1" x14ac:dyDescent="0.25">
      <c r="A687" s="56"/>
      <c r="B687" s="56"/>
      <c r="C687" s="56"/>
      <c r="D687" s="56"/>
      <c r="E687" s="57"/>
      <c r="F687" s="58"/>
      <c r="G687" s="56"/>
      <c r="H687" s="56"/>
      <c r="I687" s="59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</row>
    <row r="688" spans="1:32" ht="13.5" customHeight="1" x14ac:dyDescent="0.25">
      <c r="A688" s="56"/>
      <c r="B688" s="56"/>
      <c r="C688" s="56"/>
      <c r="D688" s="56"/>
      <c r="E688" s="57"/>
      <c r="F688" s="58"/>
      <c r="G688" s="56"/>
      <c r="H688" s="56"/>
      <c r="I688" s="59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</row>
    <row r="689" spans="1:32" ht="13.5" customHeight="1" x14ac:dyDescent="0.25">
      <c r="A689" s="56"/>
      <c r="B689" s="56"/>
      <c r="C689" s="56"/>
      <c r="D689" s="56"/>
      <c r="E689" s="57"/>
      <c r="F689" s="58"/>
      <c r="G689" s="56"/>
      <c r="H689" s="56"/>
      <c r="I689" s="59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</row>
    <row r="690" spans="1:32" ht="13.5" customHeight="1" x14ac:dyDescent="0.25">
      <c r="A690" s="56"/>
      <c r="B690" s="56"/>
      <c r="C690" s="56"/>
      <c r="D690" s="56"/>
      <c r="E690" s="57"/>
      <c r="F690" s="58"/>
      <c r="G690" s="56"/>
      <c r="H690" s="56"/>
      <c r="I690" s="59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</row>
    <row r="691" spans="1:32" ht="13.5" customHeight="1" x14ac:dyDescent="0.25">
      <c r="A691" s="56"/>
      <c r="B691" s="56"/>
      <c r="C691" s="56"/>
      <c r="D691" s="56"/>
      <c r="E691" s="57"/>
      <c r="F691" s="58"/>
      <c r="G691" s="56"/>
      <c r="H691" s="56"/>
      <c r="I691" s="59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</row>
    <row r="692" spans="1:32" ht="13.5" customHeight="1" x14ac:dyDescent="0.25">
      <c r="A692" s="56"/>
      <c r="B692" s="56"/>
      <c r="C692" s="56"/>
      <c r="D692" s="56"/>
      <c r="E692" s="57"/>
      <c r="F692" s="58"/>
      <c r="G692" s="56"/>
      <c r="H692" s="56"/>
      <c r="I692" s="59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</row>
    <row r="693" spans="1:32" ht="13.5" customHeight="1" x14ac:dyDescent="0.25">
      <c r="A693" s="56"/>
      <c r="B693" s="56"/>
      <c r="C693" s="56"/>
      <c r="D693" s="56"/>
      <c r="E693" s="57"/>
      <c r="F693" s="58"/>
      <c r="G693" s="56"/>
      <c r="H693" s="56"/>
      <c r="I693" s="59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</row>
    <row r="694" spans="1:32" ht="13.5" customHeight="1" x14ac:dyDescent="0.25">
      <c r="A694" s="56"/>
      <c r="B694" s="56"/>
      <c r="C694" s="56"/>
      <c r="D694" s="56"/>
      <c r="E694" s="57"/>
      <c r="F694" s="58"/>
      <c r="G694" s="56"/>
      <c r="H694" s="56"/>
      <c r="I694" s="59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</row>
    <row r="695" spans="1:32" ht="13.5" customHeight="1" x14ac:dyDescent="0.25">
      <c r="A695" s="56"/>
      <c r="B695" s="56"/>
      <c r="C695" s="56"/>
      <c r="D695" s="56"/>
      <c r="E695" s="57"/>
      <c r="F695" s="58"/>
      <c r="G695" s="56"/>
      <c r="H695" s="56"/>
      <c r="I695" s="59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</row>
    <row r="696" spans="1:32" ht="13.5" customHeight="1" x14ac:dyDescent="0.25">
      <c r="A696" s="56"/>
      <c r="B696" s="56"/>
      <c r="C696" s="56"/>
      <c r="D696" s="56"/>
      <c r="E696" s="57"/>
      <c r="F696" s="58"/>
      <c r="G696" s="56"/>
      <c r="H696" s="56"/>
      <c r="I696" s="59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</row>
    <row r="697" spans="1:32" ht="13.5" customHeight="1" x14ac:dyDescent="0.25">
      <c r="A697" s="56"/>
      <c r="B697" s="56"/>
      <c r="C697" s="56"/>
      <c r="D697" s="56"/>
      <c r="E697" s="57"/>
      <c r="F697" s="58"/>
      <c r="G697" s="56"/>
      <c r="H697" s="56"/>
      <c r="I697" s="59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</row>
    <row r="698" spans="1:32" ht="13.5" customHeight="1" x14ac:dyDescent="0.25">
      <c r="A698" s="56"/>
      <c r="B698" s="56"/>
      <c r="C698" s="56"/>
      <c r="D698" s="56"/>
      <c r="E698" s="57"/>
      <c r="F698" s="58"/>
      <c r="G698" s="56"/>
      <c r="H698" s="56"/>
      <c r="I698" s="59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</row>
    <row r="699" spans="1:32" ht="13.5" customHeight="1" x14ac:dyDescent="0.25">
      <c r="A699" s="56"/>
      <c r="B699" s="56"/>
      <c r="C699" s="56"/>
      <c r="D699" s="56"/>
      <c r="E699" s="57"/>
      <c r="F699" s="58"/>
      <c r="G699" s="56"/>
      <c r="H699" s="56"/>
      <c r="I699" s="59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</row>
    <row r="700" spans="1:32" ht="13.5" customHeight="1" x14ac:dyDescent="0.25">
      <c r="A700" s="56"/>
      <c r="B700" s="56"/>
      <c r="C700" s="56"/>
      <c r="D700" s="56"/>
      <c r="E700" s="57"/>
      <c r="F700" s="58"/>
      <c r="G700" s="56"/>
      <c r="H700" s="56"/>
      <c r="I700" s="59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</row>
    <row r="701" spans="1:32" ht="13.5" customHeight="1" x14ac:dyDescent="0.25">
      <c r="A701" s="56"/>
      <c r="B701" s="56"/>
      <c r="C701" s="56"/>
      <c r="D701" s="56"/>
      <c r="E701" s="57"/>
      <c r="F701" s="58"/>
      <c r="G701" s="56"/>
      <c r="H701" s="56"/>
      <c r="I701" s="59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</row>
    <row r="702" spans="1:32" ht="13.5" customHeight="1" x14ac:dyDescent="0.25">
      <c r="A702" s="56"/>
      <c r="B702" s="56"/>
      <c r="C702" s="56"/>
      <c r="D702" s="56"/>
      <c r="E702" s="57"/>
      <c r="F702" s="58"/>
      <c r="G702" s="56"/>
      <c r="H702" s="56"/>
      <c r="I702" s="59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</row>
    <row r="703" spans="1:32" ht="13.5" customHeight="1" x14ac:dyDescent="0.25">
      <c r="A703" s="56"/>
      <c r="B703" s="56"/>
      <c r="C703" s="56"/>
      <c r="D703" s="56"/>
      <c r="E703" s="57"/>
      <c r="F703" s="58"/>
      <c r="G703" s="56"/>
      <c r="H703" s="56"/>
      <c r="I703" s="59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</row>
    <row r="704" spans="1:32" ht="13.5" customHeight="1" x14ac:dyDescent="0.25">
      <c r="A704" s="56"/>
      <c r="B704" s="56"/>
      <c r="C704" s="56"/>
      <c r="D704" s="56"/>
      <c r="E704" s="57"/>
      <c r="F704" s="58"/>
      <c r="G704" s="56"/>
      <c r="H704" s="56"/>
      <c r="I704" s="59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</row>
    <row r="705" spans="1:32" ht="13.5" customHeight="1" x14ac:dyDescent="0.25">
      <c r="A705" s="56"/>
      <c r="B705" s="56"/>
      <c r="C705" s="56"/>
      <c r="D705" s="56"/>
      <c r="E705" s="57"/>
      <c r="F705" s="58"/>
      <c r="G705" s="56"/>
      <c r="H705" s="56"/>
      <c r="I705" s="59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</row>
    <row r="706" spans="1:32" ht="13.5" customHeight="1" x14ac:dyDescent="0.25">
      <c r="A706" s="56"/>
      <c r="B706" s="56"/>
      <c r="C706" s="56"/>
      <c r="D706" s="56"/>
      <c r="E706" s="57"/>
      <c r="F706" s="58"/>
      <c r="G706" s="56"/>
      <c r="H706" s="56"/>
      <c r="I706" s="59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</row>
    <row r="707" spans="1:32" ht="13.5" customHeight="1" x14ac:dyDescent="0.25">
      <c r="A707" s="56"/>
      <c r="B707" s="56"/>
      <c r="C707" s="56"/>
      <c r="D707" s="56"/>
      <c r="E707" s="57"/>
      <c r="F707" s="58"/>
      <c r="G707" s="56"/>
      <c r="H707" s="56"/>
      <c r="I707" s="59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</row>
    <row r="708" spans="1:32" ht="13.5" customHeight="1" x14ac:dyDescent="0.25">
      <c r="A708" s="56"/>
      <c r="B708" s="56"/>
      <c r="C708" s="56"/>
      <c r="D708" s="56"/>
      <c r="E708" s="57"/>
      <c r="F708" s="58"/>
      <c r="G708" s="56"/>
      <c r="H708" s="56"/>
      <c r="I708" s="59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</row>
    <row r="709" spans="1:32" ht="13.5" customHeight="1" x14ac:dyDescent="0.25">
      <c r="A709" s="56"/>
      <c r="B709" s="56"/>
      <c r="C709" s="56"/>
      <c r="D709" s="56"/>
      <c r="E709" s="57"/>
      <c r="F709" s="58"/>
      <c r="G709" s="56"/>
      <c r="H709" s="56"/>
      <c r="I709" s="59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</row>
    <row r="710" spans="1:32" ht="13.5" customHeight="1" x14ac:dyDescent="0.25">
      <c r="A710" s="56"/>
      <c r="B710" s="56"/>
      <c r="C710" s="56"/>
      <c r="D710" s="56"/>
      <c r="E710" s="57"/>
      <c r="F710" s="58"/>
      <c r="G710" s="56"/>
      <c r="H710" s="56"/>
      <c r="I710" s="59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</row>
    <row r="711" spans="1:32" ht="13.5" customHeight="1" x14ac:dyDescent="0.25">
      <c r="A711" s="56"/>
      <c r="B711" s="56"/>
      <c r="C711" s="56"/>
      <c r="D711" s="56"/>
      <c r="E711" s="57"/>
      <c r="F711" s="58"/>
      <c r="G711" s="56"/>
      <c r="H711" s="56"/>
      <c r="I711" s="59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</row>
    <row r="712" spans="1:32" ht="13.5" customHeight="1" x14ac:dyDescent="0.25">
      <c r="A712" s="56"/>
      <c r="B712" s="56"/>
      <c r="C712" s="56"/>
      <c r="D712" s="56"/>
      <c r="E712" s="57"/>
      <c r="F712" s="58"/>
      <c r="G712" s="56"/>
      <c r="H712" s="56"/>
      <c r="I712" s="59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</row>
    <row r="713" spans="1:32" ht="13.5" customHeight="1" x14ac:dyDescent="0.25">
      <c r="A713" s="56"/>
      <c r="B713" s="56"/>
      <c r="C713" s="56"/>
      <c r="D713" s="56"/>
      <c r="E713" s="57"/>
      <c r="F713" s="58"/>
      <c r="G713" s="56"/>
      <c r="H713" s="56"/>
      <c r="I713" s="59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</row>
    <row r="714" spans="1:32" ht="13.5" customHeight="1" x14ac:dyDescent="0.25">
      <c r="A714" s="56"/>
      <c r="B714" s="56"/>
      <c r="C714" s="56"/>
      <c r="D714" s="56"/>
      <c r="E714" s="57"/>
      <c r="F714" s="58"/>
      <c r="G714" s="56"/>
      <c r="H714" s="56"/>
      <c r="I714" s="59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</row>
    <row r="715" spans="1:32" ht="13.5" customHeight="1" x14ac:dyDescent="0.25">
      <c r="A715" s="56"/>
      <c r="B715" s="56"/>
      <c r="C715" s="56"/>
      <c r="D715" s="56"/>
      <c r="E715" s="57"/>
      <c r="F715" s="58"/>
      <c r="G715" s="56"/>
      <c r="H715" s="56"/>
      <c r="I715" s="59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</row>
    <row r="716" spans="1:32" ht="13.5" customHeight="1" x14ac:dyDescent="0.25">
      <c r="A716" s="56"/>
      <c r="B716" s="56"/>
      <c r="C716" s="56"/>
      <c r="D716" s="56"/>
      <c r="E716" s="57"/>
      <c r="F716" s="58"/>
      <c r="G716" s="56"/>
      <c r="H716" s="56"/>
      <c r="I716" s="59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</row>
    <row r="717" spans="1:32" ht="13.5" customHeight="1" x14ac:dyDescent="0.25">
      <c r="A717" s="56"/>
      <c r="B717" s="56"/>
      <c r="C717" s="56"/>
      <c r="D717" s="56"/>
      <c r="E717" s="57"/>
      <c r="F717" s="58"/>
      <c r="G717" s="56"/>
      <c r="H717" s="56"/>
      <c r="I717" s="59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</row>
    <row r="718" spans="1:32" ht="13.5" customHeight="1" x14ac:dyDescent="0.25">
      <c r="A718" s="56"/>
      <c r="B718" s="56"/>
      <c r="C718" s="56"/>
      <c r="D718" s="56"/>
      <c r="E718" s="57"/>
      <c r="F718" s="58"/>
      <c r="G718" s="56"/>
      <c r="H718" s="56"/>
      <c r="I718" s="59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</row>
    <row r="719" spans="1:32" ht="13.5" customHeight="1" x14ac:dyDescent="0.25">
      <c r="A719" s="56"/>
      <c r="B719" s="56"/>
      <c r="C719" s="56"/>
      <c r="D719" s="56"/>
      <c r="E719" s="57"/>
      <c r="F719" s="58"/>
      <c r="G719" s="56"/>
      <c r="H719" s="56"/>
      <c r="I719" s="59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</row>
    <row r="720" spans="1:32" ht="13.5" customHeight="1" x14ac:dyDescent="0.25">
      <c r="A720" s="56"/>
      <c r="B720" s="56"/>
      <c r="C720" s="56"/>
      <c r="D720" s="56"/>
      <c r="E720" s="57"/>
      <c r="F720" s="58"/>
      <c r="G720" s="56"/>
      <c r="H720" s="56"/>
      <c r="I720" s="59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</row>
    <row r="721" spans="1:32" ht="13.5" customHeight="1" x14ac:dyDescent="0.25">
      <c r="A721" s="56"/>
      <c r="B721" s="56"/>
      <c r="C721" s="56"/>
      <c r="D721" s="56"/>
      <c r="E721" s="57"/>
      <c r="F721" s="58"/>
      <c r="G721" s="56"/>
      <c r="H721" s="56"/>
      <c r="I721" s="59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</row>
    <row r="722" spans="1:32" ht="13.5" customHeight="1" x14ac:dyDescent="0.25">
      <c r="A722" s="56"/>
      <c r="B722" s="56"/>
      <c r="C722" s="56"/>
      <c r="D722" s="56"/>
      <c r="E722" s="57"/>
      <c r="F722" s="58"/>
      <c r="G722" s="56"/>
      <c r="H722" s="56"/>
      <c r="I722" s="59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</row>
    <row r="723" spans="1:32" ht="13.5" customHeight="1" x14ac:dyDescent="0.25">
      <c r="A723" s="56"/>
      <c r="B723" s="56"/>
      <c r="C723" s="56"/>
      <c r="D723" s="56"/>
      <c r="E723" s="57"/>
      <c r="F723" s="58"/>
      <c r="G723" s="56"/>
      <c r="H723" s="56"/>
      <c r="I723" s="59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</row>
    <row r="724" spans="1:32" ht="13.5" customHeight="1" x14ac:dyDescent="0.25">
      <c r="A724" s="56"/>
      <c r="B724" s="56"/>
      <c r="C724" s="56"/>
      <c r="D724" s="56"/>
      <c r="E724" s="57"/>
      <c r="F724" s="58"/>
      <c r="G724" s="56"/>
      <c r="H724" s="56"/>
      <c r="I724" s="59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</row>
    <row r="725" spans="1:32" ht="13.5" customHeight="1" x14ac:dyDescent="0.25">
      <c r="A725" s="56"/>
      <c r="B725" s="56"/>
      <c r="C725" s="56"/>
      <c r="D725" s="56"/>
      <c r="E725" s="57"/>
      <c r="F725" s="58"/>
      <c r="G725" s="56"/>
      <c r="H725" s="56"/>
      <c r="I725" s="59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</row>
    <row r="726" spans="1:32" ht="13.5" customHeight="1" x14ac:dyDescent="0.25">
      <c r="A726" s="56"/>
      <c r="B726" s="56"/>
      <c r="C726" s="56"/>
      <c r="D726" s="56"/>
      <c r="E726" s="57"/>
      <c r="F726" s="58"/>
      <c r="G726" s="56"/>
      <c r="H726" s="56"/>
      <c r="I726" s="59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</row>
    <row r="727" spans="1:32" ht="13.5" customHeight="1" x14ac:dyDescent="0.25">
      <c r="A727" s="56"/>
      <c r="B727" s="56"/>
      <c r="C727" s="56"/>
      <c r="D727" s="56"/>
      <c r="E727" s="57"/>
      <c r="F727" s="58"/>
      <c r="G727" s="56"/>
      <c r="H727" s="56"/>
      <c r="I727" s="59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</row>
    <row r="728" spans="1:32" ht="13.5" customHeight="1" x14ac:dyDescent="0.25">
      <c r="A728" s="56"/>
      <c r="B728" s="56"/>
      <c r="C728" s="56"/>
      <c r="D728" s="56"/>
      <c r="E728" s="57"/>
      <c r="F728" s="58"/>
      <c r="G728" s="56"/>
      <c r="H728" s="56"/>
      <c r="I728" s="59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</row>
    <row r="729" spans="1:32" ht="13.5" customHeight="1" x14ac:dyDescent="0.25">
      <c r="A729" s="56"/>
      <c r="B729" s="56"/>
      <c r="C729" s="56"/>
      <c r="D729" s="56"/>
      <c r="E729" s="57"/>
      <c r="F729" s="58"/>
      <c r="G729" s="56"/>
      <c r="H729" s="56"/>
      <c r="I729" s="59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</row>
    <row r="730" spans="1:32" ht="13.5" customHeight="1" x14ac:dyDescent="0.25">
      <c r="A730" s="56"/>
      <c r="B730" s="56"/>
      <c r="C730" s="56"/>
      <c r="D730" s="56"/>
      <c r="E730" s="57"/>
      <c r="F730" s="58"/>
      <c r="G730" s="56"/>
      <c r="H730" s="56"/>
      <c r="I730" s="59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</row>
    <row r="731" spans="1:32" ht="13.5" customHeight="1" x14ac:dyDescent="0.25">
      <c r="A731" s="56"/>
      <c r="B731" s="56"/>
      <c r="C731" s="56"/>
      <c r="D731" s="56"/>
      <c r="E731" s="57"/>
      <c r="F731" s="58"/>
      <c r="G731" s="56"/>
      <c r="H731" s="56"/>
      <c r="I731" s="59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</row>
    <row r="732" spans="1:32" ht="13.5" customHeight="1" x14ac:dyDescent="0.25">
      <c r="A732" s="56"/>
      <c r="B732" s="56"/>
      <c r="C732" s="56"/>
      <c r="D732" s="56"/>
      <c r="E732" s="57"/>
      <c r="F732" s="58"/>
      <c r="G732" s="56"/>
      <c r="H732" s="56"/>
      <c r="I732" s="59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</row>
    <row r="733" spans="1:32" ht="13.5" customHeight="1" x14ac:dyDescent="0.25">
      <c r="A733" s="56"/>
      <c r="B733" s="56"/>
      <c r="C733" s="56"/>
      <c r="D733" s="56"/>
      <c r="E733" s="57"/>
      <c r="F733" s="58"/>
      <c r="G733" s="56"/>
      <c r="H733" s="56"/>
      <c r="I733" s="59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</row>
    <row r="734" spans="1:32" ht="13.5" customHeight="1" x14ac:dyDescent="0.25">
      <c r="A734" s="56"/>
      <c r="B734" s="56"/>
      <c r="C734" s="56"/>
      <c r="D734" s="56"/>
      <c r="E734" s="57"/>
      <c r="F734" s="58"/>
      <c r="G734" s="56"/>
      <c r="H734" s="56"/>
      <c r="I734" s="59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</row>
    <row r="735" spans="1:32" ht="13.5" customHeight="1" x14ac:dyDescent="0.25">
      <c r="A735" s="56"/>
      <c r="B735" s="56"/>
      <c r="C735" s="56"/>
      <c r="D735" s="56"/>
      <c r="E735" s="57"/>
      <c r="F735" s="58"/>
      <c r="G735" s="56"/>
      <c r="H735" s="56"/>
      <c r="I735" s="59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</row>
    <row r="736" spans="1:32" ht="13.5" customHeight="1" x14ac:dyDescent="0.25">
      <c r="A736" s="56"/>
      <c r="B736" s="56"/>
      <c r="C736" s="56"/>
      <c r="D736" s="56"/>
      <c r="E736" s="57"/>
      <c r="F736" s="58"/>
      <c r="G736" s="56"/>
      <c r="H736" s="56"/>
      <c r="I736" s="59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</row>
    <row r="737" spans="1:32" ht="13.5" customHeight="1" x14ac:dyDescent="0.25">
      <c r="A737" s="56"/>
      <c r="B737" s="56"/>
      <c r="C737" s="56"/>
      <c r="D737" s="56"/>
      <c r="E737" s="57"/>
      <c r="F737" s="58"/>
      <c r="G737" s="56"/>
      <c r="H737" s="56"/>
      <c r="I737" s="59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</row>
    <row r="738" spans="1:32" ht="13.5" customHeight="1" x14ac:dyDescent="0.25">
      <c r="A738" s="56"/>
      <c r="B738" s="56"/>
      <c r="C738" s="56"/>
      <c r="D738" s="56"/>
      <c r="E738" s="57"/>
      <c r="F738" s="58"/>
      <c r="G738" s="56"/>
      <c r="H738" s="56"/>
      <c r="I738" s="59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</row>
    <row r="739" spans="1:32" ht="13.5" customHeight="1" x14ac:dyDescent="0.25">
      <c r="A739" s="56"/>
      <c r="B739" s="56"/>
      <c r="C739" s="56"/>
      <c r="D739" s="56"/>
      <c r="E739" s="57"/>
      <c r="F739" s="58"/>
      <c r="G739" s="56"/>
      <c r="H739" s="56"/>
      <c r="I739" s="59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</row>
    <row r="740" spans="1:32" ht="13.5" customHeight="1" x14ac:dyDescent="0.25">
      <c r="A740" s="56"/>
      <c r="B740" s="56"/>
      <c r="C740" s="56"/>
      <c r="D740" s="56"/>
      <c r="E740" s="57"/>
      <c r="F740" s="58"/>
      <c r="G740" s="56"/>
      <c r="H740" s="56"/>
      <c r="I740" s="59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</row>
    <row r="741" spans="1:32" ht="13.5" customHeight="1" x14ac:dyDescent="0.25">
      <c r="A741" s="56"/>
      <c r="B741" s="56"/>
      <c r="C741" s="56"/>
      <c r="D741" s="56"/>
      <c r="E741" s="57"/>
      <c r="F741" s="58"/>
      <c r="G741" s="56"/>
      <c r="H741" s="56"/>
      <c r="I741" s="59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</row>
    <row r="742" spans="1:32" ht="13.5" customHeight="1" x14ac:dyDescent="0.25">
      <c r="A742" s="56"/>
      <c r="B742" s="56"/>
      <c r="C742" s="56"/>
      <c r="D742" s="56"/>
      <c r="E742" s="57"/>
      <c r="F742" s="58"/>
      <c r="G742" s="56"/>
      <c r="H742" s="56"/>
      <c r="I742" s="59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</row>
    <row r="743" spans="1:32" ht="13.5" customHeight="1" x14ac:dyDescent="0.25">
      <c r="A743" s="56"/>
      <c r="B743" s="56"/>
      <c r="C743" s="56"/>
      <c r="D743" s="56"/>
      <c r="E743" s="57"/>
      <c r="F743" s="58"/>
      <c r="G743" s="56"/>
      <c r="H743" s="56"/>
      <c r="I743" s="59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</row>
    <row r="744" spans="1:32" ht="13.5" customHeight="1" x14ac:dyDescent="0.25">
      <c r="A744" s="56"/>
      <c r="B744" s="56"/>
      <c r="C744" s="56"/>
      <c r="D744" s="56"/>
      <c r="E744" s="57"/>
      <c r="F744" s="58"/>
      <c r="G744" s="56"/>
      <c r="H744" s="56"/>
      <c r="I744" s="59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</row>
    <row r="745" spans="1:32" ht="13.5" customHeight="1" x14ac:dyDescent="0.25">
      <c r="A745" s="56"/>
      <c r="B745" s="56"/>
      <c r="C745" s="56"/>
      <c r="D745" s="56"/>
      <c r="E745" s="57"/>
      <c r="F745" s="58"/>
      <c r="G745" s="56"/>
      <c r="H745" s="56"/>
      <c r="I745" s="59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</row>
    <row r="746" spans="1:32" ht="13.5" customHeight="1" x14ac:dyDescent="0.25">
      <c r="A746" s="56"/>
      <c r="B746" s="56"/>
      <c r="C746" s="56"/>
      <c r="D746" s="56"/>
      <c r="E746" s="57"/>
      <c r="F746" s="58"/>
      <c r="G746" s="56"/>
      <c r="H746" s="56"/>
      <c r="I746" s="59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</row>
    <row r="747" spans="1:32" ht="13.5" customHeight="1" x14ac:dyDescent="0.25">
      <c r="A747" s="56"/>
      <c r="B747" s="56"/>
      <c r="C747" s="56"/>
      <c r="D747" s="56"/>
      <c r="E747" s="57"/>
      <c r="F747" s="58"/>
      <c r="G747" s="56"/>
      <c r="H747" s="56"/>
      <c r="I747" s="59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</row>
    <row r="748" spans="1:32" ht="13.5" customHeight="1" x14ac:dyDescent="0.25">
      <c r="A748" s="56"/>
      <c r="B748" s="56"/>
      <c r="C748" s="56"/>
      <c r="D748" s="56"/>
      <c r="E748" s="57"/>
      <c r="F748" s="58"/>
      <c r="G748" s="56"/>
      <c r="H748" s="56"/>
      <c r="I748" s="59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</row>
    <row r="749" spans="1:32" ht="13.5" customHeight="1" x14ac:dyDescent="0.25">
      <c r="A749" s="56"/>
      <c r="B749" s="56"/>
      <c r="C749" s="56"/>
      <c r="D749" s="56"/>
      <c r="E749" s="57"/>
      <c r="F749" s="58"/>
      <c r="G749" s="56"/>
      <c r="H749" s="56"/>
      <c r="I749" s="59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</row>
    <row r="750" spans="1:32" ht="13.5" customHeight="1" x14ac:dyDescent="0.25">
      <c r="A750" s="56"/>
      <c r="B750" s="56"/>
      <c r="C750" s="56"/>
      <c r="D750" s="56"/>
      <c r="E750" s="57"/>
      <c r="F750" s="58"/>
      <c r="G750" s="56"/>
      <c r="H750" s="56"/>
      <c r="I750" s="59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</row>
    <row r="751" spans="1:32" ht="13.5" customHeight="1" x14ac:dyDescent="0.25">
      <c r="A751" s="56"/>
      <c r="B751" s="56"/>
      <c r="C751" s="56"/>
      <c r="D751" s="56"/>
      <c r="E751" s="57"/>
      <c r="F751" s="58"/>
      <c r="G751" s="56"/>
      <c r="H751" s="56"/>
      <c r="I751" s="59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</row>
    <row r="752" spans="1:32" ht="13.5" customHeight="1" x14ac:dyDescent="0.25">
      <c r="A752" s="56"/>
      <c r="B752" s="56"/>
      <c r="C752" s="56"/>
      <c r="D752" s="56"/>
      <c r="E752" s="57"/>
      <c r="F752" s="58"/>
      <c r="G752" s="56"/>
      <c r="H752" s="56"/>
      <c r="I752" s="59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</row>
    <row r="753" spans="1:32" ht="13.5" customHeight="1" x14ac:dyDescent="0.25">
      <c r="A753" s="56"/>
      <c r="B753" s="56"/>
      <c r="C753" s="56"/>
      <c r="D753" s="56"/>
      <c r="E753" s="57"/>
      <c r="F753" s="58"/>
      <c r="G753" s="56"/>
      <c r="H753" s="56"/>
      <c r="I753" s="59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</row>
    <row r="754" spans="1:32" ht="13.5" customHeight="1" x14ac:dyDescent="0.25">
      <c r="A754" s="56"/>
      <c r="B754" s="56"/>
      <c r="C754" s="56"/>
      <c r="D754" s="56"/>
      <c r="E754" s="57"/>
      <c r="F754" s="58"/>
      <c r="G754" s="56"/>
      <c r="H754" s="56"/>
      <c r="I754" s="59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</row>
    <row r="755" spans="1:32" ht="13.5" customHeight="1" x14ac:dyDescent="0.25">
      <c r="A755" s="56"/>
      <c r="B755" s="56"/>
      <c r="C755" s="56"/>
      <c r="D755" s="56"/>
      <c r="E755" s="57"/>
      <c r="F755" s="58"/>
      <c r="G755" s="56"/>
      <c r="H755" s="56"/>
      <c r="I755" s="59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</row>
    <row r="756" spans="1:32" ht="13.5" customHeight="1" x14ac:dyDescent="0.25">
      <c r="A756" s="56"/>
      <c r="B756" s="56"/>
      <c r="C756" s="56"/>
      <c r="D756" s="56"/>
      <c r="E756" s="57"/>
      <c r="F756" s="58"/>
      <c r="G756" s="56"/>
      <c r="H756" s="56"/>
      <c r="I756" s="59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</row>
    <row r="757" spans="1:32" ht="13.5" customHeight="1" x14ac:dyDescent="0.25">
      <c r="A757" s="56"/>
      <c r="B757" s="56"/>
      <c r="C757" s="56"/>
      <c r="D757" s="56"/>
      <c r="E757" s="57"/>
      <c r="F757" s="58"/>
      <c r="G757" s="56"/>
      <c r="H757" s="56"/>
      <c r="I757" s="59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</row>
    <row r="758" spans="1:32" ht="13.5" customHeight="1" x14ac:dyDescent="0.25">
      <c r="A758" s="56"/>
      <c r="B758" s="56"/>
      <c r="C758" s="56"/>
      <c r="D758" s="56"/>
      <c r="E758" s="57"/>
      <c r="F758" s="58"/>
      <c r="G758" s="56"/>
      <c r="H758" s="56"/>
      <c r="I758" s="59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</row>
    <row r="759" spans="1:32" ht="13.5" customHeight="1" x14ac:dyDescent="0.25">
      <c r="A759" s="56"/>
      <c r="B759" s="56"/>
      <c r="C759" s="56"/>
      <c r="D759" s="56"/>
      <c r="E759" s="57"/>
      <c r="F759" s="58"/>
      <c r="G759" s="56"/>
      <c r="H759" s="56"/>
      <c r="I759" s="59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</row>
    <row r="760" spans="1:32" ht="13.5" customHeight="1" x14ac:dyDescent="0.25">
      <c r="A760" s="56"/>
      <c r="B760" s="56"/>
      <c r="C760" s="56"/>
      <c r="D760" s="56"/>
      <c r="E760" s="57"/>
      <c r="F760" s="58"/>
      <c r="G760" s="56"/>
      <c r="H760" s="56"/>
      <c r="I760" s="59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</row>
    <row r="761" spans="1:32" ht="13.5" customHeight="1" x14ac:dyDescent="0.25">
      <c r="A761" s="56"/>
      <c r="B761" s="56"/>
      <c r="C761" s="56"/>
      <c r="D761" s="56"/>
      <c r="E761" s="57"/>
      <c r="F761" s="58"/>
      <c r="G761" s="56"/>
      <c r="H761" s="56"/>
      <c r="I761" s="59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</row>
    <row r="762" spans="1:32" ht="13.5" customHeight="1" x14ac:dyDescent="0.25">
      <c r="A762" s="56"/>
      <c r="B762" s="56"/>
      <c r="C762" s="56"/>
      <c r="D762" s="56"/>
      <c r="E762" s="57"/>
      <c r="F762" s="58"/>
      <c r="G762" s="56"/>
      <c r="H762" s="56"/>
      <c r="I762" s="59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</row>
    <row r="763" spans="1:32" ht="13.5" customHeight="1" x14ac:dyDescent="0.25">
      <c r="A763" s="56"/>
      <c r="B763" s="56"/>
      <c r="C763" s="56"/>
      <c r="D763" s="56"/>
      <c r="E763" s="57"/>
      <c r="F763" s="58"/>
      <c r="G763" s="56"/>
      <c r="H763" s="56"/>
      <c r="I763" s="59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</row>
    <row r="764" spans="1:32" ht="13.5" customHeight="1" x14ac:dyDescent="0.25">
      <c r="A764" s="56"/>
      <c r="B764" s="56"/>
      <c r="C764" s="56"/>
      <c r="D764" s="56"/>
      <c r="E764" s="57"/>
      <c r="F764" s="58"/>
      <c r="G764" s="56"/>
      <c r="H764" s="56"/>
      <c r="I764" s="59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</row>
    <row r="765" spans="1:32" ht="13.5" customHeight="1" x14ac:dyDescent="0.25">
      <c r="A765" s="56"/>
      <c r="B765" s="56"/>
      <c r="C765" s="56"/>
      <c r="D765" s="56"/>
      <c r="E765" s="57"/>
      <c r="F765" s="58"/>
      <c r="G765" s="56"/>
      <c r="H765" s="56"/>
      <c r="I765" s="59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</row>
    <row r="766" spans="1:32" ht="13.5" customHeight="1" x14ac:dyDescent="0.25">
      <c r="A766" s="56"/>
      <c r="B766" s="56"/>
      <c r="C766" s="56"/>
      <c r="D766" s="56"/>
      <c r="E766" s="57"/>
      <c r="F766" s="58"/>
      <c r="G766" s="56"/>
      <c r="H766" s="56"/>
      <c r="I766" s="59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</row>
    <row r="767" spans="1:32" ht="13.5" customHeight="1" x14ac:dyDescent="0.25">
      <c r="A767" s="56"/>
      <c r="B767" s="56"/>
      <c r="C767" s="56"/>
      <c r="D767" s="56"/>
      <c r="E767" s="57"/>
      <c r="F767" s="58"/>
      <c r="G767" s="56"/>
      <c r="H767" s="56"/>
      <c r="I767" s="59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</row>
    <row r="768" spans="1:32" ht="13.5" customHeight="1" x14ac:dyDescent="0.25">
      <c r="A768" s="56"/>
      <c r="B768" s="56"/>
      <c r="C768" s="56"/>
      <c r="D768" s="56"/>
      <c r="E768" s="57"/>
      <c r="F768" s="58"/>
      <c r="G768" s="56"/>
      <c r="H768" s="56"/>
      <c r="I768" s="59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</row>
    <row r="769" spans="1:32" ht="13.5" customHeight="1" x14ac:dyDescent="0.25">
      <c r="A769" s="56"/>
      <c r="B769" s="56"/>
      <c r="C769" s="56"/>
      <c r="D769" s="56"/>
      <c r="E769" s="57"/>
      <c r="F769" s="58"/>
      <c r="G769" s="56"/>
      <c r="H769" s="56"/>
      <c r="I769" s="59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</row>
    <row r="770" spans="1:32" ht="13.5" customHeight="1" x14ac:dyDescent="0.25">
      <c r="A770" s="56"/>
      <c r="B770" s="56"/>
      <c r="C770" s="56"/>
      <c r="D770" s="56"/>
      <c r="E770" s="57"/>
      <c r="F770" s="58"/>
      <c r="G770" s="56"/>
      <c r="H770" s="56"/>
      <c r="I770" s="59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</row>
    <row r="771" spans="1:32" ht="13.5" customHeight="1" x14ac:dyDescent="0.25">
      <c r="A771" s="56"/>
      <c r="B771" s="56"/>
      <c r="C771" s="56"/>
      <c r="D771" s="56"/>
      <c r="E771" s="57"/>
      <c r="F771" s="58"/>
      <c r="G771" s="56"/>
      <c r="H771" s="56"/>
      <c r="I771" s="59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</row>
    <row r="772" spans="1:32" ht="13.5" customHeight="1" x14ac:dyDescent="0.25">
      <c r="A772" s="56"/>
      <c r="B772" s="56"/>
      <c r="C772" s="56"/>
      <c r="D772" s="56"/>
      <c r="E772" s="57"/>
      <c r="F772" s="58"/>
      <c r="G772" s="56"/>
      <c r="H772" s="56"/>
      <c r="I772" s="59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</row>
    <row r="773" spans="1:32" ht="13.5" customHeight="1" x14ac:dyDescent="0.25">
      <c r="A773" s="56"/>
      <c r="B773" s="56"/>
      <c r="C773" s="56"/>
      <c r="D773" s="56"/>
      <c r="E773" s="57"/>
      <c r="F773" s="58"/>
      <c r="G773" s="56"/>
      <c r="H773" s="56"/>
      <c r="I773" s="59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</row>
    <row r="774" spans="1:32" ht="13.5" customHeight="1" x14ac:dyDescent="0.25">
      <c r="A774" s="56"/>
      <c r="B774" s="56"/>
      <c r="C774" s="56"/>
      <c r="D774" s="56"/>
      <c r="E774" s="57"/>
      <c r="F774" s="58"/>
      <c r="G774" s="56"/>
      <c r="H774" s="56"/>
      <c r="I774" s="59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</row>
    <row r="775" spans="1:32" ht="13.5" customHeight="1" x14ac:dyDescent="0.25">
      <c r="A775" s="56"/>
      <c r="B775" s="56"/>
      <c r="C775" s="56"/>
      <c r="D775" s="56"/>
      <c r="E775" s="57"/>
      <c r="F775" s="58"/>
      <c r="G775" s="56"/>
      <c r="H775" s="56"/>
      <c r="I775" s="59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</row>
    <row r="776" spans="1:32" ht="13.5" customHeight="1" x14ac:dyDescent="0.25">
      <c r="A776" s="56"/>
      <c r="B776" s="56"/>
      <c r="C776" s="56"/>
      <c r="D776" s="56"/>
      <c r="E776" s="57"/>
      <c r="F776" s="58"/>
      <c r="G776" s="56"/>
      <c r="H776" s="56"/>
      <c r="I776" s="59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</row>
    <row r="777" spans="1:32" ht="13.5" customHeight="1" x14ac:dyDescent="0.25">
      <c r="A777" s="56"/>
      <c r="B777" s="56"/>
      <c r="C777" s="56"/>
      <c r="D777" s="56"/>
      <c r="E777" s="57"/>
      <c r="F777" s="58"/>
      <c r="G777" s="56"/>
      <c r="H777" s="56"/>
      <c r="I777" s="59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</row>
    <row r="778" spans="1:32" ht="13.5" customHeight="1" x14ac:dyDescent="0.25">
      <c r="A778" s="56"/>
      <c r="B778" s="56"/>
      <c r="C778" s="56"/>
      <c r="D778" s="56"/>
      <c r="E778" s="57"/>
      <c r="F778" s="58"/>
      <c r="G778" s="56"/>
      <c r="H778" s="56"/>
      <c r="I778" s="59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</row>
    <row r="779" spans="1:32" ht="13.5" customHeight="1" x14ac:dyDescent="0.25">
      <c r="A779" s="56"/>
      <c r="B779" s="56"/>
      <c r="C779" s="56"/>
      <c r="D779" s="56"/>
      <c r="E779" s="57"/>
      <c r="F779" s="58"/>
      <c r="G779" s="56"/>
      <c r="H779" s="56"/>
      <c r="I779" s="59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</row>
    <row r="780" spans="1:32" ht="13.5" customHeight="1" x14ac:dyDescent="0.25">
      <c r="A780" s="56"/>
      <c r="B780" s="56"/>
      <c r="C780" s="56"/>
      <c r="D780" s="56"/>
      <c r="E780" s="57"/>
      <c r="F780" s="58"/>
      <c r="G780" s="56"/>
      <c r="H780" s="56"/>
      <c r="I780" s="59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</row>
    <row r="781" spans="1:32" ht="13.5" customHeight="1" x14ac:dyDescent="0.25">
      <c r="A781" s="56"/>
      <c r="B781" s="56"/>
      <c r="C781" s="56"/>
      <c r="D781" s="56"/>
      <c r="E781" s="57"/>
      <c r="F781" s="58"/>
      <c r="G781" s="56"/>
      <c r="H781" s="56"/>
      <c r="I781" s="59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</row>
    <row r="782" spans="1:32" ht="13.5" customHeight="1" x14ac:dyDescent="0.25">
      <c r="A782" s="56"/>
      <c r="B782" s="56"/>
      <c r="C782" s="56"/>
      <c r="D782" s="56"/>
      <c r="E782" s="57"/>
      <c r="F782" s="58"/>
      <c r="G782" s="56"/>
      <c r="H782" s="56"/>
      <c r="I782" s="59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</row>
    <row r="783" spans="1:32" ht="13.5" customHeight="1" x14ac:dyDescent="0.25">
      <c r="A783" s="56"/>
      <c r="B783" s="56"/>
      <c r="C783" s="56"/>
      <c r="D783" s="56"/>
      <c r="E783" s="57"/>
      <c r="F783" s="58"/>
      <c r="G783" s="56"/>
      <c r="H783" s="56"/>
      <c r="I783" s="59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</row>
    <row r="784" spans="1:32" ht="13.5" customHeight="1" x14ac:dyDescent="0.25">
      <c r="A784" s="56"/>
      <c r="B784" s="56"/>
      <c r="C784" s="56"/>
      <c r="D784" s="56"/>
      <c r="E784" s="57"/>
      <c r="F784" s="58"/>
      <c r="G784" s="56"/>
      <c r="H784" s="56"/>
      <c r="I784" s="59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</row>
    <row r="785" spans="1:32" ht="13.5" customHeight="1" x14ac:dyDescent="0.25">
      <c r="A785" s="56"/>
      <c r="B785" s="56"/>
      <c r="C785" s="56"/>
      <c r="D785" s="56"/>
      <c r="E785" s="57"/>
      <c r="F785" s="58"/>
      <c r="G785" s="56"/>
      <c r="H785" s="56"/>
      <c r="I785" s="59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</row>
    <row r="786" spans="1:32" ht="13.5" customHeight="1" x14ac:dyDescent="0.25">
      <c r="A786" s="56"/>
      <c r="B786" s="56"/>
      <c r="C786" s="56"/>
      <c r="D786" s="56"/>
      <c r="E786" s="57"/>
      <c r="F786" s="58"/>
      <c r="G786" s="56"/>
      <c r="H786" s="56"/>
      <c r="I786" s="59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</row>
    <row r="787" spans="1:32" ht="13.5" customHeight="1" x14ac:dyDescent="0.25">
      <c r="A787" s="56"/>
      <c r="B787" s="56"/>
      <c r="C787" s="56"/>
      <c r="D787" s="56"/>
      <c r="E787" s="57"/>
      <c r="F787" s="58"/>
      <c r="G787" s="56"/>
      <c r="H787" s="56"/>
      <c r="I787" s="59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</row>
    <row r="788" spans="1:32" ht="13.5" customHeight="1" x14ac:dyDescent="0.25">
      <c r="A788" s="56"/>
      <c r="B788" s="56"/>
      <c r="C788" s="56"/>
      <c r="D788" s="56"/>
      <c r="E788" s="57"/>
      <c r="F788" s="58"/>
      <c r="G788" s="56"/>
      <c r="H788" s="56"/>
      <c r="I788" s="59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</row>
    <row r="789" spans="1:32" ht="13.5" customHeight="1" x14ac:dyDescent="0.25">
      <c r="A789" s="56"/>
      <c r="B789" s="56"/>
      <c r="C789" s="56"/>
      <c r="D789" s="56"/>
      <c r="E789" s="57"/>
      <c r="F789" s="58"/>
      <c r="G789" s="56"/>
      <c r="H789" s="56"/>
      <c r="I789" s="59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</row>
    <row r="790" spans="1:32" ht="13.5" customHeight="1" x14ac:dyDescent="0.25">
      <c r="A790" s="56"/>
      <c r="B790" s="56"/>
      <c r="C790" s="56"/>
      <c r="D790" s="56"/>
      <c r="E790" s="57"/>
      <c r="F790" s="58"/>
      <c r="G790" s="56"/>
      <c r="H790" s="56"/>
      <c r="I790" s="59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</row>
    <row r="791" spans="1:32" ht="13.5" customHeight="1" x14ac:dyDescent="0.25">
      <c r="A791" s="56"/>
      <c r="B791" s="56"/>
      <c r="C791" s="56"/>
      <c r="D791" s="56"/>
      <c r="E791" s="57"/>
      <c r="F791" s="58"/>
      <c r="G791" s="56"/>
      <c r="H791" s="56"/>
      <c r="I791" s="59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</row>
    <row r="792" spans="1:32" ht="13.5" customHeight="1" x14ac:dyDescent="0.25">
      <c r="A792" s="56"/>
      <c r="B792" s="56"/>
      <c r="C792" s="56"/>
      <c r="D792" s="56"/>
      <c r="E792" s="57"/>
      <c r="F792" s="58"/>
      <c r="G792" s="56"/>
      <c r="H792" s="56"/>
      <c r="I792" s="59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</row>
    <row r="793" spans="1:32" ht="13.5" customHeight="1" x14ac:dyDescent="0.25">
      <c r="A793" s="56"/>
      <c r="B793" s="56"/>
      <c r="C793" s="56"/>
      <c r="D793" s="56"/>
      <c r="E793" s="57"/>
      <c r="F793" s="58"/>
      <c r="G793" s="56"/>
      <c r="H793" s="56"/>
      <c r="I793" s="59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</row>
    <row r="794" spans="1:32" ht="13.5" customHeight="1" x14ac:dyDescent="0.25">
      <c r="A794" s="56"/>
      <c r="B794" s="56"/>
      <c r="C794" s="56"/>
      <c r="D794" s="56"/>
      <c r="E794" s="57"/>
      <c r="F794" s="58"/>
      <c r="G794" s="56"/>
      <c r="H794" s="56"/>
      <c r="I794" s="59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</row>
    <row r="795" spans="1:32" ht="13.5" customHeight="1" x14ac:dyDescent="0.25">
      <c r="A795" s="56"/>
      <c r="B795" s="56"/>
      <c r="C795" s="56"/>
      <c r="D795" s="56"/>
      <c r="E795" s="57"/>
      <c r="F795" s="58"/>
      <c r="G795" s="56"/>
      <c r="H795" s="56"/>
      <c r="I795" s="59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</row>
    <row r="796" spans="1:32" ht="13.5" customHeight="1" x14ac:dyDescent="0.25">
      <c r="A796" s="56"/>
      <c r="B796" s="56"/>
      <c r="C796" s="56"/>
      <c r="D796" s="56"/>
      <c r="E796" s="57"/>
      <c r="F796" s="58"/>
      <c r="G796" s="56"/>
      <c r="H796" s="56"/>
      <c r="I796" s="59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</row>
    <row r="797" spans="1:32" ht="13.5" customHeight="1" x14ac:dyDescent="0.25">
      <c r="A797" s="56"/>
      <c r="B797" s="56"/>
      <c r="C797" s="56"/>
      <c r="D797" s="56"/>
      <c r="E797" s="57"/>
      <c r="F797" s="58"/>
      <c r="G797" s="56"/>
      <c r="H797" s="56"/>
      <c r="I797" s="59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</row>
    <row r="798" spans="1:32" ht="13.5" customHeight="1" x14ac:dyDescent="0.25">
      <c r="A798" s="56"/>
      <c r="B798" s="56"/>
      <c r="C798" s="56"/>
      <c r="D798" s="56"/>
      <c r="E798" s="57"/>
      <c r="F798" s="58"/>
      <c r="G798" s="56"/>
      <c r="H798" s="56"/>
      <c r="I798" s="59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</row>
    <row r="799" spans="1:32" ht="13.5" customHeight="1" x14ac:dyDescent="0.25">
      <c r="A799" s="56"/>
      <c r="B799" s="56"/>
      <c r="C799" s="56"/>
      <c r="D799" s="56"/>
      <c r="E799" s="57"/>
      <c r="F799" s="58"/>
      <c r="G799" s="56"/>
      <c r="H799" s="56"/>
      <c r="I799" s="59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</row>
    <row r="800" spans="1:32" ht="13.5" customHeight="1" x14ac:dyDescent="0.25">
      <c r="A800" s="56"/>
      <c r="B800" s="56"/>
      <c r="C800" s="56"/>
      <c r="D800" s="56"/>
      <c r="E800" s="57"/>
      <c r="F800" s="58"/>
      <c r="G800" s="56"/>
      <c r="H800" s="56"/>
      <c r="I800" s="59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</row>
    <row r="801" spans="1:32" ht="13.5" customHeight="1" x14ac:dyDescent="0.25">
      <c r="A801" s="56"/>
      <c r="B801" s="56"/>
      <c r="C801" s="56"/>
      <c r="D801" s="56"/>
      <c r="E801" s="57"/>
      <c r="F801" s="58"/>
      <c r="G801" s="56"/>
      <c r="H801" s="56"/>
      <c r="I801" s="59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</row>
    <row r="802" spans="1:32" ht="13.5" customHeight="1" x14ac:dyDescent="0.25">
      <c r="A802" s="56"/>
      <c r="B802" s="56"/>
      <c r="C802" s="56"/>
      <c r="D802" s="56"/>
      <c r="E802" s="57"/>
      <c r="F802" s="58"/>
      <c r="G802" s="56"/>
      <c r="H802" s="56"/>
      <c r="I802" s="59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</row>
    <row r="803" spans="1:32" ht="13.5" customHeight="1" x14ac:dyDescent="0.25">
      <c r="A803" s="56"/>
      <c r="B803" s="56"/>
      <c r="C803" s="56"/>
      <c r="D803" s="56"/>
      <c r="E803" s="57"/>
      <c r="F803" s="58"/>
      <c r="G803" s="56"/>
      <c r="H803" s="56"/>
      <c r="I803" s="59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</row>
    <row r="804" spans="1:32" ht="13.5" customHeight="1" x14ac:dyDescent="0.25">
      <c r="A804" s="56"/>
      <c r="B804" s="56"/>
      <c r="C804" s="56"/>
      <c r="D804" s="56"/>
      <c r="E804" s="57"/>
      <c r="F804" s="58"/>
      <c r="G804" s="56"/>
      <c r="H804" s="56"/>
      <c r="I804" s="59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</row>
    <row r="805" spans="1:32" ht="13.5" customHeight="1" x14ac:dyDescent="0.25">
      <c r="A805" s="56"/>
      <c r="B805" s="56"/>
      <c r="C805" s="56"/>
      <c r="D805" s="56"/>
      <c r="E805" s="57"/>
      <c r="F805" s="58"/>
      <c r="G805" s="56"/>
      <c r="H805" s="56"/>
      <c r="I805" s="59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</row>
    <row r="806" spans="1:32" ht="13.5" customHeight="1" x14ac:dyDescent="0.25">
      <c r="A806" s="56"/>
      <c r="B806" s="56"/>
      <c r="C806" s="56"/>
      <c r="D806" s="56"/>
      <c r="E806" s="57"/>
      <c r="F806" s="58"/>
      <c r="G806" s="56"/>
      <c r="H806" s="56"/>
      <c r="I806" s="59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</row>
    <row r="807" spans="1:32" ht="13.5" customHeight="1" x14ac:dyDescent="0.25">
      <c r="A807" s="56"/>
      <c r="B807" s="56"/>
      <c r="C807" s="56"/>
      <c r="D807" s="56"/>
      <c r="E807" s="57"/>
      <c r="F807" s="58"/>
      <c r="G807" s="56"/>
      <c r="H807" s="56"/>
      <c r="I807" s="59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</row>
    <row r="808" spans="1:32" ht="13.5" customHeight="1" x14ac:dyDescent="0.25">
      <c r="A808" s="56"/>
      <c r="B808" s="56"/>
      <c r="C808" s="56"/>
      <c r="D808" s="56"/>
      <c r="E808" s="57"/>
      <c r="F808" s="58"/>
      <c r="G808" s="56"/>
      <c r="H808" s="56"/>
      <c r="I808" s="59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</row>
    <row r="809" spans="1:32" ht="13.5" customHeight="1" x14ac:dyDescent="0.25">
      <c r="A809" s="56"/>
      <c r="B809" s="56"/>
      <c r="C809" s="56"/>
      <c r="D809" s="56"/>
      <c r="E809" s="57"/>
      <c r="F809" s="58"/>
      <c r="G809" s="56"/>
      <c r="H809" s="56"/>
      <c r="I809" s="59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</row>
    <row r="810" spans="1:32" ht="13.5" customHeight="1" x14ac:dyDescent="0.25">
      <c r="A810" s="56"/>
      <c r="B810" s="56"/>
      <c r="C810" s="56"/>
      <c r="D810" s="56"/>
      <c r="E810" s="57"/>
      <c r="F810" s="58"/>
      <c r="G810" s="56"/>
      <c r="H810" s="56"/>
      <c r="I810" s="59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</row>
    <row r="811" spans="1:32" ht="13.5" customHeight="1" x14ac:dyDescent="0.25">
      <c r="A811" s="56"/>
      <c r="B811" s="56"/>
      <c r="C811" s="56"/>
      <c r="D811" s="56"/>
      <c r="E811" s="57"/>
      <c r="F811" s="58"/>
      <c r="G811" s="56"/>
      <c r="H811" s="56"/>
      <c r="I811" s="59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</row>
    <row r="812" spans="1:32" ht="13.5" customHeight="1" x14ac:dyDescent="0.25">
      <c r="A812" s="56"/>
      <c r="B812" s="56"/>
      <c r="C812" s="56"/>
      <c r="D812" s="56"/>
      <c r="E812" s="57"/>
      <c r="F812" s="58"/>
      <c r="G812" s="56"/>
      <c r="H812" s="56"/>
      <c r="I812" s="59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</row>
    <row r="813" spans="1:32" ht="13.5" customHeight="1" x14ac:dyDescent="0.25">
      <c r="A813" s="56"/>
      <c r="B813" s="56"/>
      <c r="C813" s="56"/>
      <c r="D813" s="56"/>
      <c r="E813" s="57"/>
      <c r="F813" s="58"/>
      <c r="G813" s="56"/>
      <c r="H813" s="56"/>
      <c r="I813" s="59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</row>
    <row r="814" spans="1:32" ht="13.5" customHeight="1" x14ac:dyDescent="0.25">
      <c r="A814" s="56"/>
      <c r="B814" s="56"/>
      <c r="C814" s="56"/>
      <c r="D814" s="56"/>
      <c r="E814" s="57"/>
      <c r="F814" s="58"/>
      <c r="G814" s="56"/>
      <c r="H814" s="56"/>
      <c r="I814" s="59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</row>
    <row r="815" spans="1:32" ht="13.5" customHeight="1" x14ac:dyDescent="0.25">
      <c r="A815" s="56"/>
      <c r="B815" s="56"/>
      <c r="C815" s="56"/>
      <c r="D815" s="56"/>
      <c r="E815" s="57"/>
      <c r="F815" s="58"/>
      <c r="G815" s="56"/>
      <c r="H815" s="56"/>
      <c r="I815" s="59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</row>
    <row r="816" spans="1:32" ht="13.5" customHeight="1" x14ac:dyDescent="0.25">
      <c r="A816" s="56"/>
      <c r="B816" s="56"/>
      <c r="C816" s="56"/>
      <c r="D816" s="56"/>
      <c r="E816" s="57"/>
      <c r="F816" s="58"/>
      <c r="G816" s="56"/>
      <c r="H816" s="56"/>
      <c r="I816" s="59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</row>
    <row r="817" spans="1:32" ht="13.5" customHeight="1" x14ac:dyDescent="0.25">
      <c r="A817" s="56"/>
      <c r="B817" s="56"/>
      <c r="C817" s="56"/>
      <c r="D817" s="56"/>
      <c r="E817" s="57"/>
      <c r="F817" s="58"/>
      <c r="G817" s="56"/>
      <c r="H817" s="56"/>
      <c r="I817" s="59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</row>
    <row r="818" spans="1:32" ht="13.5" customHeight="1" x14ac:dyDescent="0.25">
      <c r="A818" s="56"/>
      <c r="B818" s="56"/>
      <c r="C818" s="56"/>
      <c r="D818" s="56"/>
      <c r="E818" s="57"/>
      <c r="F818" s="58"/>
      <c r="G818" s="56"/>
      <c r="H818" s="56"/>
      <c r="I818" s="59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</row>
    <row r="819" spans="1:32" ht="13.5" customHeight="1" x14ac:dyDescent="0.25">
      <c r="A819" s="56"/>
      <c r="B819" s="56"/>
      <c r="C819" s="56"/>
      <c r="D819" s="56"/>
      <c r="E819" s="57"/>
      <c r="F819" s="58"/>
      <c r="G819" s="56"/>
      <c r="H819" s="56"/>
      <c r="I819" s="59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</row>
    <row r="820" spans="1:32" ht="13.5" customHeight="1" x14ac:dyDescent="0.25">
      <c r="A820" s="56"/>
      <c r="B820" s="56"/>
      <c r="C820" s="56"/>
      <c r="D820" s="56"/>
      <c r="E820" s="57"/>
      <c r="F820" s="58"/>
      <c r="G820" s="56"/>
      <c r="H820" s="56"/>
      <c r="I820" s="59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</row>
    <row r="821" spans="1:32" ht="13.5" customHeight="1" x14ac:dyDescent="0.25">
      <c r="A821" s="56"/>
      <c r="B821" s="56"/>
      <c r="C821" s="56"/>
      <c r="D821" s="56"/>
      <c r="E821" s="57"/>
      <c r="F821" s="58"/>
      <c r="G821" s="56"/>
      <c r="H821" s="56"/>
      <c r="I821" s="59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</row>
    <row r="822" spans="1:32" ht="13.5" customHeight="1" x14ac:dyDescent="0.25">
      <c r="A822" s="56"/>
      <c r="B822" s="56"/>
      <c r="C822" s="56"/>
      <c r="D822" s="56"/>
      <c r="E822" s="57"/>
      <c r="F822" s="58"/>
      <c r="G822" s="56"/>
      <c r="H822" s="56"/>
      <c r="I822" s="59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</row>
    <row r="823" spans="1:32" ht="13.5" customHeight="1" x14ac:dyDescent="0.25">
      <c r="A823" s="56"/>
      <c r="B823" s="56"/>
      <c r="C823" s="56"/>
      <c r="D823" s="56"/>
      <c r="E823" s="57"/>
      <c r="F823" s="58"/>
      <c r="G823" s="56"/>
      <c r="H823" s="56"/>
      <c r="I823" s="59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</row>
    <row r="824" spans="1:32" ht="13.5" customHeight="1" x14ac:dyDescent="0.25">
      <c r="A824" s="56"/>
      <c r="B824" s="56"/>
      <c r="C824" s="56"/>
      <c r="D824" s="56"/>
      <c r="E824" s="57"/>
      <c r="F824" s="58"/>
      <c r="G824" s="56"/>
      <c r="H824" s="56"/>
      <c r="I824" s="59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</row>
    <row r="825" spans="1:32" ht="13.5" customHeight="1" x14ac:dyDescent="0.25">
      <c r="A825" s="56"/>
      <c r="B825" s="56"/>
      <c r="C825" s="56"/>
      <c r="D825" s="56"/>
      <c r="E825" s="57"/>
      <c r="F825" s="58"/>
      <c r="G825" s="56"/>
      <c r="H825" s="56"/>
      <c r="I825" s="59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</row>
    <row r="826" spans="1:32" ht="13.5" customHeight="1" x14ac:dyDescent="0.25">
      <c r="A826" s="56"/>
      <c r="B826" s="56"/>
      <c r="C826" s="56"/>
      <c r="D826" s="56"/>
      <c r="E826" s="57"/>
      <c r="F826" s="58"/>
      <c r="G826" s="56"/>
      <c r="H826" s="56"/>
      <c r="I826" s="59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</row>
    <row r="827" spans="1:32" ht="13.5" customHeight="1" x14ac:dyDescent="0.25">
      <c r="A827" s="56"/>
      <c r="B827" s="56"/>
      <c r="C827" s="56"/>
      <c r="D827" s="56"/>
      <c r="E827" s="57"/>
      <c r="F827" s="58"/>
      <c r="G827" s="56"/>
      <c r="H827" s="56"/>
      <c r="I827" s="59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</row>
    <row r="828" spans="1:32" ht="13.5" customHeight="1" x14ac:dyDescent="0.25">
      <c r="A828" s="56"/>
      <c r="B828" s="56"/>
      <c r="C828" s="56"/>
      <c r="D828" s="56"/>
      <c r="E828" s="57"/>
      <c r="F828" s="58"/>
      <c r="G828" s="56"/>
      <c r="H828" s="56"/>
      <c r="I828" s="59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</row>
    <row r="829" spans="1:32" ht="13.5" customHeight="1" x14ac:dyDescent="0.25">
      <c r="A829" s="56"/>
      <c r="B829" s="56"/>
      <c r="C829" s="56"/>
      <c r="D829" s="56"/>
      <c r="E829" s="57"/>
      <c r="F829" s="58"/>
      <c r="G829" s="56"/>
      <c r="H829" s="56"/>
      <c r="I829" s="59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</row>
    <row r="830" spans="1:32" ht="13.5" customHeight="1" x14ac:dyDescent="0.25">
      <c r="A830" s="56"/>
      <c r="B830" s="56"/>
      <c r="C830" s="56"/>
      <c r="D830" s="56"/>
      <c r="E830" s="57"/>
      <c r="F830" s="58"/>
      <c r="G830" s="56"/>
      <c r="H830" s="56"/>
      <c r="I830" s="59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</row>
    <row r="831" spans="1:32" ht="13.5" customHeight="1" x14ac:dyDescent="0.25">
      <c r="A831" s="56"/>
      <c r="B831" s="56"/>
      <c r="C831" s="56"/>
      <c r="D831" s="56"/>
      <c r="E831" s="57"/>
      <c r="F831" s="58"/>
      <c r="G831" s="56"/>
      <c r="H831" s="56"/>
      <c r="I831" s="59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</row>
    <row r="832" spans="1:32" ht="13.5" customHeight="1" x14ac:dyDescent="0.25">
      <c r="A832" s="56"/>
      <c r="B832" s="56"/>
      <c r="C832" s="56"/>
      <c r="D832" s="56"/>
      <c r="E832" s="57"/>
      <c r="F832" s="58"/>
      <c r="G832" s="56"/>
      <c r="H832" s="56"/>
      <c r="I832" s="59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</row>
    <row r="833" spans="1:32" ht="13.5" customHeight="1" x14ac:dyDescent="0.25">
      <c r="A833" s="56"/>
      <c r="B833" s="56"/>
      <c r="C833" s="56"/>
      <c r="D833" s="56"/>
      <c r="E833" s="57"/>
      <c r="F833" s="58"/>
      <c r="G833" s="56"/>
      <c r="H833" s="56"/>
      <c r="I833" s="59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</row>
    <row r="834" spans="1:32" ht="13.5" customHeight="1" x14ac:dyDescent="0.25">
      <c r="A834" s="56"/>
      <c r="B834" s="56"/>
      <c r="C834" s="56"/>
      <c r="D834" s="56"/>
      <c r="E834" s="57"/>
      <c r="F834" s="58"/>
      <c r="G834" s="56"/>
      <c r="H834" s="56"/>
      <c r="I834" s="59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</row>
    <row r="835" spans="1:32" ht="13.5" customHeight="1" x14ac:dyDescent="0.25">
      <c r="A835" s="56"/>
      <c r="B835" s="56"/>
      <c r="C835" s="56"/>
      <c r="D835" s="56"/>
      <c r="E835" s="57"/>
      <c r="F835" s="58"/>
      <c r="G835" s="56"/>
      <c r="H835" s="56"/>
      <c r="I835" s="59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</row>
    <row r="836" spans="1:32" ht="13.5" customHeight="1" x14ac:dyDescent="0.25">
      <c r="A836" s="56"/>
      <c r="B836" s="56"/>
      <c r="C836" s="56"/>
      <c r="D836" s="56"/>
      <c r="E836" s="57"/>
      <c r="F836" s="58"/>
      <c r="G836" s="56"/>
      <c r="H836" s="56"/>
      <c r="I836" s="59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</row>
    <row r="837" spans="1:32" ht="13.5" customHeight="1" x14ac:dyDescent="0.25">
      <c r="A837" s="56"/>
      <c r="B837" s="56"/>
      <c r="C837" s="56"/>
      <c r="D837" s="56"/>
      <c r="E837" s="57"/>
      <c r="F837" s="58"/>
      <c r="G837" s="56"/>
      <c r="H837" s="56"/>
      <c r="I837" s="59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</row>
    <row r="838" spans="1:32" ht="13.5" customHeight="1" x14ac:dyDescent="0.25">
      <c r="A838" s="56"/>
      <c r="B838" s="56"/>
      <c r="C838" s="56"/>
      <c r="D838" s="56"/>
      <c r="E838" s="57"/>
      <c r="F838" s="58"/>
      <c r="G838" s="56"/>
      <c r="H838" s="56"/>
      <c r="I838" s="59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</row>
    <row r="839" spans="1:32" ht="13.5" customHeight="1" x14ac:dyDescent="0.25">
      <c r="A839" s="56"/>
      <c r="B839" s="56"/>
      <c r="C839" s="56"/>
      <c r="D839" s="56"/>
      <c r="E839" s="57"/>
      <c r="F839" s="58"/>
      <c r="G839" s="56"/>
      <c r="H839" s="56"/>
      <c r="I839" s="59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</row>
    <row r="840" spans="1:32" ht="13.5" customHeight="1" x14ac:dyDescent="0.25">
      <c r="A840" s="56"/>
      <c r="B840" s="56"/>
      <c r="C840" s="56"/>
      <c r="D840" s="56"/>
      <c r="E840" s="57"/>
      <c r="F840" s="58"/>
      <c r="G840" s="56"/>
      <c r="H840" s="56"/>
      <c r="I840" s="59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</row>
    <row r="841" spans="1:32" ht="13.5" customHeight="1" x14ac:dyDescent="0.25">
      <c r="A841" s="56"/>
      <c r="B841" s="56"/>
      <c r="C841" s="56"/>
      <c r="D841" s="56"/>
      <c r="E841" s="57"/>
      <c r="F841" s="58"/>
      <c r="G841" s="56"/>
      <c r="H841" s="56"/>
      <c r="I841" s="59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</row>
    <row r="842" spans="1:32" ht="13.5" customHeight="1" x14ac:dyDescent="0.25">
      <c r="A842" s="56"/>
      <c r="B842" s="56"/>
      <c r="C842" s="56"/>
      <c r="D842" s="56"/>
      <c r="E842" s="57"/>
      <c r="F842" s="58"/>
      <c r="G842" s="56"/>
      <c r="H842" s="56"/>
      <c r="I842" s="59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</row>
    <row r="843" spans="1:32" ht="13.5" customHeight="1" x14ac:dyDescent="0.25">
      <c r="A843" s="56"/>
      <c r="B843" s="56"/>
      <c r="C843" s="56"/>
      <c r="D843" s="56"/>
      <c r="E843" s="57"/>
      <c r="F843" s="58"/>
      <c r="G843" s="56"/>
      <c r="H843" s="56"/>
      <c r="I843" s="59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</row>
    <row r="844" spans="1:32" ht="13.5" customHeight="1" x14ac:dyDescent="0.25">
      <c r="A844" s="56"/>
      <c r="B844" s="56"/>
      <c r="C844" s="56"/>
      <c r="D844" s="56"/>
      <c r="E844" s="57"/>
      <c r="F844" s="58"/>
      <c r="G844" s="56"/>
      <c r="H844" s="56"/>
      <c r="I844" s="59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</row>
    <row r="845" spans="1:32" ht="13.5" customHeight="1" x14ac:dyDescent="0.25">
      <c r="A845" s="56"/>
      <c r="B845" s="56"/>
      <c r="C845" s="56"/>
      <c r="D845" s="56"/>
      <c r="E845" s="57"/>
      <c r="F845" s="58"/>
      <c r="G845" s="56"/>
      <c r="H845" s="56"/>
      <c r="I845" s="59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</row>
    <row r="846" spans="1:32" ht="13.5" customHeight="1" x14ac:dyDescent="0.25">
      <c r="A846" s="56"/>
      <c r="B846" s="56"/>
      <c r="C846" s="56"/>
      <c r="D846" s="56"/>
      <c r="E846" s="57"/>
      <c r="F846" s="58"/>
      <c r="G846" s="56"/>
      <c r="H846" s="56"/>
      <c r="I846" s="59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</row>
    <row r="847" spans="1:32" ht="13.5" customHeight="1" x14ac:dyDescent="0.25">
      <c r="A847" s="56"/>
      <c r="B847" s="56"/>
      <c r="C847" s="56"/>
      <c r="D847" s="56"/>
      <c r="E847" s="57"/>
      <c r="F847" s="58"/>
      <c r="G847" s="56"/>
      <c r="H847" s="56"/>
      <c r="I847" s="59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</row>
    <row r="848" spans="1:32" ht="13.5" customHeight="1" x14ac:dyDescent="0.25">
      <c r="A848" s="56"/>
      <c r="B848" s="56"/>
      <c r="C848" s="56"/>
      <c r="D848" s="56"/>
      <c r="E848" s="57"/>
      <c r="F848" s="58"/>
      <c r="G848" s="56"/>
      <c r="H848" s="56"/>
      <c r="I848" s="59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</row>
    <row r="849" spans="1:32" ht="13.5" customHeight="1" x14ac:dyDescent="0.25">
      <c r="A849" s="56"/>
      <c r="B849" s="56"/>
      <c r="C849" s="56"/>
      <c r="D849" s="56"/>
      <c r="E849" s="57"/>
      <c r="F849" s="58"/>
      <c r="G849" s="56"/>
      <c r="H849" s="56"/>
      <c r="I849" s="59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</row>
    <row r="850" spans="1:32" ht="13.5" customHeight="1" x14ac:dyDescent="0.25">
      <c r="A850" s="56"/>
      <c r="B850" s="56"/>
      <c r="C850" s="56"/>
      <c r="D850" s="56"/>
      <c r="E850" s="57"/>
      <c r="F850" s="58"/>
      <c r="G850" s="56"/>
      <c r="H850" s="56"/>
      <c r="I850" s="59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</row>
    <row r="851" spans="1:32" ht="13.5" customHeight="1" x14ac:dyDescent="0.25">
      <c r="A851" s="56"/>
      <c r="B851" s="56"/>
      <c r="C851" s="56"/>
      <c r="D851" s="56"/>
      <c r="E851" s="57"/>
      <c r="F851" s="58"/>
      <c r="G851" s="56"/>
      <c r="H851" s="56"/>
      <c r="I851" s="59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</row>
    <row r="852" spans="1:32" ht="13.5" customHeight="1" x14ac:dyDescent="0.25">
      <c r="A852" s="56"/>
      <c r="B852" s="56"/>
      <c r="C852" s="56"/>
      <c r="D852" s="56"/>
      <c r="E852" s="57"/>
      <c r="F852" s="58"/>
      <c r="G852" s="56"/>
      <c r="H852" s="56"/>
      <c r="I852" s="59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</row>
    <row r="853" spans="1:32" ht="13.5" customHeight="1" x14ac:dyDescent="0.25">
      <c r="A853" s="56"/>
      <c r="B853" s="56"/>
      <c r="C853" s="56"/>
      <c r="D853" s="56"/>
      <c r="E853" s="57"/>
      <c r="F853" s="58"/>
      <c r="G853" s="56"/>
      <c r="H853" s="56"/>
      <c r="I853" s="59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</row>
    <row r="854" spans="1:32" ht="13.5" customHeight="1" x14ac:dyDescent="0.25">
      <c r="A854" s="56"/>
      <c r="B854" s="56"/>
      <c r="C854" s="56"/>
      <c r="D854" s="56"/>
      <c r="E854" s="57"/>
      <c r="F854" s="58"/>
      <c r="G854" s="56"/>
      <c r="H854" s="56"/>
      <c r="I854" s="59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</row>
    <row r="855" spans="1:32" ht="13.5" customHeight="1" x14ac:dyDescent="0.25">
      <c r="A855" s="56"/>
      <c r="B855" s="56"/>
      <c r="C855" s="56"/>
      <c r="D855" s="56"/>
      <c r="E855" s="57"/>
      <c r="F855" s="58"/>
      <c r="G855" s="56"/>
      <c r="H855" s="56"/>
      <c r="I855" s="59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</row>
    <row r="856" spans="1:32" ht="13.5" customHeight="1" x14ac:dyDescent="0.25">
      <c r="A856" s="56"/>
      <c r="B856" s="56"/>
      <c r="C856" s="56"/>
      <c r="D856" s="56"/>
      <c r="E856" s="57"/>
      <c r="F856" s="58"/>
      <c r="G856" s="56"/>
      <c r="H856" s="56"/>
      <c r="I856" s="59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</row>
    <row r="857" spans="1:32" ht="13.5" customHeight="1" x14ac:dyDescent="0.25">
      <c r="A857" s="56"/>
      <c r="B857" s="56"/>
      <c r="C857" s="56"/>
      <c r="D857" s="56"/>
      <c r="E857" s="57"/>
      <c r="F857" s="58"/>
      <c r="G857" s="56"/>
      <c r="H857" s="56"/>
      <c r="I857" s="59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</row>
    <row r="858" spans="1:32" ht="13.5" customHeight="1" x14ac:dyDescent="0.25">
      <c r="A858" s="56"/>
      <c r="B858" s="56"/>
      <c r="C858" s="56"/>
      <c r="D858" s="56"/>
      <c r="E858" s="57"/>
      <c r="F858" s="58"/>
      <c r="G858" s="56"/>
      <c r="H858" s="56"/>
      <c r="I858" s="59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</row>
    <row r="859" spans="1:32" ht="13.5" customHeight="1" x14ac:dyDescent="0.25">
      <c r="A859" s="56"/>
      <c r="B859" s="56"/>
      <c r="C859" s="56"/>
      <c r="D859" s="56"/>
      <c r="E859" s="57"/>
      <c r="F859" s="58"/>
      <c r="G859" s="56"/>
      <c r="H859" s="56"/>
      <c r="I859" s="59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</row>
    <row r="860" spans="1:32" ht="13.5" customHeight="1" x14ac:dyDescent="0.25">
      <c r="A860" s="56"/>
      <c r="B860" s="56"/>
      <c r="C860" s="56"/>
      <c r="D860" s="56"/>
      <c r="E860" s="57"/>
      <c r="F860" s="58"/>
      <c r="G860" s="56"/>
      <c r="H860" s="56"/>
      <c r="I860" s="59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</row>
    <row r="861" spans="1:32" ht="13.5" customHeight="1" x14ac:dyDescent="0.25">
      <c r="A861" s="56"/>
      <c r="B861" s="56"/>
      <c r="C861" s="56"/>
      <c r="D861" s="56"/>
      <c r="E861" s="57"/>
      <c r="F861" s="58"/>
      <c r="G861" s="56"/>
      <c r="H861" s="56"/>
      <c r="I861" s="59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</row>
    <row r="862" spans="1:32" ht="13.5" customHeight="1" x14ac:dyDescent="0.25">
      <c r="A862" s="56"/>
      <c r="B862" s="56"/>
      <c r="C862" s="56"/>
      <c r="D862" s="56"/>
      <c r="E862" s="57"/>
      <c r="F862" s="58"/>
      <c r="G862" s="56"/>
      <c r="H862" s="56"/>
      <c r="I862" s="59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</row>
    <row r="863" spans="1:32" ht="13.5" customHeight="1" x14ac:dyDescent="0.25">
      <c r="A863" s="56"/>
      <c r="B863" s="56"/>
      <c r="C863" s="56"/>
      <c r="D863" s="56"/>
      <c r="E863" s="57"/>
      <c r="F863" s="58"/>
      <c r="G863" s="56"/>
      <c r="H863" s="56"/>
      <c r="I863" s="59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</row>
    <row r="864" spans="1:32" ht="13.5" customHeight="1" x14ac:dyDescent="0.25">
      <c r="A864" s="56"/>
      <c r="B864" s="56"/>
      <c r="C864" s="56"/>
      <c r="D864" s="56"/>
      <c r="E864" s="57"/>
      <c r="F864" s="58"/>
      <c r="G864" s="56"/>
      <c r="H864" s="56"/>
      <c r="I864" s="59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</row>
    <row r="865" spans="1:32" ht="13.5" customHeight="1" x14ac:dyDescent="0.25">
      <c r="A865" s="56"/>
      <c r="B865" s="56"/>
      <c r="C865" s="56"/>
      <c r="D865" s="56"/>
      <c r="E865" s="57"/>
      <c r="F865" s="58"/>
      <c r="G865" s="56"/>
      <c r="H865" s="56"/>
      <c r="I865" s="59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</row>
    <row r="866" spans="1:32" ht="13.5" customHeight="1" x14ac:dyDescent="0.25">
      <c r="A866" s="56"/>
      <c r="B866" s="56"/>
      <c r="C866" s="56"/>
      <c r="D866" s="56"/>
      <c r="E866" s="57"/>
      <c r="F866" s="58"/>
      <c r="G866" s="56"/>
      <c r="H866" s="56"/>
      <c r="I866" s="59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</row>
    <row r="867" spans="1:32" ht="13.5" customHeight="1" x14ac:dyDescent="0.25">
      <c r="A867" s="56"/>
      <c r="B867" s="56"/>
      <c r="C867" s="56"/>
      <c r="D867" s="56"/>
      <c r="E867" s="57"/>
      <c r="F867" s="58"/>
      <c r="G867" s="56"/>
      <c r="H867" s="56"/>
      <c r="I867" s="59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</row>
    <row r="868" spans="1:32" ht="13.5" customHeight="1" x14ac:dyDescent="0.25">
      <c r="A868" s="56"/>
      <c r="B868" s="56"/>
      <c r="C868" s="56"/>
      <c r="D868" s="56"/>
      <c r="E868" s="57"/>
      <c r="F868" s="58"/>
      <c r="G868" s="56"/>
      <c r="H868" s="56"/>
      <c r="I868" s="59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</row>
    <row r="869" spans="1:32" ht="13.5" customHeight="1" x14ac:dyDescent="0.25">
      <c r="A869" s="56"/>
      <c r="B869" s="56"/>
      <c r="C869" s="56"/>
      <c r="D869" s="56"/>
      <c r="E869" s="57"/>
      <c r="F869" s="58"/>
      <c r="G869" s="56"/>
      <c r="H869" s="56"/>
      <c r="I869" s="59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</row>
    <row r="870" spans="1:32" ht="13.5" customHeight="1" x14ac:dyDescent="0.25">
      <c r="A870" s="56"/>
      <c r="B870" s="56"/>
      <c r="C870" s="56"/>
      <c r="D870" s="56"/>
      <c r="E870" s="57"/>
      <c r="F870" s="58"/>
      <c r="G870" s="56"/>
      <c r="H870" s="56"/>
      <c r="I870" s="59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</row>
    <row r="871" spans="1:32" ht="13.5" customHeight="1" x14ac:dyDescent="0.25">
      <c r="A871" s="56"/>
      <c r="B871" s="56"/>
      <c r="C871" s="56"/>
      <c r="D871" s="56"/>
      <c r="E871" s="57"/>
      <c r="F871" s="58"/>
      <c r="G871" s="56"/>
      <c r="H871" s="56"/>
      <c r="I871" s="59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</row>
    <row r="872" spans="1:32" ht="13.5" customHeight="1" x14ac:dyDescent="0.25">
      <c r="A872" s="56"/>
      <c r="B872" s="56"/>
      <c r="C872" s="56"/>
      <c r="D872" s="56"/>
      <c r="E872" s="57"/>
      <c r="F872" s="58"/>
      <c r="G872" s="56"/>
      <c r="H872" s="56"/>
      <c r="I872" s="59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</row>
    <row r="873" spans="1:32" ht="13.5" customHeight="1" x14ac:dyDescent="0.25">
      <c r="A873" s="56"/>
      <c r="B873" s="56"/>
      <c r="C873" s="56"/>
      <c r="D873" s="56"/>
      <c r="E873" s="57"/>
      <c r="F873" s="58"/>
      <c r="G873" s="56"/>
      <c r="H873" s="56"/>
      <c r="I873" s="59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</row>
    <row r="874" spans="1:32" ht="13.5" customHeight="1" x14ac:dyDescent="0.25">
      <c r="A874" s="56"/>
      <c r="B874" s="56"/>
      <c r="C874" s="56"/>
      <c r="D874" s="56"/>
      <c r="E874" s="57"/>
      <c r="F874" s="58"/>
      <c r="G874" s="56"/>
      <c r="H874" s="56"/>
      <c r="I874" s="59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</row>
    <row r="875" spans="1:32" ht="13.5" customHeight="1" x14ac:dyDescent="0.25">
      <c r="A875" s="56"/>
      <c r="B875" s="56"/>
      <c r="C875" s="56"/>
      <c r="D875" s="56"/>
      <c r="E875" s="57"/>
      <c r="F875" s="58"/>
      <c r="G875" s="56"/>
      <c r="H875" s="56"/>
      <c r="I875" s="59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</row>
    <row r="876" spans="1:32" ht="13.5" customHeight="1" x14ac:dyDescent="0.25">
      <c r="A876" s="56"/>
      <c r="B876" s="56"/>
      <c r="C876" s="56"/>
      <c r="D876" s="56"/>
      <c r="E876" s="57"/>
      <c r="F876" s="58"/>
      <c r="G876" s="56"/>
      <c r="H876" s="56"/>
      <c r="I876" s="59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</row>
    <row r="877" spans="1:32" ht="13.5" customHeight="1" x14ac:dyDescent="0.25">
      <c r="A877" s="56"/>
      <c r="B877" s="56"/>
      <c r="C877" s="56"/>
      <c r="D877" s="56"/>
      <c r="E877" s="57"/>
      <c r="F877" s="58"/>
      <c r="G877" s="56"/>
      <c r="H877" s="56"/>
      <c r="I877" s="59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</row>
    <row r="878" spans="1:32" ht="13.5" customHeight="1" x14ac:dyDescent="0.25">
      <c r="A878" s="56"/>
      <c r="B878" s="56"/>
      <c r="C878" s="56"/>
      <c r="D878" s="56"/>
      <c r="E878" s="57"/>
      <c r="F878" s="58"/>
      <c r="G878" s="56"/>
      <c r="H878" s="56"/>
      <c r="I878" s="59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</row>
    <row r="879" spans="1:32" ht="13.5" customHeight="1" x14ac:dyDescent="0.25">
      <c r="A879" s="56"/>
      <c r="B879" s="56"/>
      <c r="C879" s="56"/>
      <c r="D879" s="56"/>
      <c r="E879" s="57"/>
      <c r="F879" s="58"/>
      <c r="G879" s="56"/>
      <c r="H879" s="56"/>
      <c r="I879" s="59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</row>
    <row r="880" spans="1:32" ht="13.5" customHeight="1" x14ac:dyDescent="0.25">
      <c r="A880" s="56"/>
      <c r="B880" s="56"/>
      <c r="C880" s="56"/>
      <c r="D880" s="56"/>
      <c r="E880" s="57"/>
      <c r="F880" s="58"/>
      <c r="G880" s="56"/>
      <c r="H880" s="56"/>
      <c r="I880" s="59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</row>
    <row r="881" spans="1:32" ht="13.5" customHeight="1" x14ac:dyDescent="0.25">
      <c r="A881" s="56"/>
      <c r="B881" s="56"/>
      <c r="C881" s="56"/>
      <c r="D881" s="56"/>
      <c r="E881" s="57"/>
      <c r="F881" s="58"/>
      <c r="G881" s="56"/>
      <c r="H881" s="56"/>
      <c r="I881" s="59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</row>
    <row r="882" spans="1:32" ht="13.5" customHeight="1" x14ac:dyDescent="0.25">
      <c r="A882" s="56"/>
      <c r="B882" s="56"/>
      <c r="C882" s="56"/>
      <c r="D882" s="56"/>
      <c r="E882" s="57"/>
      <c r="F882" s="58"/>
      <c r="G882" s="56"/>
      <c r="H882" s="56"/>
      <c r="I882" s="59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</row>
    <row r="883" spans="1:32" ht="13.5" customHeight="1" x14ac:dyDescent="0.25">
      <c r="A883" s="56"/>
      <c r="B883" s="56"/>
      <c r="C883" s="56"/>
      <c r="D883" s="56"/>
      <c r="E883" s="57"/>
      <c r="F883" s="58"/>
      <c r="G883" s="56"/>
      <c r="H883" s="56"/>
      <c r="I883" s="59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</row>
    <row r="884" spans="1:32" ht="13.5" customHeight="1" x14ac:dyDescent="0.25">
      <c r="A884" s="56"/>
      <c r="B884" s="56"/>
      <c r="C884" s="56"/>
      <c r="D884" s="56"/>
      <c r="E884" s="57"/>
      <c r="F884" s="58"/>
      <c r="G884" s="56"/>
      <c r="H884" s="56"/>
      <c r="I884" s="59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</row>
    <row r="885" spans="1:32" ht="13.5" customHeight="1" x14ac:dyDescent="0.25">
      <c r="A885" s="56"/>
      <c r="B885" s="56"/>
      <c r="C885" s="56"/>
      <c r="D885" s="56"/>
      <c r="E885" s="57"/>
      <c r="F885" s="58"/>
      <c r="G885" s="56"/>
      <c r="H885" s="56"/>
      <c r="I885" s="59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</row>
    <row r="886" spans="1:32" ht="13.5" customHeight="1" x14ac:dyDescent="0.25">
      <c r="A886" s="56"/>
      <c r="B886" s="56"/>
      <c r="C886" s="56"/>
      <c r="D886" s="56"/>
      <c r="E886" s="57"/>
      <c r="F886" s="58"/>
      <c r="G886" s="56"/>
      <c r="H886" s="56"/>
      <c r="I886" s="59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</row>
    <row r="887" spans="1:32" ht="13.5" customHeight="1" x14ac:dyDescent="0.25">
      <c r="A887" s="56"/>
      <c r="B887" s="56"/>
      <c r="C887" s="56"/>
      <c r="D887" s="56"/>
      <c r="E887" s="57"/>
      <c r="F887" s="58"/>
      <c r="G887" s="56"/>
      <c r="H887" s="56"/>
      <c r="I887" s="59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</row>
    <row r="888" spans="1:32" ht="13.5" customHeight="1" x14ac:dyDescent="0.25">
      <c r="A888" s="56"/>
      <c r="B888" s="56"/>
      <c r="C888" s="56"/>
      <c r="D888" s="56"/>
      <c r="E888" s="57"/>
      <c r="F888" s="58"/>
      <c r="G888" s="56"/>
      <c r="H888" s="56"/>
      <c r="I888" s="59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</row>
    <row r="889" spans="1:32" ht="13.5" customHeight="1" x14ac:dyDescent="0.25">
      <c r="A889" s="56"/>
      <c r="B889" s="56"/>
      <c r="C889" s="56"/>
      <c r="D889" s="56"/>
      <c r="E889" s="57"/>
      <c r="F889" s="58"/>
      <c r="G889" s="56"/>
      <c r="H889" s="56"/>
      <c r="I889" s="59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</row>
    <row r="890" spans="1:32" ht="13.5" customHeight="1" x14ac:dyDescent="0.25">
      <c r="A890" s="56"/>
      <c r="B890" s="56"/>
      <c r="C890" s="56"/>
      <c r="D890" s="56"/>
      <c r="E890" s="57"/>
      <c r="F890" s="58"/>
      <c r="G890" s="56"/>
      <c r="H890" s="56"/>
      <c r="I890" s="59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</row>
    <row r="891" spans="1:32" ht="13.5" customHeight="1" x14ac:dyDescent="0.25">
      <c r="A891" s="56"/>
      <c r="B891" s="56"/>
      <c r="C891" s="56"/>
      <c r="D891" s="56"/>
      <c r="E891" s="57"/>
      <c r="F891" s="58"/>
      <c r="G891" s="56"/>
      <c r="H891" s="56"/>
      <c r="I891" s="59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</row>
    <row r="892" spans="1:32" ht="13.5" customHeight="1" x14ac:dyDescent="0.25">
      <c r="A892" s="56"/>
      <c r="B892" s="56"/>
      <c r="C892" s="56"/>
      <c r="D892" s="56"/>
      <c r="E892" s="57"/>
      <c r="F892" s="58"/>
      <c r="G892" s="56"/>
      <c r="H892" s="56"/>
      <c r="I892" s="59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</row>
    <row r="893" spans="1:32" ht="13.5" customHeight="1" x14ac:dyDescent="0.25">
      <c r="A893" s="56"/>
      <c r="B893" s="56"/>
      <c r="C893" s="56"/>
      <c r="D893" s="56"/>
      <c r="E893" s="57"/>
      <c r="F893" s="58"/>
      <c r="G893" s="56"/>
      <c r="H893" s="56"/>
      <c r="I893" s="59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</row>
    <row r="894" spans="1:32" ht="13.5" customHeight="1" x14ac:dyDescent="0.25">
      <c r="A894" s="56"/>
      <c r="B894" s="56"/>
      <c r="C894" s="56"/>
      <c r="D894" s="56"/>
      <c r="E894" s="57"/>
      <c r="F894" s="58"/>
      <c r="G894" s="56"/>
      <c r="H894" s="56"/>
      <c r="I894" s="59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</row>
    <row r="895" spans="1:32" ht="13.5" customHeight="1" x14ac:dyDescent="0.25">
      <c r="A895" s="56"/>
      <c r="B895" s="56"/>
      <c r="C895" s="56"/>
      <c r="D895" s="56"/>
      <c r="E895" s="57"/>
      <c r="F895" s="58"/>
      <c r="G895" s="56"/>
      <c r="H895" s="56"/>
      <c r="I895" s="59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</row>
    <row r="896" spans="1:32" ht="13.5" customHeight="1" x14ac:dyDescent="0.25">
      <c r="A896" s="56"/>
      <c r="B896" s="56"/>
      <c r="C896" s="56"/>
      <c r="D896" s="56"/>
      <c r="E896" s="57"/>
      <c r="F896" s="58"/>
      <c r="G896" s="56"/>
      <c r="H896" s="56"/>
      <c r="I896" s="59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</row>
    <row r="897" spans="1:32" ht="13.5" customHeight="1" x14ac:dyDescent="0.25">
      <c r="A897" s="56"/>
      <c r="B897" s="56"/>
      <c r="C897" s="56"/>
      <c r="D897" s="56"/>
      <c r="E897" s="57"/>
      <c r="F897" s="58"/>
      <c r="G897" s="56"/>
      <c r="H897" s="56"/>
      <c r="I897" s="59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</row>
    <row r="898" spans="1:32" ht="13.5" customHeight="1" x14ac:dyDescent="0.25">
      <c r="A898" s="56"/>
      <c r="B898" s="56"/>
      <c r="C898" s="56"/>
      <c r="D898" s="56"/>
      <c r="E898" s="57"/>
      <c r="F898" s="58"/>
      <c r="G898" s="56"/>
      <c r="H898" s="56"/>
      <c r="I898" s="59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</row>
    <row r="899" spans="1:32" ht="13.5" customHeight="1" x14ac:dyDescent="0.25">
      <c r="A899" s="56"/>
      <c r="B899" s="56"/>
      <c r="C899" s="56"/>
      <c r="D899" s="56"/>
      <c r="E899" s="57"/>
      <c r="F899" s="58"/>
      <c r="G899" s="56"/>
      <c r="H899" s="56"/>
      <c r="I899" s="59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</row>
    <row r="900" spans="1:32" ht="13.5" customHeight="1" x14ac:dyDescent="0.25">
      <c r="A900" s="56"/>
      <c r="B900" s="56"/>
      <c r="C900" s="56"/>
      <c r="D900" s="56"/>
      <c r="E900" s="57"/>
      <c r="F900" s="58"/>
      <c r="G900" s="56"/>
      <c r="H900" s="56"/>
      <c r="I900" s="59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</row>
    <row r="901" spans="1:32" ht="13.5" customHeight="1" x14ac:dyDescent="0.25">
      <c r="A901" s="56"/>
      <c r="B901" s="56"/>
      <c r="C901" s="56"/>
      <c r="D901" s="56"/>
      <c r="E901" s="57"/>
      <c r="F901" s="58"/>
      <c r="G901" s="56"/>
      <c r="H901" s="56"/>
      <c r="I901" s="59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</row>
    <row r="902" spans="1:32" ht="13.5" customHeight="1" x14ac:dyDescent="0.25">
      <c r="A902" s="56"/>
      <c r="B902" s="56"/>
      <c r="C902" s="56"/>
      <c r="D902" s="56"/>
      <c r="E902" s="57"/>
      <c r="F902" s="58"/>
      <c r="G902" s="56"/>
      <c r="H902" s="56"/>
      <c r="I902" s="59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</row>
    <row r="903" spans="1:32" ht="13.5" customHeight="1" x14ac:dyDescent="0.25">
      <c r="A903" s="56"/>
      <c r="B903" s="56"/>
      <c r="C903" s="56"/>
      <c r="D903" s="56"/>
      <c r="E903" s="57"/>
      <c r="F903" s="58"/>
      <c r="G903" s="56"/>
      <c r="H903" s="56"/>
      <c r="I903" s="59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</row>
    <row r="904" spans="1:32" ht="13.5" customHeight="1" x14ac:dyDescent="0.25">
      <c r="A904" s="56"/>
      <c r="B904" s="56"/>
      <c r="C904" s="56"/>
      <c r="D904" s="56"/>
      <c r="E904" s="57"/>
      <c r="F904" s="58"/>
      <c r="G904" s="56"/>
      <c r="H904" s="56"/>
      <c r="I904" s="59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</row>
    <row r="905" spans="1:32" ht="13.5" customHeight="1" x14ac:dyDescent="0.25">
      <c r="A905" s="56"/>
      <c r="B905" s="56"/>
      <c r="C905" s="56"/>
      <c r="D905" s="56"/>
      <c r="E905" s="57"/>
      <c r="F905" s="58"/>
      <c r="G905" s="56"/>
      <c r="H905" s="56"/>
      <c r="I905" s="59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</row>
    <row r="906" spans="1:32" ht="13.5" customHeight="1" x14ac:dyDescent="0.25">
      <c r="A906" s="56"/>
      <c r="B906" s="56"/>
      <c r="C906" s="56"/>
      <c r="D906" s="56"/>
      <c r="E906" s="57"/>
      <c r="F906" s="58"/>
      <c r="G906" s="56"/>
      <c r="H906" s="56"/>
      <c r="I906" s="59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</row>
    <row r="907" spans="1:32" ht="13.5" customHeight="1" x14ac:dyDescent="0.25">
      <c r="A907" s="56"/>
      <c r="B907" s="56"/>
      <c r="C907" s="56"/>
      <c r="D907" s="56"/>
      <c r="E907" s="57"/>
      <c r="F907" s="58"/>
      <c r="G907" s="56"/>
      <c r="H907" s="56"/>
      <c r="I907" s="59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</row>
    <row r="908" spans="1:32" ht="13.5" customHeight="1" x14ac:dyDescent="0.25">
      <c r="A908" s="56"/>
      <c r="B908" s="56"/>
      <c r="C908" s="56"/>
      <c r="D908" s="56"/>
      <c r="E908" s="57"/>
      <c r="F908" s="58"/>
      <c r="G908" s="56"/>
      <c r="H908" s="56"/>
      <c r="I908" s="59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</row>
    <row r="909" spans="1:32" ht="13.5" customHeight="1" x14ac:dyDescent="0.25">
      <c r="A909" s="56"/>
      <c r="B909" s="56"/>
      <c r="C909" s="56"/>
      <c r="D909" s="56"/>
      <c r="E909" s="57"/>
      <c r="F909" s="58"/>
      <c r="G909" s="56"/>
      <c r="H909" s="56"/>
      <c r="I909" s="59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</row>
    <row r="910" spans="1:32" ht="13.5" customHeight="1" x14ac:dyDescent="0.25">
      <c r="A910" s="56"/>
      <c r="B910" s="56"/>
      <c r="C910" s="56"/>
      <c r="D910" s="56"/>
      <c r="E910" s="57"/>
      <c r="F910" s="58"/>
      <c r="G910" s="56"/>
      <c r="H910" s="56"/>
      <c r="I910" s="59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</row>
    <row r="911" spans="1:32" ht="13.5" customHeight="1" x14ac:dyDescent="0.25">
      <c r="A911" s="56"/>
      <c r="B911" s="56"/>
      <c r="C911" s="56"/>
      <c r="D911" s="56"/>
      <c r="E911" s="57"/>
      <c r="F911" s="58"/>
      <c r="G911" s="56"/>
      <c r="H911" s="56"/>
      <c r="I911" s="59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</row>
    <row r="912" spans="1:32" ht="13.5" customHeight="1" x14ac:dyDescent="0.25">
      <c r="A912" s="56"/>
      <c r="B912" s="56"/>
      <c r="C912" s="56"/>
      <c r="D912" s="56"/>
      <c r="E912" s="57"/>
      <c r="F912" s="58"/>
      <c r="G912" s="56"/>
      <c r="H912" s="56"/>
      <c r="I912" s="59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</row>
    <row r="913" spans="1:32" ht="13.5" customHeight="1" x14ac:dyDescent="0.25">
      <c r="A913" s="56"/>
      <c r="B913" s="56"/>
      <c r="C913" s="56"/>
      <c r="D913" s="56"/>
      <c r="E913" s="57"/>
      <c r="F913" s="58"/>
      <c r="G913" s="56"/>
      <c r="H913" s="56"/>
      <c r="I913" s="59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</row>
    <row r="914" spans="1:32" ht="13.5" customHeight="1" x14ac:dyDescent="0.25">
      <c r="A914" s="56"/>
      <c r="B914" s="56"/>
      <c r="C914" s="56"/>
      <c r="D914" s="56"/>
      <c r="E914" s="57"/>
      <c r="F914" s="58"/>
      <c r="G914" s="56"/>
      <c r="H914" s="56"/>
      <c r="I914" s="59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</row>
    <row r="915" spans="1:32" ht="13.5" customHeight="1" x14ac:dyDescent="0.25">
      <c r="A915" s="56"/>
      <c r="B915" s="56"/>
      <c r="C915" s="56"/>
      <c r="D915" s="56"/>
      <c r="E915" s="57"/>
      <c r="F915" s="58"/>
      <c r="G915" s="56"/>
      <c r="H915" s="56"/>
      <c r="I915" s="59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</row>
    <row r="916" spans="1:32" ht="13.5" customHeight="1" x14ac:dyDescent="0.25">
      <c r="A916" s="56"/>
      <c r="B916" s="56"/>
      <c r="C916" s="56"/>
      <c r="D916" s="56"/>
      <c r="E916" s="57"/>
      <c r="F916" s="58"/>
      <c r="G916" s="56"/>
      <c r="H916" s="56"/>
      <c r="I916" s="59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</row>
    <row r="917" spans="1:32" ht="13.5" customHeight="1" x14ac:dyDescent="0.25">
      <c r="A917" s="56"/>
      <c r="B917" s="56"/>
      <c r="C917" s="56"/>
      <c r="D917" s="56"/>
      <c r="E917" s="57"/>
      <c r="F917" s="58"/>
      <c r="G917" s="56"/>
      <c r="H917" s="56"/>
      <c r="I917" s="59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</row>
    <row r="918" spans="1:32" ht="13.5" customHeight="1" x14ac:dyDescent="0.25">
      <c r="A918" s="56"/>
      <c r="B918" s="56"/>
      <c r="C918" s="56"/>
      <c r="D918" s="56"/>
      <c r="E918" s="57"/>
      <c r="F918" s="58"/>
      <c r="G918" s="56"/>
      <c r="H918" s="56"/>
      <c r="I918" s="59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</row>
    <row r="919" spans="1:32" ht="13.5" customHeight="1" x14ac:dyDescent="0.25">
      <c r="A919" s="56"/>
      <c r="B919" s="56"/>
      <c r="C919" s="56"/>
      <c r="D919" s="56"/>
      <c r="E919" s="57"/>
      <c r="F919" s="58"/>
      <c r="G919" s="56"/>
      <c r="H919" s="56"/>
      <c r="I919" s="59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</row>
    <row r="920" spans="1:32" ht="13.5" customHeight="1" x14ac:dyDescent="0.25">
      <c r="A920" s="56"/>
      <c r="B920" s="56"/>
      <c r="C920" s="56"/>
      <c r="D920" s="56"/>
      <c r="E920" s="57"/>
      <c r="F920" s="58"/>
      <c r="G920" s="56"/>
      <c r="H920" s="56"/>
      <c r="I920" s="59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</row>
    <row r="921" spans="1:32" ht="13.5" customHeight="1" x14ac:dyDescent="0.25">
      <c r="A921" s="56"/>
      <c r="B921" s="56"/>
      <c r="C921" s="56"/>
      <c r="D921" s="56"/>
      <c r="E921" s="57"/>
      <c r="F921" s="58"/>
      <c r="G921" s="56"/>
      <c r="H921" s="56"/>
      <c r="I921" s="59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</row>
    <row r="922" spans="1:32" ht="13.5" customHeight="1" x14ac:dyDescent="0.25">
      <c r="A922" s="56"/>
      <c r="B922" s="56"/>
      <c r="C922" s="56"/>
      <c r="D922" s="56"/>
      <c r="E922" s="57"/>
      <c r="F922" s="58"/>
      <c r="G922" s="56"/>
      <c r="H922" s="56"/>
      <c r="I922" s="59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</row>
    <row r="923" spans="1:32" ht="13.5" customHeight="1" x14ac:dyDescent="0.25">
      <c r="A923" s="56"/>
      <c r="B923" s="56"/>
      <c r="C923" s="56"/>
      <c r="D923" s="56"/>
      <c r="E923" s="57"/>
      <c r="F923" s="58"/>
      <c r="G923" s="56"/>
      <c r="H923" s="56"/>
      <c r="I923" s="59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</row>
    <row r="924" spans="1:32" ht="13.5" customHeight="1" x14ac:dyDescent="0.25">
      <c r="A924" s="56"/>
      <c r="B924" s="56"/>
      <c r="C924" s="56"/>
      <c r="D924" s="56"/>
      <c r="E924" s="57"/>
      <c r="F924" s="58"/>
      <c r="G924" s="56"/>
      <c r="H924" s="56"/>
      <c r="I924" s="59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</row>
    <row r="925" spans="1:32" ht="13.5" customHeight="1" x14ac:dyDescent="0.25">
      <c r="A925" s="56"/>
      <c r="B925" s="56"/>
      <c r="C925" s="56"/>
      <c r="D925" s="56"/>
      <c r="E925" s="57"/>
      <c r="F925" s="58"/>
      <c r="G925" s="56"/>
      <c r="H925" s="56"/>
      <c r="I925" s="59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</row>
    <row r="926" spans="1:32" ht="13.5" customHeight="1" x14ac:dyDescent="0.25">
      <c r="A926" s="56"/>
      <c r="B926" s="56"/>
      <c r="C926" s="56"/>
      <c r="D926" s="56"/>
      <c r="E926" s="57"/>
      <c r="F926" s="58"/>
      <c r="G926" s="56"/>
      <c r="H926" s="56"/>
      <c r="I926" s="59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</row>
    <row r="927" spans="1:32" ht="13.5" customHeight="1" x14ac:dyDescent="0.25">
      <c r="A927" s="56"/>
      <c r="B927" s="56"/>
      <c r="C927" s="56"/>
      <c r="D927" s="56"/>
      <c r="E927" s="57"/>
      <c r="F927" s="58"/>
      <c r="G927" s="56"/>
      <c r="H927" s="56"/>
      <c r="I927" s="59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</row>
    <row r="928" spans="1:32" ht="13.5" customHeight="1" x14ac:dyDescent="0.25">
      <c r="A928" s="56"/>
      <c r="B928" s="56"/>
      <c r="C928" s="56"/>
      <c r="D928" s="56"/>
      <c r="E928" s="57"/>
      <c r="F928" s="58"/>
      <c r="G928" s="56"/>
      <c r="H928" s="56"/>
      <c r="I928" s="59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</row>
    <row r="929" spans="1:32" ht="13.5" customHeight="1" x14ac:dyDescent="0.25">
      <c r="A929" s="56"/>
      <c r="B929" s="56"/>
      <c r="C929" s="56"/>
      <c r="D929" s="56"/>
      <c r="E929" s="57"/>
      <c r="F929" s="58"/>
      <c r="G929" s="56"/>
      <c r="H929" s="56"/>
      <c r="I929" s="59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</row>
    <row r="930" spans="1:32" ht="13.5" customHeight="1" x14ac:dyDescent="0.25">
      <c r="A930" s="56"/>
      <c r="B930" s="56"/>
      <c r="C930" s="56"/>
      <c r="D930" s="56"/>
      <c r="E930" s="57"/>
      <c r="F930" s="58"/>
      <c r="G930" s="56"/>
      <c r="H930" s="56"/>
      <c r="I930" s="59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</row>
    <row r="931" spans="1:32" ht="13.5" customHeight="1" x14ac:dyDescent="0.25">
      <c r="A931" s="56"/>
      <c r="B931" s="56"/>
      <c r="C931" s="56"/>
      <c r="D931" s="56"/>
      <c r="E931" s="57"/>
      <c r="F931" s="58"/>
      <c r="G931" s="56"/>
      <c r="H931" s="56"/>
      <c r="I931" s="59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</row>
    <row r="932" spans="1:32" ht="13.5" customHeight="1" x14ac:dyDescent="0.25">
      <c r="A932" s="56"/>
      <c r="B932" s="56"/>
      <c r="C932" s="56"/>
      <c r="D932" s="56"/>
      <c r="E932" s="57"/>
      <c r="F932" s="58"/>
      <c r="G932" s="56"/>
      <c r="H932" s="56"/>
      <c r="I932" s="59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</row>
    <row r="933" spans="1:32" ht="13.5" customHeight="1" x14ac:dyDescent="0.25">
      <c r="A933" s="56"/>
      <c r="B933" s="56"/>
      <c r="C933" s="56"/>
      <c r="D933" s="56"/>
      <c r="E933" s="57"/>
      <c r="F933" s="58"/>
      <c r="G933" s="56"/>
      <c r="H933" s="56"/>
      <c r="I933" s="59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</row>
    <row r="934" spans="1:32" ht="13.5" customHeight="1" x14ac:dyDescent="0.25">
      <c r="A934" s="56"/>
      <c r="B934" s="56"/>
      <c r="C934" s="56"/>
      <c r="D934" s="56"/>
      <c r="E934" s="57"/>
      <c r="F934" s="58"/>
      <c r="G934" s="56"/>
      <c r="H934" s="56"/>
      <c r="I934" s="59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</row>
    <row r="935" spans="1:32" ht="13.5" customHeight="1" x14ac:dyDescent="0.25">
      <c r="A935" s="56"/>
      <c r="B935" s="56"/>
      <c r="C935" s="56"/>
      <c r="D935" s="56"/>
      <c r="E935" s="57"/>
      <c r="F935" s="58"/>
      <c r="G935" s="56"/>
      <c r="H935" s="56"/>
      <c r="I935" s="59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</row>
    <row r="936" spans="1:32" ht="13.5" customHeight="1" x14ac:dyDescent="0.25">
      <c r="A936" s="56"/>
      <c r="B936" s="56"/>
      <c r="C936" s="56"/>
      <c r="D936" s="56"/>
      <c r="E936" s="57"/>
      <c r="F936" s="58"/>
      <c r="G936" s="56"/>
      <c r="H936" s="56"/>
      <c r="I936" s="59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</row>
    <row r="937" spans="1:32" ht="13.5" customHeight="1" x14ac:dyDescent="0.25">
      <c r="A937" s="56"/>
      <c r="B937" s="56"/>
      <c r="C937" s="56"/>
      <c r="D937" s="56"/>
      <c r="E937" s="57"/>
      <c r="F937" s="58"/>
      <c r="G937" s="56"/>
      <c r="H937" s="56"/>
      <c r="I937" s="59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</row>
    <row r="938" spans="1:32" ht="13.5" customHeight="1" x14ac:dyDescent="0.25">
      <c r="A938" s="56"/>
      <c r="B938" s="56"/>
      <c r="C938" s="56"/>
      <c r="D938" s="56"/>
      <c r="E938" s="57"/>
      <c r="F938" s="58"/>
      <c r="G938" s="56"/>
      <c r="H938" s="56"/>
      <c r="I938" s="59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</row>
    <row r="939" spans="1:32" ht="13.5" customHeight="1" x14ac:dyDescent="0.25">
      <c r="A939" s="56"/>
      <c r="B939" s="56"/>
      <c r="C939" s="56"/>
      <c r="D939" s="56"/>
      <c r="E939" s="57"/>
      <c r="F939" s="58"/>
      <c r="G939" s="56"/>
      <c r="H939" s="56"/>
      <c r="I939" s="59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</row>
    <row r="940" spans="1:32" ht="13.5" customHeight="1" x14ac:dyDescent="0.25">
      <c r="A940" s="56"/>
      <c r="B940" s="56"/>
      <c r="C940" s="56"/>
      <c r="D940" s="56"/>
      <c r="E940" s="57"/>
      <c r="F940" s="58"/>
      <c r="G940" s="56"/>
      <c r="H940" s="56"/>
      <c r="I940" s="59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</row>
    <row r="941" spans="1:32" ht="13.5" customHeight="1" x14ac:dyDescent="0.25">
      <c r="A941" s="56"/>
      <c r="B941" s="56"/>
      <c r="C941" s="56"/>
      <c r="D941" s="56"/>
      <c r="E941" s="57"/>
      <c r="F941" s="58"/>
      <c r="G941" s="56"/>
      <c r="H941" s="56"/>
      <c r="I941" s="59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</row>
    <row r="942" spans="1:32" ht="13.5" customHeight="1" x14ac:dyDescent="0.25">
      <c r="A942" s="56"/>
      <c r="B942" s="56"/>
      <c r="C942" s="56"/>
      <c r="D942" s="56"/>
      <c r="E942" s="57"/>
      <c r="F942" s="58"/>
      <c r="G942" s="56"/>
      <c r="H942" s="56"/>
      <c r="I942" s="59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</row>
    <row r="943" spans="1:32" ht="13.5" customHeight="1" x14ac:dyDescent="0.25">
      <c r="A943" s="56"/>
      <c r="B943" s="56"/>
      <c r="C943" s="56"/>
      <c r="D943" s="56"/>
      <c r="E943" s="57"/>
      <c r="F943" s="58"/>
      <c r="G943" s="56"/>
      <c r="H943" s="56"/>
      <c r="I943" s="59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</row>
    <row r="944" spans="1:32" ht="13.5" customHeight="1" x14ac:dyDescent="0.25">
      <c r="A944" s="56"/>
      <c r="B944" s="56"/>
      <c r="C944" s="56"/>
      <c r="D944" s="56"/>
      <c r="E944" s="57"/>
      <c r="F944" s="58"/>
      <c r="G944" s="56"/>
      <c r="H944" s="56"/>
      <c r="I944" s="59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</row>
    <row r="945" spans="1:32" ht="13.5" customHeight="1" x14ac:dyDescent="0.25">
      <c r="A945" s="56"/>
      <c r="B945" s="56"/>
      <c r="C945" s="56"/>
      <c r="D945" s="56"/>
      <c r="E945" s="57"/>
      <c r="F945" s="58"/>
      <c r="G945" s="56"/>
      <c r="H945" s="56"/>
      <c r="I945" s="59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</row>
    <row r="946" spans="1:32" ht="13.5" customHeight="1" x14ac:dyDescent="0.25">
      <c r="A946" s="56"/>
      <c r="B946" s="56"/>
      <c r="C946" s="56"/>
      <c r="D946" s="56"/>
      <c r="E946" s="57"/>
      <c r="F946" s="58"/>
      <c r="G946" s="56"/>
      <c r="H946" s="56"/>
      <c r="I946" s="59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</row>
    <row r="947" spans="1:32" ht="13.5" customHeight="1" x14ac:dyDescent="0.25">
      <c r="A947" s="56"/>
      <c r="B947" s="56"/>
      <c r="C947" s="56"/>
      <c r="D947" s="56"/>
      <c r="E947" s="57"/>
      <c r="F947" s="58"/>
      <c r="G947" s="56"/>
      <c r="H947" s="56"/>
      <c r="I947" s="59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</row>
    <row r="948" spans="1:32" ht="13.5" customHeight="1" x14ac:dyDescent="0.25">
      <c r="A948" s="56"/>
      <c r="B948" s="56"/>
      <c r="C948" s="56"/>
      <c r="D948" s="56"/>
      <c r="E948" s="57"/>
      <c r="F948" s="58"/>
      <c r="G948" s="56"/>
      <c r="H948" s="56"/>
      <c r="I948" s="59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</row>
    <row r="949" spans="1:32" ht="13.5" customHeight="1" x14ac:dyDescent="0.25">
      <c r="A949" s="56"/>
      <c r="B949" s="56"/>
      <c r="C949" s="56"/>
      <c r="D949" s="56"/>
      <c r="E949" s="57"/>
      <c r="F949" s="58"/>
      <c r="G949" s="56"/>
      <c r="H949" s="56"/>
      <c r="I949" s="59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</row>
    <row r="950" spans="1:32" ht="13.5" customHeight="1" x14ac:dyDescent="0.25">
      <c r="A950" s="56"/>
      <c r="B950" s="56"/>
      <c r="C950" s="56"/>
      <c r="D950" s="56"/>
      <c r="E950" s="57"/>
      <c r="F950" s="58"/>
      <c r="G950" s="56"/>
      <c r="H950" s="56"/>
      <c r="I950" s="59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</row>
    <row r="951" spans="1:32" ht="13.5" customHeight="1" x14ac:dyDescent="0.25">
      <c r="A951" s="56"/>
      <c r="B951" s="56"/>
      <c r="C951" s="56"/>
      <c r="D951" s="56"/>
      <c r="E951" s="57"/>
      <c r="F951" s="58"/>
      <c r="G951" s="56"/>
      <c r="H951" s="56"/>
      <c r="I951" s="59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</row>
    <row r="952" spans="1:32" ht="13.5" customHeight="1" x14ac:dyDescent="0.25">
      <c r="A952" s="56"/>
      <c r="B952" s="56"/>
      <c r="C952" s="56"/>
      <c r="D952" s="56"/>
      <c r="E952" s="57"/>
      <c r="F952" s="58"/>
      <c r="G952" s="56"/>
      <c r="H952" s="56"/>
      <c r="I952" s="59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</row>
    <row r="953" spans="1:32" ht="13.5" customHeight="1" x14ac:dyDescent="0.25">
      <c r="A953" s="56"/>
      <c r="B953" s="56"/>
      <c r="C953" s="56"/>
      <c r="D953" s="56"/>
      <c r="E953" s="57"/>
      <c r="F953" s="58"/>
      <c r="G953" s="56"/>
      <c r="H953" s="56"/>
      <c r="I953" s="59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</row>
    <row r="954" spans="1:32" ht="13.5" customHeight="1" x14ac:dyDescent="0.25">
      <c r="A954" s="56"/>
      <c r="B954" s="56"/>
      <c r="C954" s="56"/>
      <c r="D954" s="56"/>
      <c r="E954" s="57"/>
      <c r="F954" s="58"/>
      <c r="G954" s="56"/>
      <c r="H954" s="56"/>
      <c r="I954" s="59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</row>
    <row r="955" spans="1:32" ht="13.5" customHeight="1" x14ac:dyDescent="0.25">
      <c r="A955" s="56"/>
      <c r="B955" s="56"/>
      <c r="C955" s="56"/>
      <c r="D955" s="56"/>
      <c r="E955" s="57"/>
      <c r="F955" s="58"/>
      <c r="G955" s="56"/>
      <c r="H955" s="56"/>
      <c r="I955" s="59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</row>
    <row r="956" spans="1:32" ht="13.5" customHeight="1" x14ac:dyDescent="0.25">
      <c r="A956" s="56"/>
      <c r="B956" s="56"/>
      <c r="C956" s="56"/>
      <c r="D956" s="56"/>
      <c r="E956" s="57"/>
      <c r="F956" s="58"/>
      <c r="G956" s="56"/>
      <c r="H956" s="56"/>
      <c r="I956" s="59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</row>
    <row r="957" spans="1:32" ht="13.5" customHeight="1" x14ac:dyDescent="0.25">
      <c r="A957" s="56"/>
      <c r="B957" s="56"/>
      <c r="C957" s="56"/>
      <c r="D957" s="56"/>
      <c r="E957" s="57"/>
      <c r="F957" s="58"/>
      <c r="G957" s="56"/>
      <c r="H957" s="56"/>
      <c r="I957" s="59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</row>
    <row r="958" spans="1:32" ht="13.5" customHeight="1" x14ac:dyDescent="0.25">
      <c r="A958" s="56"/>
      <c r="B958" s="56"/>
      <c r="C958" s="56"/>
      <c r="D958" s="56"/>
      <c r="E958" s="57"/>
      <c r="F958" s="58"/>
      <c r="G958" s="56"/>
      <c r="H958" s="56"/>
      <c r="I958" s="59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</row>
    <row r="959" spans="1:32" ht="13.5" customHeight="1" x14ac:dyDescent="0.25">
      <c r="A959" s="56"/>
      <c r="B959" s="56"/>
      <c r="C959" s="56"/>
      <c r="D959" s="56"/>
      <c r="E959" s="57"/>
      <c r="F959" s="58"/>
      <c r="G959" s="56"/>
      <c r="H959" s="56"/>
      <c r="I959" s="59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</row>
    <row r="960" spans="1:32" ht="13.5" customHeight="1" x14ac:dyDescent="0.25">
      <c r="A960" s="56"/>
      <c r="B960" s="56"/>
      <c r="C960" s="56"/>
      <c r="D960" s="56"/>
      <c r="E960" s="57"/>
      <c r="F960" s="58"/>
      <c r="G960" s="56"/>
      <c r="H960" s="56"/>
      <c r="I960" s="59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</row>
    <row r="961" spans="1:32" ht="13.5" customHeight="1" x14ac:dyDescent="0.25">
      <c r="A961" s="56"/>
      <c r="B961" s="56"/>
      <c r="C961" s="56"/>
      <c r="D961" s="56"/>
      <c r="E961" s="57"/>
      <c r="F961" s="58"/>
      <c r="G961" s="56"/>
      <c r="H961" s="56"/>
      <c r="I961" s="59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</row>
    <row r="962" spans="1:32" ht="13.5" customHeight="1" x14ac:dyDescent="0.25">
      <c r="A962" s="56"/>
      <c r="B962" s="56"/>
      <c r="C962" s="56"/>
      <c r="D962" s="56"/>
      <c r="E962" s="57"/>
      <c r="F962" s="58"/>
      <c r="G962" s="56"/>
      <c r="H962" s="56"/>
      <c r="I962" s="59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</row>
    <row r="963" spans="1:32" ht="13.5" customHeight="1" x14ac:dyDescent="0.25">
      <c r="A963" s="56"/>
      <c r="B963" s="56"/>
      <c r="C963" s="56"/>
      <c r="D963" s="56"/>
      <c r="E963" s="57"/>
      <c r="F963" s="58"/>
      <c r="G963" s="56"/>
      <c r="H963" s="56"/>
      <c r="I963" s="59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</row>
    <row r="964" spans="1:32" ht="13.5" customHeight="1" x14ac:dyDescent="0.25">
      <c r="A964" s="56"/>
      <c r="B964" s="56"/>
      <c r="C964" s="56"/>
      <c r="D964" s="56"/>
      <c r="E964" s="57"/>
      <c r="F964" s="58"/>
      <c r="G964" s="56"/>
      <c r="H964" s="56"/>
      <c r="I964" s="59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</row>
    <row r="965" spans="1:32" ht="13.5" customHeight="1" x14ac:dyDescent="0.25">
      <c r="A965" s="56"/>
      <c r="B965" s="56"/>
      <c r="C965" s="56"/>
      <c r="D965" s="56"/>
      <c r="E965" s="57"/>
      <c r="F965" s="58"/>
      <c r="G965" s="56"/>
      <c r="H965" s="56"/>
      <c r="I965" s="59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</row>
    <row r="966" spans="1:32" ht="13.5" customHeight="1" x14ac:dyDescent="0.25">
      <c r="A966" s="56"/>
      <c r="B966" s="56"/>
      <c r="C966" s="56"/>
      <c r="D966" s="56"/>
      <c r="E966" s="57"/>
      <c r="F966" s="58"/>
      <c r="G966" s="56"/>
      <c r="H966" s="56"/>
      <c r="I966" s="59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</row>
    <row r="967" spans="1:32" ht="13.5" customHeight="1" x14ac:dyDescent="0.25">
      <c r="A967" s="56"/>
      <c r="B967" s="56"/>
      <c r="C967" s="56"/>
      <c r="D967" s="56"/>
      <c r="E967" s="57"/>
      <c r="F967" s="58"/>
      <c r="G967" s="56"/>
      <c r="H967" s="56"/>
      <c r="I967" s="59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</row>
    <row r="968" spans="1:32" ht="13.5" customHeight="1" x14ac:dyDescent="0.25">
      <c r="A968" s="56"/>
      <c r="B968" s="56"/>
      <c r="C968" s="56"/>
      <c r="D968" s="56"/>
      <c r="E968" s="57"/>
      <c r="F968" s="58"/>
      <c r="G968" s="56"/>
      <c r="H968" s="56"/>
      <c r="I968" s="59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</row>
    <row r="969" spans="1:32" ht="13.5" customHeight="1" x14ac:dyDescent="0.25">
      <c r="A969" s="56"/>
      <c r="B969" s="56"/>
      <c r="C969" s="56"/>
      <c r="D969" s="56"/>
      <c r="E969" s="57"/>
      <c r="F969" s="58"/>
      <c r="G969" s="56"/>
      <c r="H969" s="56"/>
      <c r="I969" s="59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</row>
    <row r="970" spans="1:32" ht="13.5" customHeight="1" x14ac:dyDescent="0.25">
      <c r="A970" s="56"/>
      <c r="B970" s="56"/>
      <c r="C970" s="56"/>
      <c r="D970" s="56"/>
      <c r="E970" s="57"/>
      <c r="F970" s="58"/>
      <c r="G970" s="56"/>
      <c r="H970" s="56"/>
      <c r="I970" s="59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</row>
    <row r="971" spans="1:32" ht="13.5" customHeight="1" x14ac:dyDescent="0.25">
      <c r="A971" s="56"/>
      <c r="B971" s="56"/>
      <c r="C971" s="56"/>
      <c r="D971" s="56"/>
      <c r="E971" s="57"/>
      <c r="F971" s="58"/>
      <c r="G971" s="56"/>
      <c r="H971" s="56"/>
      <c r="I971" s="59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</row>
    <row r="972" spans="1:32" ht="13.5" customHeight="1" x14ac:dyDescent="0.25">
      <c r="A972" s="56"/>
      <c r="B972" s="56"/>
      <c r="C972" s="56"/>
      <c r="D972" s="56"/>
      <c r="E972" s="57"/>
      <c r="F972" s="58"/>
      <c r="G972" s="56"/>
      <c r="H972" s="56"/>
      <c r="I972" s="59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</row>
    <row r="973" spans="1:32" ht="13.5" customHeight="1" x14ac:dyDescent="0.25">
      <c r="A973" s="56"/>
      <c r="B973" s="56"/>
      <c r="C973" s="56"/>
      <c r="D973" s="56"/>
      <c r="E973" s="57"/>
      <c r="F973" s="58"/>
      <c r="G973" s="56"/>
      <c r="H973" s="56"/>
      <c r="I973" s="59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</row>
    <row r="974" spans="1:32" ht="13.5" customHeight="1" x14ac:dyDescent="0.25">
      <c r="A974" s="56"/>
      <c r="B974" s="56"/>
      <c r="C974" s="56"/>
      <c r="D974" s="56"/>
      <c r="E974" s="57"/>
      <c r="F974" s="58"/>
      <c r="G974" s="56"/>
      <c r="H974" s="56"/>
      <c r="I974" s="59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</row>
    <row r="975" spans="1:32" ht="13.5" customHeight="1" x14ac:dyDescent="0.25">
      <c r="A975" s="56"/>
      <c r="B975" s="56"/>
      <c r="C975" s="56"/>
      <c r="D975" s="56"/>
      <c r="E975" s="57"/>
      <c r="F975" s="58"/>
      <c r="G975" s="56"/>
      <c r="H975" s="56"/>
      <c r="I975" s="59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</row>
    <row r="976" spans="1:32" ht="13.5" customHeight="1" x14ac:dyDescent="0.25">
      <c r="A976" s="56"/>
      <c r="B976" s="56"/>
      <c r="C976" s="56"/>
      <c r="D976" s="56"/>
      <c r="E976" s="57"/>
      <c r="F976" s="58"/>
      <c r="G976" s="56"/>
      <c r="H976" s="56"/>
      <c r="I976" s="59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</row>
    <row r="977" spans="1:32" ht="13.5" customHeight="1" x14ac:dyDescent="0.25">
      <c r="A977" s="56"/>
      <c r="B977" s="56"/>
      <c r="C977" s="56"/>
      <c r="D977" s="56"/>
      <c r="E977" s="57"/>
      <c r="F977" s="58"/>
      <c r="G977" s="56"/>
      <c r="H977" s="56"/>
      <c r="I977" s="59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</row>
    <row r="978" spans="1:32" ht="13.5" customHeight="1" x14ac:dyDescent="0.25">
      <c r="A978" s="56"/>
      <c r="B978" s="56"/>
      <c r="C978" s="56"/>
      <c r="D978" s="56"/>
      <c r="E978" s="57"/>
      <c r="F978" s="58"/>
      <c r="G978" s="56"/>
      <c r="H978" s="56"/>
      <c r="I978" s="59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</row>
    <row r="979" spans="1:32" ht="13.5" customHeight="1" x14ac:dyDescent="0.25">
      <c r="A979" s="56"/>
      <c r="B979" s="56"/>
      <c r="C979" s="56"/>
      <c r="D979" s="56"/>
      <c r="E979" s="57"/>
      <c r="F979" s="58"/>
      <c r="G979" s="56"/>
      <c r="H979" s="56"/>
      <c r="I979" s="59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</row>
    <row r="980" spans="1:32" ht="13.5" customHeight="1" x14ac:dyDescent="0.25">
      <c r="A980" s="56"/>
      <c r="B980" s="56"/>
      <c r="C980" s="56"/>
      <c r="D980" s="56"/>
      <c r="E980" s="57"/>
      <c r="F980" s="58"/>
      <c r="G980" s="56"/>
      <c r="H980" s="56"/>
      <c r="I980" s="59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</row>
    <row r="981" spans="1:32" ht="13.5" customHeight="1" x14ac:dyDescent="0.25">
      <c r="A981" s="56"/>
      <c r="B981" s="56"/>
      <c r="C981" s="56"/>
      <c r="D981" s="56"/>
      <c r="E981" s="57"/>
      <c r="F981" s="58"/>
      <c r="G981" s="56"/>
      <c r="H981" s="56"/>
      <c r="I981" s="59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</row>
    <row r="982" spans="1:32" ht="13.5" customHeight="1" x14ac:dyDescent="0.25">
      <c r="A982" s="56"/>
      <c r="B982" s="56"/>
      <c r="C982" s="56"/>
      <c r="D982" s="56"/>
      <c r="E982" s="57"/>
      <c r="F982" s="58"/>
      <c r="G982" s="56"/>
      <c r="H982" s="56"/>
      <c r="I982" s="59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</row>
    <row r="983" spans="1:32" ht="13.5" customHeight="1" x14ac:dyDescent="0.25">
      <c r="A983" s="56"/>
      <c r="B983" s="56"/>
      <c r="C983" s="56"/>
      <c r="D983" s="56"/>
      <c r="E983" s="57"/>
      <c r="F983" s="58"/>
      <c r="G983" s="56"/>
      <c r="H983" s="56"/>
      <c r="I983" s="59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</row>
    <row r="984" spans="1:32" ht="13.5" customHeight="1" x14ac:dyDescent="0.25">
      <c r="A984" s="56"/>
      <c r="B984" s="56"/>
      <c r="C984" s="56"/>
      <c r="D984" s="56"/>
      <c r="E984" s="57"/>
      <c r="F984" s="58"/>
      <c r="G984" s="56"/>
      <c r="H984" s="56"/>
      <c r="I984" s="59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</row>
    <row r="985" spans="1:32" ht="13.5" customHeight="1" x14ac:dyDescent="0.25">
      <c r="A985" s="56"/>
      <c r="B985" s="56"/>
      <c r="C985" s="56"/>
      <c r="D985" s="56"/>
      <c r="E985" s="57"/>
      <c r="F985" s="58"/>
      <c r="G985" s="56"/>
      <c r="H985" s="56"/>
      <c r="I985" s="59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</row>
    <row r="986" spans="1:32" ht="13.5" customHeight="1" x14ac:dyDescent="0.25">
      <c r="A986" s="56"/>
      <c r="B986" s="56"/>
      <c r="C986" s="56"/>
      <c r="D986" s="56"/>
      <c r="E986" s="57"/>
      <c r="F986" s="58"/>
      <c r="G986" s="56"/>
      <c r="H986" s="56"/>
      <c r="I986" s="59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</row>
    <row r="987" spans="1:32" ht="13.5" customHeight="1" x14ac:dyDescent="0.25">
      <c r="A987" s="56"/>
      <c r="B987" s="56"/>
      <c r="C987" s="56"/>
      <c r="D987" s="56"/>
      <c r="E987" s="57"/>
      <c r="F987" s="58"/>
      <c r="G987" s="56"/>
      <c r="H987" s="56"/>
      <c r="I987" s="59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</row>
    <row r="988" spans="1:32" ht="13.5" customHeight="1" x14ac:dyDescent="0.25">
      <c r="A988" s="56"/>
      <c r="B988" s="56"/>
      <c r="C988" s="56"/>
      <c r="D988" s="56"/>
      <c r="E988" s="57"/>
      <c r="F988" s="58"/>
      <c r="G988" s="56"/>
      <c r="H988" s="56"/>
      <c r="I988" s="59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</row>
    <row r="989" spans="1:32" ht="13.5" customHeight="1" x14ac:dyDescent="0.25">
      <c r="A989" s="56"/>
      <c r="B989" s="56"/>
      <c r="C989" s="56"/>
      <c r="D989" s="56"/>
      <c r="E989" s="57"/>
      <c r="F989" s="58"/>
      <c r="G989" s="56"/>
      <c r="H989" s="56"/>
      <c r="I989" s="59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</row>
    <row r="990" spans="1:32" ht="13.5" customHeight="1" x14ac:dyDescent="0.25">
      <c r="A990" s="56"/>
      <c r="B990" s="56"/>
      <c r="C990" s="56"/>
      <c r="D990" s="56"/>
      <c r="E990" s="57"/>
      <c r="F990" s="58"/>
      <c r="G990" s="56"/>
      <c r="H990" s="56"/>
      <c r="I990" s="59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</row>
    <row r="991" spans="1:32" ht="13.5" customHeight="1" x14ac:dyDescent="0.25">
      <c r="A991" s="56"/>
      <c r="B991" s="56"/>
      <c r="C991" s="56"/>
      <c r="D991" s="56"/>
      <c r="E991" s="57"/>
      <c r="F991" s="58"/>
      <c r="G991" s="56"/>
      <c r="H991" s="56"/>
      <c r="I991" s="59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</row>
    <row r="992" spans="1:32" ht="13.5" customHeight="1" x14ac:dyDescent="0.25">
      <c r="A992" s="56"/>
      <c r="B992" s="56"/>
      <c r="C992" s="56"/>
      <c r="D992" s="56"/>
      <c r="E992" s="57"/>
      <c r="F992" s="58"/>
      <c r="G992" s="56"/>
      <c r="H992" s="56"/>
      <c r="I992" s="59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</row>
    <row r="993" spans="1:32" ht="13.5" customHeight="1" x14ac:dyDescent="0.25">
      <c r="A993" s="56"/>
      <c r="B993" s="56"/>
      <c r="C993" s="56"/>
      <c r="D993" s="56"/>
      <c r="E993" s="57"/>
      <c r="F993" s="58"/>
      <c r="G993" s="56"/>
      <c r="H993" s="56"/>
      <c r="I993" s="59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</row>
    <row r="994" spans="1:32" ht="13.5" customHeight="1" x14ac:dyDescent="0.25">
      <c r="A994" s="56"/>
      <c r="B994" s="56"/>
      <c r="C994" s="56"/>
      <c r="D994" s="56"/>
      <c r="E994" s="57"/>
      <c r="F994" s="58"/>
      <c r="G994" s="56"/>
      <c r="H994" s="56"/>
      <c r="I994" s="59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</row>
    <row r="995" spans="1:32" ht="13.5" customHeight="1" x14ac:dyDescent="0.25">
      <c r="A995" s="56"/>
      <c r="B995" s="56"/>
      <c r="C995" s="56"/>
      <c r="D995" s="56"/>
      <c r="E995" s="57"/>
      <c r="F995" s="58"/>
      <c r="G995" s="56"/>
      <c r="H995" s="56"/>
      <c r="I995" s="59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</row>
    <row r="996" spans="1:32" ht="13.5" customHeight="1" x14ac:dyDescent="0.25">
      <c r="A996" s="56"/>
      <c r="B996" s="56"/>
      <c r="C996" s="56"/>
      <c r="D996" s="56"/>
      <c r="E996" s="57"/>
      <c r="F996" s="58"/>
      <c r="G996" s="56"/>
      <c r="H996" s="56"/>
      <c r="I996" s="59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</row>
    <row r="997" spans="1:32" ht="13.5" customHeight="1" x14ac:dyDescent="0.25">
      <c r="A997" s="56"/>
      <c r="B997" s="56"/>
      <c r="C997" s="56"/>
      <c r="D997" s="56"/>
      <c r="E997" s="57"/>
      <c r="F997" s="58"/>
      <c r="G997" s="56"/>
      <c r="H997" s="56"/>
      <c r="I997" s="59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</row>
    <row r="998" spans="1:32" ht="13.5" customHeight="1" x14ac:dyDescent="0.25">
      <c r="A998" s="56"/>
      <c r="B998" s="56"/>
      <c r="C998" s="56"/>
      <c r="D998" s="56"/>
      <c r="E998" s="57"/>
      <c r="F998" s="58"/>
      <c r="G998" s="56"/>
      <c r="H998" s="56"/>
      <c r="I998" s="59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</row>
    <row r="999" spans="1:32" ht="13.5" customHeight="1" x14ac:dyDescent="0.25">
      <c r="A999" s="56"/>
      <c r="B999" s="56"/>
      <c r="C999" s="56"/>
      <c r="D999" s="56"/>
      <c r="E999" s="57"/>
      <c r="F999" s="58"/>
      <c r="G999" s="56"/>
      <c r="H999" s="56"/>
      <c r="I999" s="59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</row>
    <row r="1000" spans="1:32" ht="13.5" customHeight="1" x14ac:dyDescent="0.25">
      <c r="A1000" s="56"/>
      <c r="B1000" s="56"/>
      <c r="C1000" s="56"/>
      <c r="D1000" s="56"/>
      <c r="E1000" s="57"/>
      <c r="F1000" s="58"/>
      <c r="G1000" s="56"/>
      <c r="H1000" s="56"/>
      <c r="I1000" s="59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</row>
  </sheetData>
  <mergeCells count="415">
    <mergeCell ref="AC50:AC51"/>
    <mergeCell ref="AD50:AD51"/>
    <mergeCell ref="AE50:AE51"/>
    <mergeCell ref="AF50:AF51"/>
    <mergeCell ref="R50:R51"/>
    <mergeCell ref="S50:S51"/>
    <mergeCell ref="T50:T51"/>
    <mergeCell ref="U50:U51"/>
    <mergeCell ref="V50:V51"/>
    <mergeCell ref="W50:W51"/>
    <mergeCell ref="X50:X51"/>
    <mergeCell ref="U52:U55"/>
    <mergeCell ref="V52:V55"/>
    <mergeCell ref="W52:W55"/>
    <mergeCell ref="X52:X55"/>
    <mergeCell ref="Y50:Y51"/>
    <mergeCell ref="Z50:Z51"/>
    <mergeCell ref="O50:O51"/>
    <mergeCell ref="O52:O55"/>
    <mergeCell ref="AB50:AB51"/>
    <mergeCell ref="L8:L9"/>
    <mergeCell ref="O8:O9"/>
    <mergeCell ref="R8:R9"/>
    <mergeCell ref="S8:S9"/>
    <mergeCell ref="T8:T9"/>
    <mergeCell ref="O12:O14"/>
    <mergeCell ref="O15:O16"/>
    <mergeCell ref="R15:R16"/>
    <mergeCell ref="S15:S16"/>
    <mergeCell ref="L12:L14"/>
    <mergeCell ref="R12:R14"/>
    <mergeCell ref="S12:S14"/>
    <mergeCell ref="T12:T14"/>
    <mergeCell ref="L15:L16"/>
    <mergeCell ref="AB8:AB9"/>
    <mergeCell ref="AC6:AC7"/>
    <mergeCell ref="AD6:AD7"/>
    <mergeCell ref="AC8:AC9"/>
    <mergeCell ref="AD8:AD9"/>
    <mergeCell ref="Y8:Y9"/>
    <mergeCell ref="Z8:Z9"/>
    <mergeCell ref="AA8:AA9"/>
    <mergeCell ref="B10:B11"/>
    <mergeCell ref="C10:C11"/>
    <mergeCell ref="D10:D11"/>
    <mergeCell ref="E10:E11"/>
    <mergeCell ref="L10:L11"/>
    <mergeCell ref="O10:O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E6:AE7"/>
    <mergeCell ref="AF6:AF7"/>
    <mergeCell ref="AE8:AE9"/>
    <mergeCell ref="AF8:AF9"/>
    <mergeCell ref="T4:T5"/>
    <mergeCell ref="U4:U5"/>
    <mergeCell ref="V4:V5"/>
    <mergeCell ref="W4:W5"/>
    <mergeCell ref="X4:X5"/>
    <mergeCell ref="Y4:Y5"/>
    <mergeCell ref="Z4:Z5"/>
    <mergeCell ref="AA4:AA5"/>
    <mergeCell ref="U6:U7"/>
    <mergeCell ref="V6:V7"/>
    <mergeCell ref="W6:W7"/>
    <mergeCell ref="X6:X7"/>
    <mergeCell ref="Y6:Y7"/>
    <mergeCell ref="Z6:Z7"/>
    <mergeCell ref="AA6:AA7"/>
    <mergeCell ref="U8:U9"/>
    <mergeCell ref="V8:V9"/>
    <mergeCell ref="W8:W9"/>
    <mergeCell ref="X8:X9"/>
    <mergeCell ref="AB6:AB7"/>
    <mergeCell ref="AA62:AA63"/>
    <mergeCell ref="AB62:AB63"/>
    <mergeCell ref="AC62:AC63"/>
    <mergeCell ref="AD62:AD63"/>
    <mergeCell ref="AE62:AE63"/>
    <mergeCell ref="AF62:AF63"/>
    <mergeCell ref="Y60:Y61"/>
    <mergeCell ref="Z60:Z61"/>
    <mergeCell ref="AB60:AB61"/>
    <mergeCell ref="AC60:AC61"/>
    <mergeCell ref="AD60:AD61"/>
    <mergeCell ref="AE60:AE61"/>
    <mergeCell ref="AF60:AF61"/>
    <mergeCell ref="Y62:Y63"/>
    <mergeCell ref="Z62:Z63"/>
    <mergeCell ref="AD52:AD55"/>
    <mergeCell ref="AE52:AE55"/>
    <mergeCell ref="AF52:AF55"/>
    <mergeCell ref="R60:R61"/>
    <mergeCell ref="S60:S61"/>
    <mergeCell ref="T60:T61"/>
    <mergeCell ref="U60:U61"/>
    <mergeCell ref="V60:V61"/>
    <mergeCell ref="W60:W61"/>
    <mergeCell ref="X60:X61"/>
    <mergeCell ref="AA60:AA61"/>
    <mergeCell ref="AF58:AF59"/>
    <mergeCell ref="AF56:AF57"/>
    <mergeCell ref="S56:S57"/>
    <mergeCell ref="T56:T57"/>
    <mergeCell ref="U56:U57"/>
    <mergeCell ref="V56:V57"/>
    <mergeCell ref="W56:W57"/>
    <mergeCell ref="X56:X57"/>
    <mergeCell ref="Y52:Y55"/>
    <mergeCell ref="Z52:Z55"/>
    <mergeCell ref="R52:R55"/>
    <mergeCell ref="S52:S55"/>
    <mergeCell ref="T52:T55"/>
    <mergeCell ref="L23:L36"/>
    <mergeCell ref="R23:R36"/>
    <mergeCell ref="S23:S36"/>
    <mergeCell ref="T23:T36"/>
    <mergeCell ref="T37:T42"/>
    <mergeCell ref="Y43:Y49"/>
    <mergeCell ref="Z43:Z49"/>
    <mergeCell ref="AA43:AA49"/>
    <mergeCell ref="AB43:AB49"/>
    <mergeCell ref="R43:R49"/>
    <mergeCell ref="S43:S49"/>
    <mergeCell ref="T43:T49"/>
    <mergeCell ref="U43:U49"/>
    <mergeCell ref="V43:V49"/>
    <mergeCell ref="W43:W49"/>
    <mergeCell ref="X43:X49"/>
    <mergeCell ref="O23:O36"/>
    <mergeCell ref="O37:O42"/>
    <mergeCell ref="O43:O49"/>
    <mergeCell ref="Z37:Z42"/>
    <mergeCell ref="AA37:AA42"/>
    <mergeCell ref="AB37:AB42"/>
    <mergeCell ref="AB23:AB36"/>
    <mergeCell ref="AF64:AF66"/>
    <mergeCell ref="W64:W66"/>
    <mergeCell ref="X64:X66"/>
    <mergeCell ref="Y64:Y66"/>
    <mergeCell ref="Z64:Z66"/>
    <mergeCell ref="AA64:AA66"/>
    <mergeCell ref="AB64:AB66"/>
    <mergeCell ref="AC64:AC66"/>
    <mergeCell ref="L37:L42"/>
    <mergeCell ref="L43:L49"/>
    <mergeCell ref="L50:L51"/>
    <mergeCell ref="L52:L55"/>
    <mergeCell ref="L56:L57"/>
    <mergeCell ref="L58:L59"/>
    <mergeCell ref="L60:L61"/>
    <mergeCell ref="L62:L63"/>
    <mergeCell ref="AC43:AC49"/>
    <mergeCell ref="AD43:AD49"/>
    <mergeCell ref="AE43:AE49"/>
    <mergeCell ref="AF43:AF49"/>
    <mergeCell ref="AA50:AA51"/>
    <mergeCell ref="AA52:AA55"/>
    <mergeCell ref="AB52:AB55"/>
    <mergeCell ref="AC52:AC55"/>
    <mergeCell ref="L64:L66"/>
    <mergeCell ref="O64:O66"/>
    <mergeCell ref="R64:R66"/>
    <mergeCell ref="S64:S66"/>
    <mergeCell ref="T64:T66"/>
    <mergeCell ref="U64:U66"/>
    <mergeCell ref="V64:V66"/>
    <mergeCell ref="AD64:AD66"/>
    <mergeCell ref="AE64:AE66"/>
    <mergeCell ref="R62:R63"/>
    <mergeCell ref="S62:S63"/>
    <mergeCell ref="T62:T63"/>
    <mergeCell ref="U62:U63"/>
    <mergeCell ref="V62:V63"/>
    <mergeCell ref="W62:W63"/>
    <mergeCell ref="X62:X63"/>
    <mergeCell ref="O60:O61"/>
    <mergeCell ref="O62:O63"/>
    <mergeCell ref="O56:O57"/>
    <mergeCell ref="O58:O59"/>
    <mergeCell ref="Y58:Y59"/>
    <mergeCell ref="Z58:Z59"/>
    <mergeCell ref="AA58:AA59"/>
    <mergeCell ref="AB58:AB59"/>
    <mergeCell ref="AC58:AC59"/>
    <mergeCell ref="AD58:AD59"/>
    <mergeCell ref="AE58:AE59"/>
    <mergeCell ref="R58:R59"/>
    <mergeCell ref="S58:S59"/>
    <mergeCell ref="T58:T59"/>
    <mergeCell ref="U58:U59"/>
    <mergeCell ref="V58:V59"/>
    <mergeCell ref="W58:W59"/>
    <mergeCell ref="X58:X59"/>
    <mergeCell ref="Y56:Y57"/>
    <mergeCell ref="Z56:Z57"/>
    <mergeCell ref="AA56:AA57"/>
    <mergeCell ref="AB56:AB57"/>
    <mergeCell ref="AC56:AC57"/>
    <mergeCell ref="AD56:AD57"/>
    <mergeCell ref="AE56:AE57"/>
    <mergeCell ref="R56:R57"/>
    <mergeCell ref="AC37:AC42"/>
    <mergeCell ref="AD37:AD42"/>
    <mergeCell ref="AE37:AE42"/>
    <mergeCell ref="AF37:AF42"/>
    <mergeCell ref="R37:R42"/>
    <mergeCell ref="S37:S42"/>
    <mergeCell ref="U37:U42"/>
    <mergeCell ref="V37:V42"/>
    <mergeCell ref="W37:W42"/>
    <mergeCell ref="X37:X42"/>
    <mergeCell ref="Y37:Y42"/>
    <mergeCell ref="AC23:AC36"/>
    <mergeCell ref="AD23:AD36"/>
    <mergeCell ref="AE23:AE36"/>
    <mergeCell ref="AF23:AF36"/>
    <mergeCell ref="U23:U36"/>
    <mergeCell ref="V23:V36"/>
    <mergeCell ref="W23:W36"/>
    <mergeCell ref="X23:X36"/>
    <mergeCell ref="Y23:Y36"/>
    <mergeCell ref="Z23:Z36"/>
    <mergeCell ref="AA23:AA36"/>
    <mergeCell ref="AE21:AE22"/>
    <mergeCell ref="AF21:AF22"/>
    <mergeCell ref="W21:W22"/>
    <mergeCell ref="X21:X22"/>
    <mergeCell ref="Y21:Y22"/>
    <mergeCell ref="Z21:Z22"/>
    <mergeCell ref="AA21:AA22"/>
    <mergeCell ref="AB21:AB22"/>
    <mergeCell ref="AC21:AC22"/>
    <mergeCell ref="L19:L20"/>
    <mergeCell ref="R19:R20"/>
    <mergeCell ref="S19:S20"/>
    <mergeCell ref="R21:R22"/>
    <mergeCell ref="S21:S22"/>
    <mergeCell ref="T21:T22"/>
    <mergeCell ref="U21:U22"/>
    <mergeCell ref="V21:V22"/>
    <mergeCell ref="AD21:AD22"/>
    <mergeCell ref="L21:L22"/>
    <mergeCell ref="O21:O22"/>
    <mergeCell ref="Y19:Y20"/>
    <mergeCell ref="Z19:Z20"/>
    <mergeCell ref="AA19:AA20"/>
    <mergeCell ref="AB19:AB20"/>
    <mergeCell ref="AC19:AC20"/>
    <mergeCell ref="AD19:AD20"/>
    <mergeCell ref="A58:A66"/>
    <mergeCell ref="B58:B59"/>
    <mergeCell ref="C58:C59"/>
    <mergeCell ref="D58:D59"/>
    <mergeCell ref="D62:D63"/>
    <mergeCell ref="B43:B49"/>
    <mergeCell ref="C43:C49"/>
    <mergeCell ref="D43:D49"/>
    <mergeCell ref="E43:E49"/>
    <mergeCell ref="D50:D51"/>
    <mergeCell ref="E50:E51"/>
    <mergeCell ref="A21:A49"/>
    <mergeCell ref="B21:B22"/>
    <mergeCell ref="C21:C22"/>
    <mergeCell ref="B23:B36"/>
    <mergeCell ref="C23:C36"/>
    <mergeCell ref="C50:C51"/>
    <mergeCell ref="E56:E57"/>
    <mergeCell ref="E58:E59"/>
    <mergeCell ref="A50:A57"/>
    <mergeCell ref="B50:B51"/>
    <mergeCell ref="B52:B55"/>
    <mergeCell ref="C52:C55"/>
    <mergeCell ref="D52:D55"/>
    <mergeCell ref="B37:B42"/>
    <mergeCell ref="C37:C42"/>
    <mergeCell ref="D37:D42"/>
    <mergeCell ref="E37:E42"/>
    <mergeCell ref="F38:F39"/>
    <mergeCell ref="B60:B61"/>
    <mergeCell ref="B64:B66"/>
    <mergeCell ref="C56:C57"/>
    <mergeCell ref="D56:D57"/>
    <mergeCell ref="F47:F48"/>
    <mergeCell ref="E52:E55"/>
    <mergeCell ref="B56:B57"/>
    <mergeCell ref="C60:C61"/>
    <mergeCell ref="D60:D61"/>
    <mergeCell ref="E60:E61"/>
    <mergeCell ref="B62:B63"/>
    <mergeCell ref="C62:C63"/>
    <mergeCell ref="E62:E63"/>
    <mergeCell ref="C64:C66"/>
    <mergeCell ref="D64:D66"/>
    <mergeCell ref="E64:E66"/>
    <mergeCell ref="F64:F65"/>
    <mergeCell ref="F28:F29"/>
    <mergeCell ref="F31:F32"/>
    <mergeCell ref="D19:D20"/>
    <mergeCell ref="E19:E20"/>
    <mergeCell ref="D21:D22"/>
    <mergeCell ref="E21:E22"/>
    <mergeCell ref="D23:D36"/>
    <mergeCell ref="E23:E36"/>
    <mergeCell ref="F24:F27"/>
    <mergeCell ref="D15:D16"/>
    <mergeCell ref="E15:E16"/>
    <mergeCell ref="B17:B18"/>
    <mergeCell ref="C17:C18"/>
    <mergeCell ref="D17:D18"/>
    <mergeCell ref="E17:E18"/>
    <mergeCell ref="A4:A20"/>
    <mergeCell ref="B12:B14"/>
    <mergeCell ref="C12:C14"/>
    <mergeCell ref="D12:D14"/>
    <mergeCell ref="E12:E14"/>
    <mergeCell ref="B15:B16"/>
    <mergeCell ref="C15:C16"/>
    <mergeCell ref="B19:B20"/>
    <mergeCell ref="C19:C20"/>
    <mergeCell ref="B4:B5"/>
    <mergeCell ref="C4:C5"/>
    <mergeCell ref="D4:D5"/>
    <mergeCell ref="E4:E5"/>
    <mergeCell ref="B8:B9"/>
    <mergeCell ref="C8:C9"/>
    <mergeCell ref="D8:D9"/>
    <mergeCell ref="E8:E9"/>
    <mergeCell ref="AE19:AE20"/>
    <mergeCell ref="AF19:AF20"/>
    <mergeCell ref="O17:O18"/>
    <mergeCell ref="O19:O20"/>
    <mergeCell ref="T19:T20"/>
    <mergeCell ref="U19:U20"/>
    <mergeCell ref="V19:V20"/>
    <mergeCell ref="W19:W20"/>
    <mergeCell ref="X19:X20"/>
    <mergeCell ref="R17:R18"/>
    <mergeCell ref="S17:S18"/>
    <mergeCell ref="T17:T18"/>
    <mergeCell ref="U17:U18"/>
    <mergeCell ref="V17:V18"/>
    <mergeCell ref="AD17:AD18"/>
    <mergeCell ref="AE17:AE18"/>
    <mergeCell ref="AF17:AF18"/>
    <mergeCell ref="W17:W18"/>
    <mergeCell ref="X17:X18"/>
    <mergeCell ref="Y17:Y18"/>
    <mergeCell ref="Z17:Z18"/>
    <mergeCell ref="AA17:AA18"/>
    <mergeCell ref="AB17:AB18"/>
    <mergeCell ref="AC17:AC18"/>
    <mergeCell ref="L17:L18"/>
    <mergeCell ref="AB12:AB14"/>
    <mergeCell ref="AC12:AC14"/>
    <mergeCell ref="AD12:AD14"/>
    <mergeCell ref="AE12:AE14"/>
    <mergeCell ref="AF12:AF14"/>
    <mergeCell ref="U12:U14"/>
    <mergeCell ref="V12:V14"/>
    <mergeCell ref="W12:W14"/>
    <mergeCell ref="AF10:AF11"/>
    <mergeCell ref="AA15:AA16"/>
    <mergeCell ref="AB15:AB16"/>
    <mergeCell ref="AC15:AC16"/>
    <mergeCell ref="AD15:AD16"/>
    <mergeCell ref="AE15:AE16"/>
    <mergeCell ref="AF15:AF16"/>
    <mergeCell ref="T15:T16"/>
    <mergeCell ref="U15:U16"/>
    <mergeCell ref="V15:V16"/>
    <mergeCell ref="W15:W16"/>
    <mergeCell ref="X15:X16"/>
    <mergeCell ref="Y15:Y16"/>
    <mergeCell ref="Z15:Z16"/>
    <mergeCell ref="AB10:AB11"/>
    <mergeCell ref="AC10:AC11"/>
    <mergeCell ref="AD10:AD11"/>
    <mergeCell ref="AE10:AE11"/>
    <mergeCell ref="X12:X14"/>
    <mergeCell ref="Y12:Y14"/>
    <mergeCell ref="Z12:Z14"/>
    <mergeCell ref="AA12:AA14"/>
    <mergeCell ref="L4:L5"/>
    <mergeCell ref="O4:O5"/>
    <mergeCell ref="AB4:AB5"/>
    <mergeCell ref="AC4:AC5"/>
    <mergeCell ref="AD4:AD5"/>
    <mergeCell ref="AE4:AE5"/>
    <mergeCell ref="A1:A2"/>
    <mergeCell ref="B6:B7"/>
    <mergeCell ref="C6:C7"/>
    <mergeCell ref="D6:D7"/>
    <mergeCell ref="O6:O7"/>
    <mergeCell ref="R6:R7"/>
    <mergeCell ref="S6:S7"/>
    <mergeCell ref="T6:T7"/>
    <mergeCell ref="B1:AF1"/>
    <mergeCell ref="B2:L2"/>
    <mergeCell ref="M2:S2"/>
    <mergeCell ref="T2:AA2"/>
    <mergeCell ref="AB2:AF2"/>
    <mergeCell ref="AF4:AF5"/>
    <mergeCell ref="E6:E7"/>
    <mergeCell ref="L6:L7"/>
    <mergeCell ref="R4:R5"/>
    <mergeCell ref="S4:S5"/>
  </mergeCells>
  <dataValidations count="1">
    <dataValidation type="list" allowBlank="1" showErrorMessage="1" sqref="R4 R6 R8 R10 R12 R15 R17 R19 R21 R23 R37 R43 R50 R52 R56 R58 R60 R62 R64" xr:uid="{00000000-0002-0000-0500-000000000000}">
      <formula1>$A$200:$A$201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Sec. Gobierno</vt:lpstr>
      <vt:lpstr>Sec. Bienestar y Dllo Social</vt:lpstr>
      <vt:lpstr>Copia de Sec. Bienestar y Dllo </vt:lpstr>
      <vt:lpstr>Sec. Turismo</vt:lpstr>
      <vt:lpstr>Sec. Planeación</vt:lpstr>
      <vt:lpstr>Sec. Medio Ambiente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Yurley Natalia Hincapie Arroyave</dc:creator>
  <cp:lastModifiedBy>Secretaría</cp:lastModifiedBy>
  <dcterms:created xsi:type="dcterms:W3CDTF">2024-04-26T14:57:34Z</dcterms:created>
  <dcterms:modified xsi:type="dcterms:W3CDTF">2026-04-13T22:30:01Z</dcterms:modified>
</cp:coreProperties>
</file>